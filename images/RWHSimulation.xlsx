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dge\Downloads\html5up-phantom\images\"/>
    </mc:Choice>
  </mc:AlternateContent>
  <xr:revisionPtr revIDLastSave="0" documentId="13_ncr:1_{589625D8-EE5A-449E-9ACA-BF74A130259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Parameters" sheetId="1" r:id="rId1"/>
    <sheet name="Energy Usage" sheetId="2" r:id="rId2"/>
    <sheet name="Solar Energy" sheetId="3" r:id="rId3"/>
    <sheet name="Pump Data" sheetId="4" r:id="rId4"/>
    <sheet name="GHG" sheetId="5" r:id="rId5"/>
    <sheet name="Land Model" sheetId="6" r:id="rId6"/>
    <sheet name="Cost" sheetId="7" r:id="rId7"/>
    <sheet name="GenAI Disclosure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D22" i="7"/>
  <c r="C14" i="7"/>
  <c r="C12" i="7"/>
  <c r="D12" i="7" s="1"/>
  <c r="F11" i="7"/>
  <c r="C11" i="7"/>
  <c r="D11" i="7" s="1"/>
  <c r="C10" i="7"/>
  <c r="D10" i="7" s="1"/>
  <c r="C5" i="7"/>
  <c r="D5" i="7" s="1"/>
  <c r="C14" i="5"/>
  <c r="A14" i="5"/>
  <c r="Q17" i="4"/>
  <c r="Q18" i="4" s="1"/>
  <c r="Q19" i="4" s="1"/>
  <c r="Q20" i="4" s="1"/>
  <c r="Q21" i="4" s="1"/>
  <c r="Q22" i="4" s="1"/>
  <c r="Q23" i="4" s="1"/>
  <c r="Q24" i="4" s="1"/>
  <c r="Q25" i="4" s="1"/>
  <c r="Q26" i="4" s="1"/>
  <c r="Q27" i="4" s="1"/>
  <c r="Q28" i="4" s="1"/>
  <c r="Q29" i="4" s="1"/>
  <c r="Q30" i="4" s="1"/>
  <c r="Q31" i="4" s="1"/>
  <c r="Q32" i="4" s="1"/>
  <c r="Q14" i="4"/>
  <c r="Q15" i="4" s="1"/>
  <c r="Q16" i="4" s="1"/>
  <c r="Q11" i="4"/>
  <c r="Q12" i="4" s="1"/>
  <c r="Q13" i="4" s="1"/>
  <c r="R3" i="4"/>
  <c r="V3" i="4" s="1"/>
  <c r="Q3" i="4"/>
  <c r="Q4" i="4" s="1"/>
  <c r="Q5" i="4" s="1"/>
  <c r="Q6" i="4" s="1"/>
  <c r="Q7" i="4" s="1"/>
  <c r="Q8" i="4" s="1"/>
  <c r="Q9" i="4" s="1"/>
  <c r="Q10" i="4" s="1"/>
  <c r="A3" i="4"/>
  <c r="V2" i="4"/>
  <c r="S2" i="4"/>
  <c r="G2" i="4"/>
  <c r="C2" i="4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A24" i="3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D23" i="3"/>
  <c r="A23" i="3"/>
  <c r="D22" i="3"/>
  <c r="A22" i="3"/>
  <c r="D21" i="3"/>
  <c r="N8" i="3"/>
  <c r="N6" i="3"/>
  <c r="N5" i="3"/>
  <c r="N4" i="3"/>
  <c r="N3" i="3"/>
  <c r="M341" i="2"/>
  <c r="N341" i="2" s="1"/>
  <c r="M339" i="2"/>
  <c r="N339" i="2" s="1"/>
  <c r="M321" i="2"/>
  <c r="N321" i="2" s="1"/>
  <c r="M318" i="2"/>
  <c r="N318" i="2" s="1"/>
  <c r="M316" i="2"/>
  <c r="N316" i="2" s="1"/>
  <c r="M311" i="2"/>
  <c r="N311" i="2" s="1"/>
  <c r="M306" i="2"/>
  <c r="N306" i="2" s="1"/>
  <c r="M284" i="2"/>
  <c r="N284" i="2" s="1"/>
  <c r="M282" i="2"/>
  <c r="N282" i="2" s="1"/>
  <c r="M267" i="2"/>
  <c r="N267" i="2" s="1"/>
  <c r="M216" i="2"/>
  <c r="N216" i="2" s="1"/>
  <c r="M185" i="2"/>
  <c r="N185" i="2" s="1"/>
  <c r="M183" i="2"/>
  <c r="N183" i="2" s="1"/>
  <c r="M163" i="2"/>
  <c r="N163" i="2" s="1"/>
  <c r="M157" i="2"/>
  <c r="N157" i="2" s="1"/>
  <c r="M118" i="2"/>
  <c r="N118" i="2" s="1"/>
  <c r="M105" i="2"/>
  <c r="N105" i="2" s="1"/>
  <c r="M102" i="2"/>
  <c r="N102" i="2" s="1"/>
  <c r="N98" i="2"/>
  <c r="M98" i="2"/>
  <c r="M93" i="2"/>
  <c r="N93" i="2" s="1"/>
  <c r="M75" i="2"/>
  <c r="N75" i="2" s="1"/>
  <c r="M74" i="2"/>
  <c r="N74" i="2" s="1"/>
  <c r="D42" i="2"/>
  <c r="D41" i="2"/>
  <c r="D40" i="2"/>
  <c r="D39" i="2"/>
  <c r="D38" i="2"/>
  <c r="D37" i="2"/>
  <c r="D36" i="2"/>
  <c r="D35" i="2"/>
  <c r="M34" i="2"/>
  <c r="N34" i="2" s="1"/>
  <c r="D34" i="2"/>
  <c r="D33" i="2"/>
  <c r="D32" i="2"/>
  <c r="D31" i="2"/>
  <c r="D30" i="2"/>
  <c r="D29" i="2"/>
  <c r="D28" i="2"/>
  <c r="M27" i="2"/>
  <c r="N27" i="2" s="1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M13" i="2"/>
  <c r="N13" i="2" s="1"/>
  <c r="D13" i="2"/>
  <c r="U12" i="2"/>
  <c r="D12" i="2"/>
  <c r="Q6" i="2"/>
  <c r="Q5" i="2"/>
  <c r="B5" i="2"/>
  <c r="Q4" i="2"/>
  <c r="J4" i="2"/>
  <c r="Q3" i="2"/>
  <c r="U2" i="2"/>
  <c r="Q2" i="2"/>
  <c r="N2" i="2"/>
  <c r="B79" i="1"/>
  <c r="U5" i="2" s="1"/>
  <c r="B74" i="1"/>
  <c r="B62" i="1"/>
  <c r="J2" i="2" s="1"/>
  <c r="B58" i="1"/>
  <c r="F2" i="2" s="1"/>
  <c r="B55" i="1"/>
  <c r="D50" i="1"/>
  <c r="C50" i="1"/>
  <c r="B50" i="1"/>
  <c r="E39" i="1"/>
  <c r="E38" i="1"/>
  <c r="E37" i="1"/>
  <c r="D36" i="1"/>
  <c r="M35" i="1"/>
  <c r="B35" i="1"/>
  <c r="M34" i="1"/>
  <c r="B34" i="1"/>
  <c r="B33" i="1"/>
  <c r="B31" i="1"/>
  <c r="G30" i="1"/>
  <c r="M29" i="1"/>
  <c r="G29" i="1"/>
  <c r="E29" i="1"/>
  <c r="M28" i="1"/>
  <c r="M27" i="1"/>
  <c r="E27" i="1"/>
  <c r="B26" i="1" s="1" a="1"/>
  <c r="B26" i="1" s="1"/>
  <c r="B27" i="1"/>
  <c r="C6" i="7" s="1"/>
  <c r="D6" i="7" s="1"/>
  <c r="M26" i="1"/>
  <c r="C3" i="7" s="1"/>
  <c r="G26" i="1"/>
  <c r="E26" i="1"/>
  <c r="B25" i="1" s="1"/>
  <c r="M25" i="1"/>
  <c r="C2" i="7" s="1"/>
  <c r="D2" i="7" s="1"/>
  <c r="G25" i="1"/>
  <c r="A22" i="1"/>
  <c r="A21" i="1"/>
  <c r="A20" i="1"/>
  <c r="A18" i="1"/>
  <c r="A17" i="1"/>
  <c r="A16" i="1"/>
  <c r="A15" i="1"/>
  <c r="A14" i="1"/>
  <c r="A13" i="1"/>
  <c r="A12" i="1"/>
  <c r="A11" i="1"/>
  <c r="J10" i="1"/>
  <c r="A10" i="1"/>
  <c r="A9" i="1"/>
  <c r="A8" i="1"/>
  <c r="J7" i="1"/>
  <c r="A7" i="1"/>
  <c r="C18" i="7" l="1"/>
  <c r="F36" i="1"/>
  <c r="O3" i="3" s="1"/>
  <c r="E5" i="3" s="1"/>
  <c r="O2" i="3"/>
  <c r="B77" i="1"/>
  <c r="H36" i="1"/>
  <c r="O4" i="3" s="1"/>
  <c r="E7" i="3" s="1"/>
  <c r="G36" i="1"/>
  <c r="D2" i="5" s="1"/>
  <c r="E36" i="1"/>
  <c r="U3" i="4"/>
  <c r="W3" i="4" s="1"/>
  <c r="U2" i="4"/>
  <c r="W2" i="4" s="1"/>
  <c r="F2" i="4"/>
  <c r="B60" i="1"/>
  <c r="M361" i="2"/>
  <c r="N361" i="2" s="1"/>
  <c r="M345" i="2"/>
  <c r="N345" i="2" s="1"/>
  <c r="M329" i="2"/>
  <c r="N329" i="2" s="1"/>
  <c r="M313" i="2"/>
  <c r="N313" i="2" s="1"/>
  <c r="M376" i="2"/>
  <c r="N376" i="2" s="1"/>
  <c r="M371" i="2"/>
  <c r="N371" i="2" s="1"/>
  <c r="M363" i="2"/>
  <c r="N363" i="2" s="1"/>
  <c r="M336" i="2"/>
  <c r="N336" i="2" s="1"/>
  <c r="M327" i="2"/>
  <c r="N327" i="2" s="1"/>
  <c r="M352" i="2"/>
  <c r="N352" i="2" s="1"/>
  <c r="M343" i="2"/>
  <c r="N343" i="2" s="1"/>
  <c r="M334" i="2"/>
  <c r="N334" i="2" s="1"/>
  <c r="M308" i="2"/>
  <c r="N308" i="2" s="1"/>
  <c r="M360" i="2"/>
  <c r="N360" i="2" s="1"/>
  <c r="M368" i="2"/>
  <c r="N368" i="2" s="1"/>
  <c r="M362" i="2"/>
  <c r="N362" i="2" s="1"/>
  <c r="M344" i="2"/>
  <c r="N344" i="2" s="1"/>
  <c r="M310" i="2"/>
  <c r="N310" i="2" s="1"/>
  <c r="M287" i="2"/>
  <c r="N287" i="2" s="1"/>
  <c r="M271" i="2"/>
  <c r="N271" i="2" s="1"/>
  <c r="M255" i="2"/>
  <c r="N255" i="2" s="1"/>
  <c r="M239" i="2"/>
  <c r="N239" i="2" s="1"/>
  <c r="M223" i="2"/>
  <c r="N223" i="2" s="1"/>
  <c r="M207" i="2"/>
  <c r="N207" i="2" s="1"/>
  <c r="M191" i="2"/>
  <c r="N191" i="2" s="1"/>
  <c r="M175" i="2"/>
  <c r="N175" i="2" s="1"/>
  <c r="M159" i="2"/>
  <c r="N159" i="2" s="1"/>
  <c r="M143" i="2"/>
  <c r="N143" i="2" s="1"/>
  <c r="M369" i="2"/>
  <c r="N369" i="2" s="1"/>
  <c r="M351" i="2"/>
  <c r="N351" i="2" s="1"/>
  <c r="M305" i="2"/>
  <c r="N305" i="2" s="1"/>
  <c r="M286" i="2"/>
  <c r="N286" i="2" s="1"/>
  <c r="M270" i="2"/>
  <c r="N270" i="2" s="1"/>
  <c r="M254" i="2"/>
  <c r="N254" i="2" s="1"/>
  <c r="M238" i="2"/>
  <c r="N238" i="2" s="1"/>
  <c r="M222" i="2"/>
  <c r="N222" i="2" s="1"/>
  <c r="M206" i="2"/>
  <c r="N206" i="2" s="1"/>
  <c r="M190" i="2"/>
  <c r="N190" i="2" s="1"/>
  <c r="M174" i="2"/>
  <c r="N174" i="2" s="1"/>
  <c r="M158" i="2"/>
  <c r="N158" i="2" s="1"/>
  <c r="M330" i="2"/>
  <c r="N330" i="2" s="1"/>
  <c r="M274" i="2"/>
  <c r="N274" i="2" s="1"/>
  <c r="M250" i="2"/>
  <c r="N250" i="2" s="1"/>
  <c r="M249" i="2"/>
  <c r="N249" i="2" s="1"/>
  <c r="M248" i="2"/>
  <c r="N248" i="2" s="1"/>
  <c r="M224" i="2"/>
  <c r="N224" i="2" s="1"/>
  <c r="M198" i="2"/>
  <c r="N198" i="2" s="1"/>
  <c r="M172" i="2"/>
  <c r="N172" i="2" s="1"/>
  <c r="M146" i="2"/>
  <c r="N146" i="2" s="1"/>
  <c r="M132" i="2"/>
  <c r="N132" i="2" s="1"/>
  <c r="M116" i="2"/>
  <c r="N116" i="2" s="1"/>
  <c r="M366" i="2"/>
  <c r="N366" i="2" s="1"/>
  <c r="M338" i="2"/>
  <c r="N338" i="2" s="1"/>
  <c r="M325" i="2"/>
  <c r="N325" i="2" s="1"/>
  <c r="M315" i="2"/>
  <c r="N315" i="2" s="1"/>
  <c r="M304" i="2"/>
  <c r="N304" i="2" s="1"/>
  <c r="M303" i="2"/>
  <c r="N303" i="2" s="1"/>
  <c r="M295" i="2"/>
  <c r="N295" i="2" s="1"/>
  <c r="M269" i="2"/>
  <c r="N269" i="2" s="1"/>
  <c r="M245" i="2"/>
  <c r="N245" i="2" s="1"/>
  <c r="M244" i="2"/>
  <c r="N244" i="2" s="1"/>
  <c r="M243" i="2"/>
  <c r="N243" i="2" s="1"/>
  <c r="M219" i="2"/>
  <c r="N219" i="2" s="1"/>
  <c r="M193" i="2"/>
  <c r="N193" i="2" s="1"/>
  <c r="M167" i="2"/>
  <c r="N167" i="2" s="1"/>
  <c r="M142" i="2"/>
  <c r="N142" i="2" s="1"/>
  <c r="M131" i="2"/>
  <c r="N131" i="2" s="1"/>
  <c r="M115" i="2"/>
  <c r="N115" i="2" s="1"/>
  <c r="M372" i="2"/>
  <c r="N372" i="2" s="1"/>
  <c r="M367" i="2"/>
  <c r="N367" i="2" s="1"/>
  <c r="M355" i="2"/>
  <c r="N355" i="2" s="1"/>
  <c r="M347" i="2"/>
  <c r="N347" i="2" s="1"/>
  <c r="M335" i="2"/>
  <c r="N335" i="2" s="1"/>
  <c r="M264" i="2"/>
  <c r="N264" i="2" s="1"/>
  <c r="M252" i="2"/>
  <c r="N252" i="2" s="1"/>
  <c r="M242" i="2"/>
  <c r="N242" i="2" s="1"/>
  <c r="M230" i="2"/>
  <c r="N230" i="2" s="1"/>
  <c r="M208" i="2"/>
  <c r="N208" i="2" s="1"/>
  <c r="M197" i="2"/>
  <c r="N197" i="2" s="1"/>
  <c r="M186" i="2"/>
  <c r="N186" i="2" s="1"/>
  <c r="M153" i="2"/>
  <c r="N153" i="2" s="1"/>
  <c r="M140" i="2"/>
  <c r="N140" i="2" s="1"/>
  <c r="M114" i="2"/>
  <c r="N114" i="2" s="1"/>
  <c r="M96" i="2"/>
  <c r="N96" i="2" s="1"/>
  <c r="M80" i="2"/>
  <c r="N80" i="2" s="1"/>
  <c r="M64" i="2"/>
  <c r="N64" i="2" s="1"/>
  <c r="M48" i="2"/>
  <c r="N48" i="2" s="1"/>
  <c r="M32" i="2"/>
  <c r="N32" i="2" s="1"/>
  <c r="M16" i="2"/>
  <c r="N16" i="2" s="1"/>
  <c r="M370" i="2"/>
  <c r="N370" i="2" s="1"/>
  <c r="M319" i="2"/>
  <c r="N319" i="2" s="1"/>
  <c r="M314" i="2"/>
  <c r="N314" i="2" s="1"/>
  <c r="M309" i="2"/>
  <c r="N309" i="2" s="1"/>
  <c r="M297" i="2"/>
  <c r="N297" i="2" s="1"/>
  <c r="M275" i="2"/>
  <c r="N275" i="2" s="1"/>
  <c r="M253" i="2"/>
  <c r="N253" i="2" s="1"/>
  <c r="M231" i="2"/>
  <c r="N231" i="2" s="1"/>
  <c r="M220" i="2"/>
  <c r="N220" i="2" s="1"/>
  <c r="M209" i="2"/>
  <c r="N209" i="2" s="1"/>
  <c r="M187" i="2"/>
  <c r="N187" i="2" s="1"/>
  <c r="M165" i="2"/>
  <c r="N165" i="2" s="1"/>
  <c r="M139" i="2"/>
  <c r="N139" i="2" s="1"/>
  <c r="M359" i="2"/>
  <c r="N359" i="2" s="1"/>
  <c r="M328" i="2"/>
  <c r="N328" i="2" s="1"/>
  <c r="M298" i="2"/>
  <c r="N298" i="2" s="1"/>
  <c r="M276" i="2"/>
  <c r="N276" i="2" s="1"/>
  <c r="M211" i="2"/>
  <c r="N211" i="2" s="1"/>
  <c r="M199" i="2"/>
  <c r="N199" i="2" s="1"/>
  <c r="M189" i="2"/>
  <c r="N189" i="2" s="1"/>
  <c r="M177" i="2"/>
  <c r="N177" i="2" s="1"/>
  <c r="M155" i="2"/>
  <c r="N155" i="2" s="1"/>
  <c r="M144" i="2"/>
  <c r="N144" i="2" s="1"/>
  <c r="M135" i="2"/>
  <c r="N135" i="2" s="1"/>
  <c r="M111" i="2"/>
  <c r="N111" i="2" s="1"/>
  <c r="M110" i="2"/>
  <c r="N110" i="2" s="1"/>
  <c r="M109" i="2"/>
  <c r="N109" i="2" s="1"/>
  <c r="M95" i="2"/>
  <c r="N95" i="2" s="1"/>
  <c r="M79" i="2"/>
  <c r="N79" i="2" s="1"/>
  <c r="M63" i="2"/>
  <c r="N63" i="2" s="1"/>
  <c r="M47" i="2"/>
  <c r="N47" i="2" s="1"/>
  <c r="M31" i="2"/>
  <c r="N31" i="2" s="1"/>
  <c r="M15" i="2"/>
  <c r="N15" i="2" s="1"/>
  <c r="M365" i="2"/>
  <c r="N365" i="2" s="1"/>
  <c r="M348" i="2"/>
  <c r="N348" i="2" s="1"/>
  <c r="M340" i="2"/>
  <c r="N340" i="2" s="1"/>
  <c r="M320" i="2"/>
  <c r="N320" i="2" s="1"/>
  <c r="M288" i="2"/>
  <c r="N288" i="2" s="1"/>
  <c r="M266" i="2"/>
  <c r="N266" i="2" s="1"/>
  <c r="M233" i="2"/>
  <c r="N233" i="2" s="1"/>
  <c r="M200" i="2"/>
  <c r="N200" i="2" s="1"/>
  <c r="M178" i="2"/>
  <c r="N178" i="2" s="1"/>
  <c r="M156" i="2"/>
  <c r="N156" i="2" s="1"/>
  <c r="M145" i="2"/>
  <c r="N145" i="2" s="1"/>
  <c r="M134" i="2"/>
  <c r="N134" i="2" s="1"/>
  <c r="M307" i="2"/>
  <c r="N307" i="2" s="1"/>
  <c r="M299" i="2"/>
  <c r="N299" i="2" s="1"/>
  <c r="M283" i="2"/>
  <c r="N283" i="2" s="1"/>
  <c r="M277" i="2"/>
  <c r="N277" i="2" s="1"/>
  <c r="M261" i="2"/>
  <c r="N261" i="2" s="1"/>
  <c r="M173" i="2"/>
  <c r="N173" i="2" s="1"/>
  <c r="M170" i="2"/>
  <c r="N170" i="2" s="1"/>
  <c r="M151" i="2"/>
  <c r="N151" i="2" s="1"/>
  <c r="M148" i="2"/>
  <c r="N148" i="2" s="1"/>
  <c r="M133" i="2"/>
  <c r="N133" i="2" s="1"/>
  <c r="M119" i="2"/>
  <c r="N119" i="2" s="1"/>
  <c r="M97" i="2"/>
  <c r="N97" i="2" s="1"/>
  <c r="M71" i="2"/>
  <c r="N71" i="2" s="1"/>
  <c r="M45" i="2"/>
  <c r="N45" i="2" s="1"/>
  <c r="M23" i="2"/>
  <c r="N23" i="2" s="1"/>
  <c r="M364" i="2"/>
  <c r="N364" i="2" s="1"/>
  <c r="M358" i="2"/>
  <c r="N358" i="2" s="1"/>
  <c r="M356" i="2"/>
  <c r="N356" i="2" s="1"/>
  <c r="M322" i="2"/>
  <c r="N322" i="2" s="1"/>
  <c r="M317" i="2"/>
  <c r="N317" i="2" s="1"/>
  <c r="M290" i="2"/>
  <c r="N290" i="2" s="1"/>
  <c r="M268" i="2"/>
  <c r="N268" i="2" s="1"/>
  <c r="M127" i="2"/>
  <c r="N127" i="2" s="1"/>
  <c r="M120" i="2"/>
  <c r="N120" i="2" s="1"/>
  <c r="M94" i="2"/>
  <c r="N94" i="2" s="1"/>
  <c r="M70" i="2"/>
  <c r="N70" i="2" s="1"/>
  <c r="M69" i="2"/>
  <c r="N69" i="2" s="1"/>
  <c r="M68" i="2"/>
  <c r="N68" i="2" s="1"/>
  <c r="M44" i="2"/>
  <c r="N44" i="2" s="1"/>
  <c r="M22" i="2"/>
  <c r="N22" i="2" s="1"/>
  <c r="M21" i="2"/>
  <c r="N21" i="2" s="1"/>
  <c r="M20" i="2"/>
  <c r="N20" i="2" s="1"/>
  <c r="M331" i="2"/>
  <c r="N331" i="2" s="1"/>
  <c r="M312" i="2"/>
  <c r="N312" i="2" s="1"/>
  <c r="M302" i="2"/>
  <c r="N302" i="2" s="1"/>
  <c r="M296" i="2"/>
  <c r="N296" i="2" s="1"/>
  <c r="M293" i="2"/>
  <c r="N293" i="2" s="1"/>
  <c r="M246" i="2"/>
  <c r="N246" i="2" s="1"/>
  <c r="M227" i="2"/>
  <c r="N227" i="2" s="1"/>
  <c r="M205" i="2"/>
  <c r="N205" i="2" s="1"/>
  <c r="M354" i="2"/>
  <c r="N354" i="2" s="1"/>
  <c r="M265" i="2"/>
  <c r="N265" i="2" s="1"/>
  <c r="M221" i="2"/>
  <c r="N221" i="2" s="1"/>
  <c r="M202" i="2"/>
  <c r="N202" i="2" s="1"/>
  <c r="M138" i="2"/>
  <c r="N138" i="2" s="1"/>
  <c r="M128" i="2"/>
  <c r="N128" i="2" s="1"/>
  <c r="M121" i="2"/>
  <c r="N121" i="2" s="1"/>
  <c r="M92" i="2"/>
  <c r="N92" i="2" s="1"/>
  <c r="M66" i="2"/>
  <c r="N66" i="2" s="1"/>
  <c r="M40" i="2"/>
  <c r="N40" i="2" s="1"/>
  <c r="M259" i="2"/>
  <c r="N259" i="2" s="1"/>
  <c r="M237" i="2"/>
  <c r="N237" i="2" s="1"/>
  <c r="M215" i="2"/>
  <c r="N215" i="2" s="1"/>
  <c r="M212" i="2"/>
  <c r="N212" i="2" s="1"/>
  <c r="M168" i="2"/>
  <c r="N168" i="2" s="1"/>
  <c r="M91" i="2"/>
  <c r="N91" i="2" s="1"/>
  <c r="M90" i="2"/>
  <c r="N90" i="2" s="1"/>
  <c r="M89" i="2"/>
  <c r="N89" i="2" s="1"/>
  <c r="M65" i="2"/>
  <c r="N65" i="2" s="1"/>
  <c r="M39" i="2"/>
  <c r="N39" i="2" s="1"/>
  <c r="M18" i="2"/>
  <c r="N18" i="2" s="1"/>
  <c r="M375" i="2"/>
  <c r="N375" i="2" s="1"/>
  <c r="M333" i="2"/>
  <c r="N333" i="2" s="1"/>
  <c r="M301" i="2"/>
  <c r="N301" i="2" s="1"/>
  <c r="M103" i="2"/>
  <c r="N103" i="2" s="1"/>
  <c r="M76" i="2"/>
  <c r="N76" i="2" s="1"/>
  <c r="M36" i="2"/>
  <c r="N36" i="2" s="1"/>
  <c r="M24" i="2"/>
  <c r="N24" i="2" s="1"/>
  <c r="M346" i="2"/>
  <c r="N346" i="2" s="1"/>
  <c r="M241" i="2"/>
  <c r="N241" i="2" s="1"/>
  <c r="M196" i="2"/>
  <c r="N196" i="2" s="1"/>
  <c r="M194" i="2"/>
  <c r="N194" i="2" s="1"/>
  <c r="M149" i="2"/>
  <c r="N149" i="2" s="1"/>
  <c r="M147" i="2"/>
  <c r="N147" i="2" s="1"/>
  <c r="M107" i="2"/>
  <c r="N107" i="2" s="1"/>
  <c r="M99" i="2"/>
  <c r="N99" i="2" s="1"/>
  <c r="M81" i="2"/>
  <c r="N81" i="2" s="1"/>
  <c r="M49" i="2"/>
  <c r="N49" i="2" s="1"/>
  <c r="M30" i="2"/>
  <c r="N30" i="2" s="1"/>
  <c r="M374" i="2"/>
  <c r="N374" i="2" s="1"/>
  <c r="M294" i="2"/>
  <c r="N294" i="2" s="1"/>
  <c r="M292" i="2"/>
  <c r="N292" i="2" s="1"/>
  <c r="M273" i="2"/>
  <c r="N273" i="2" s="1"/>
  <c r="M262" i="2"/>
  <c r="N262" i="2" s="1"/>
  <c r="M260" i="2"/>
  <c r="N260" i="2" s="1"/>
  <c r="M258" i="2"/>
  <c r="N258" i="2" s="1"/>
  <c r="M247" i="2"/>
  <c r="N247" i="2" s="1"/>
  <c r="M228" i="2"/>
  <c r="N228" i="2" s="1"/>
  <c r="M226" i="2"/>
  <c r="N226" i="2" s="1"/>
  <c r="M213" i="2"/>
  <c r="N213" i="2" s="1"/>
  <c r="M192" i="2"/>
  <c r="N192" i="2" s="1"/>
  <c r="M188" i="2"/>
  <c r="N188" i="2" s="1"/>
  <c r="M184" i="2"/>
  <c r="N184" i="2" s="1"/>
  <c r="M136" i="2"/>
  <c r="N136" i="2" s="1"/>
  <c r="M123" i="2"/>
  <c r="N123" i="2" s="1"/>
  <c r="M86" i="2"/>
  <c r="N86" i="2" s="1"/>
  <c r="M72" i="2"/>
  <c r="N72" i="2" s="1"/>
  <c r="M54" i="2"/>
  <c r="N54" i="2" s="1"/>
  <c r="M281" i="2"/>
  <c r="N281" i="2" s="1"/>
  <c r="M279" i="2"/>
  <c r="N279" i="2" s="1"/>
  <c r="M234" i="2"/>
  <c r="N234" i="2" s="1"/>
  <c r="M180" i="2"/>
  <c r="N180" i="2" s="1"/>
  <c r="M77" i="2"/>
  <c r="N77" i="2" s="1"/>
  <c r="M59" i="2"/>
  <c r="N59" i="2" s="1"/>
  <c r="M41" i="2"/>
  <c r="N41" i="2" s="1"/>
  <c r="M25" i="2"/>
  <c r="N25" i="2" s="1"/>
  <c r="M353" i="2"/>
  <c r="N353" i="2" s="1"/>
  <c r="M232" i="2"/>
  <c r="N232" i="2" s="1"/>
  <c r="M182" i="2"/>
  <c r="N182" i="2" s="1"/>
  <c r="M129" i="2"/>
  <c r="N129" i="2" s="1"/>
  <c r="M104" i="2"/>
  <c r="N104" i="2" s="1"/>
  <c r="M100" i="2"/>
  <c r="N100" i="2" s="1"/>
  <c r="M82" i="2"/>
  <c r="N82" i="2" s="1"/>
  <c r="M50" i="2"/>
  <c r="N50" i="2" s="1"/>
  <c r="M37" i="2"/>
  <c r="N37" i="2" s="1"/>
  <c r="M332" i="2"/>
  <c r="N332" i="2" s="1"/>
  <c r="M300" i="2"/>
  <c r="N300" i="2" s="1"/>
  <c r="M141" i="2"/>
  <c r="N141" i="2" s="1"/>
  <c r="M126" i="2"/>
  <c r="N126" i="2" s="1"/>
  <c r="M117" i="2"/>
  <c r="N117" i="2" s="1"/>
  <c r="M87" i="2"/>
  <c r="N87" i="2" s="1"/>
  <c r="M73" i="2"/>
  <c r="N73" i="2" s="1"/>
  <c r="M55" i="2"/>
  <c r="N55" i="2" s="1"/>
  <c r="M217" i="2"/>
  <c r="N217" i="2" s="1"/>
  <c r="M176" i="2"/>
  <c r="N176" i="2" s="1"/>
  <c r="M166" i="2"/>
  <c r="N166" i="2" s="1"/>
  <c r="M162" i="2"/>
  <c r="N162" i="2" s="1"/>
  <c r="M108" i="2"/>
  <c r="N108" i="2" s="1"/>
  <c r="M78" i="2"/>
  <c r="N78" i="2" s="1"/>
  <c r="M60" i="2"/>
  <c r="N60" i="2" s="1"/>
  <c r="M46" i="2"/>
  <c r="N46" i="2" s="1"/>
  <c r="M350" i="2"/>
  <c r="N350" i="2" s="1"/>
  <c r="M291" i="2"/>
  <c r="N291" i="2" s="1"/>
  <c r="M285" i="2"/>
  <c r="N285" i="2" s="1"/>
  <c r="M240" i="2"/>
  <c r="N240" i="2" s="1"/>
  <c r="M236" i="2"/>
  <c r="N236" i="2" s="1"/>
  <c r="M204" i="2"/>
  <c r="N204" i="2" s="1"/>
  <c r="M164" i="2"/>
  <c r="N164" i="2" s="1"/>
  <c r="M83" i="2"/>
  <c r="N83" i="2" s="1"/>
  <c r="M51" i="2"/>
  <c r="N51" i="2" s="1"/>
  <c r="M42" i="2"/>
  <c r="N42" i="2" s="1"/>
  <c r="M26" i="2"/>
  <c r="N26" i="2" s="1"/>
  <c r="M17" i="2"/>
  <c r="N17" i="2" s="1"/>
  <c r="M373" i="2"/>
  <c r="N373" i="2" s="1"/>
  <c r="M337" i="2"/>
  <c r="N337" i="2" s="1"/>
  <c r="M289" i="2"/>
  <c r="N289" i="2" s="1"/>
  <c r="M272" i="2"/>
  <c r="N272" i="2" s="1"/>
  <c r="M257" i="2"/>
  <c r="N257" i="2" s="1"/>
  <c r="M251" i="2"/>
  <c r="N251" i="2" s="1"/>
  <c r="M225" i="2"/>
  <c r="N225" i="2" s="1"/>
  <c r="M160" i="2"/>
  <c r="N160" i="2" s="1"/>
  <c r="M152" i="2"/>
  <c r="N152" i="2" s="1"/>
  <c r="M124" i="2"/>
  <c r="N124" i="2" s="1"/>
  <c r="M101" i="2"/>
  <c r="N101" i="2" s="1"/>
  <c r="M88" i="2"/>
  <c r="N88" i="2" s="1"/>
  <c r="M56" i="2"/>
  <c r="N56" i="2" s="1"/>
  <c r="M38" i="2"/>
  <c r="N38" i="2" s="1"/>
  <c r="M326" i="2"/>
  <c r="N326" i="2" s="1"/>
  <c r="M278" i="2"/>
  <c r="N278" i="2" s="1"/>
  <c r="M235" i="2"/>
  <c r="N235" i="2" s="1"/>
  <c r="M210" i="2"/>
  <c r="N210" i="2" s="1"/>
  <c r="M201" i="2"/>
  <c r="N201" i="2" s="1"/>
  <c r="M169" i="2"/>
  <c r="N169" i="2" s="1"/>
  <c r="M130" i="2"/>
  <c r="N130" i="2" s="1"/>
  <c r="M29" i="2"/>
  <c r="N29" i="2" s="1"/>
  <c r="M113" i="2"/>
  <c r="N113" i="2" s="1"/>
  <c r="M62" i="2"/>
  <c r="N62" i="2" s="1"/>
  <c r="M19" i="2"/>
  <c r="N19" i="2" s="1"/>
  <c r="M195" i="2"/>
  <c r="N195" i="2" s="1"/>
  <c r="M150" i="2"/>
  <c r="N150" i="2" s="1"/>
  <c r="M112" i="2"/>
  <c r="N112" i="2" s="1"/>
  <c r="M106" i="2"/>
  <c r="N106" i="2" s="1"/>
  <c r="M349" i="2"/>
  <c r="N349" i="2" s="1"/>
  <c r="M324" i="2"/>
  <c r="N324" i="2" s="1"/>
  <c r="M263" i="2"/>
  <c r="N263" i="2" s="1"/>
  <c r="M181" i="2"/>
  <c r="N181" i="2" s="1"/>
  <c r="M229" i="2"/>
  <c r="N229" i="2" s="1"/>
  <c r="M122" i="2"/>
  <c r="N122" i="2" s="1"/>
  <c r="M61" i="2"/>
  <c r="N61" i="2" s="1"/>
  <c r="M14" i="2"/>
  <c r="N14" i="2" s="1"/>
  <c r="M12" i="2"/>
  <c r="N12" i="2" s="1"/>
  <c r="M137" i="2"/>
  <c r="N137" i="2" s="1"/>
  <c r="M85" i="2"/>
  <c r="N85" i="2" s="1"/>
  <c r="M53" i="2"/>
  <c r="N53" i="2" s="1"/>
  <c r="M33" i="2"/>
  <c r="N33" i="2" s="1"/>
  <c r="M342" i="2"/>
  <c r="N342" i="2" s="1"/>
  <c r="M214" i="2"/>
  <c r="N214" i="2" s="1"/>
  <c r="M154" i="2"/>
  <c r="N154" i="2" s="1"/>
  <c r="M171" i="2"/>
  <c r="N171" i="2" s="1"/>
  <c r="M323" i="2"/>
  <c r="N323" i="2" s="1"/>
  <c r="S3" i="4"/>
  <c r="B63" i="1"/>
  <c r="J3" i="2" s="1"/>
  <c r="B8" i="5"/>
  <c r="E5" i="1"/>
  <c r="J5" i="1" s="1"/>
  <c r="B4" i="2"/>
  <c r="M84" i="2"/>
  <c r="N84" i="2" s="1"/>
  <c r="M125" i="2"/>
  <c r="N125" i="2" s="1"/>
  <c r="M57" i="2"/>
  <c r="N57" i="2" s="1"/>
  <c r="M43" i="2"/>
  <c r="N43" i="2" s="1"/>
  <c r="M52" i="2"/>
  <c r="N52" i="2" s="1"/>
  <c r="M28" i="2"/>
  <c r="N28" i="2" s="1"/>
  <c r="M35" i="2"/>
  <c r="N35" i="2" s="1"/>
  <c r="M67" i="2"/>
  <c r="N67" i="2" s="1"/>
  <c r="M179" i="2"/>
  <c r="N179" i="2" s="1"/>
  <c r="M256" i="2"/>
  <c r="N256" i="2" s="1"/>
  <c r="M280" i="2"/>
  <c r="N280" i="2" s="1"/>
  <c r="M58" i="2"/>
  <c r="N58" i="2" s="1"/>
  <c r="M203" i="2"/>
  <c r="N203" i="2" s="1"/>
  <c r="M218" i="2"/>
  <c r="N218" i="2" s="1"/>
  <c r="M357" i="2"/>
  <c r="N357" i="2" s="1"/>
  <c r="C8" i="7"/>
  <c r="D8" i="7" s="1"/>
  <c r="Q11" i="2"/>
  <c r="T11" i="2" s="1"/>
  <c r="B67" i="1"/>
  <c r="N3" i="2" s="1"/>
  <c r="K29" i="1"/>
  <c r="C4" i="7"/>
  <c r="D4" i="7" s="1"/>
  <c r="B54" i="1"/>
  <c r="B3" i="2" s="1"/>
  <c r="M161" i="2"/>
  <c r="N161" i="2" s="1"/>
  <c r="C2" i="5"/>
  <c r="C19" i="7"/>
  <c r="D18" i="7" s="1"/>
  <c r="O5" i="3"/>
  <c r="E6" i="3" s="1"/>
  <c r="B78" i="1"/>
  <c r="U4" i="2" s="1"/>
  <c r="T32" i="4"/>
  <c r="T31" i="4"/>
  <c r="T30" i="4"/>
  <c r="T29" i="4"/>
  <c r="T28" i="4"/>
  <c r="T27" i="4"/>
  <c r="T26" i="4"/>
  <c r="T25" i="4"/>
  <c r="T24" i="4"/>
  <c r="T23" i="4"/>
  <c r="T22" i="4"/>
  <c r="T21" i="4"/>
  <c r="T20" i="4"/>
  <c r="T19" i="4"/>
  <c r="T18" i="4"/>
  <c r="T17" i="4"/>
  <c r="T16" i="4"/>
  <c r="T15" i="4"/>
  <c r="T14" i="4"/>
  <c r="T13" i="4"/>
  <c r="T12" i="4"/>
  <c r="T11" i="4"/>
  <c r="T10" i="4"/>
  <c r="T9" i="4"/>
  <c r="T8" i="4"/>
  <c r="T7" i="4"/>
  <c r="T6" i="4"/>
  <c r="T5" i="4"/>
  <c r="T4" i="4"/>
  <c r="T3" i="4"/>
  <c r="T2" i="4"/>
  <c r="M32" i="1"/>
  <c r="B53" i="1" s="1"/>
  <c r="B2" i="2" s="1"/>
  <c r="B28" i="1"/>
  <c r="E28" i="1"/>
  <c r="M30" i="1" a="1"/>
  <c r="M30" i="1" s="1"/>
  <c r="M31" i="1" s="1"/>
  <c r="M33" i="1" s="1"/>
  <c r="C13" i="7"/>
  <c r="D13" i="7" s="1"/>
  <c r="K27" i="4"/>
  <c r="E11" i="1" s="1"/>
  <c r="J11" i="1" s="1"/>
  <c r="E14" i="3"/>
  <c r="C9" i="7"/>
  <c r="D9" i="7" s="1"/>
  <c r="K31" i="1"/>
  <c r="R11" i="2"/>
  <c r="K30" i="1"/>
  <c r="B36" i="1"/>
  <c r="C15" i="7"/>
  <c r="D15" i="7" s="1"/>
  <c r="B42" i="1"/>
  <c r="B32" i="1"/>
  <c r="O6" i="3"/>
  <c r="E10" i="3" s="1"/>
  <c r="K21" i="3" s="1"/>
  <c r="C21" i="7"/>
  <c r="D21" i="7" s="1"/>
  <c r="C3" i="5"/>
  <c r="E3" i="5" s="1"/>
  <c r="C4" i="5"/>
  <c r="E4" i="5" s="1"/>
  <c r="C20" i="7"/>
  <c r="D20" i="7" s="1"/>
  <c r="O8" i="3"/>
  <c r="A4" i="4"/>
  <c r="B3" i="4"/>
  <c r="D3" i="7" l="1"/>
  <c r="M36" i="1"/>
  <c r="G3" i="4"/>
  <c r="C3" i="4"/>
  <c r="C13" i="5"/>
  <c r="C12" i="5"/>
  <c r="H1" i="5" s="1"/>
  <c r="N7" i="2"/>
  <c r="F370" i="3"/>
  <c r="G370" i="3" s="1"/>
  <c r="F354" i="3"/>
  <c r="G354" i="3" s="1"/>
  <c r="F338" i="3"/>
  <c r="G338" i="3" s="1"/>
  <c r="F322" i="3"/>
  <c r="G322" i="3" s="1"/>
  <c r="F306" i="3"/>
  <c r="G306" i="3" s="1"/>
  <c r="F290" i="3"/>
  <c r="G290" i="3" s="1"/>
  <c r="F384" i="3"/>
  <c r="G384" i="3" s="1"/>
  <c r="F278" i="3"/>
  <c r="G278" i="3" s="1"/>
  <c r="F302" i="3"/>
  <c r="G302" i="3" s="1"/>
  <c r="F332" i="3"/>
  <c r="G332" i="3" s="1"/>
  <c r="F317" i="3"/>
  <c r="G317" i="3" s="1"/>
  <c r="F377" i="3"/>
  <c r="G377" i="3" s="1"/>
  <c r="F361" i="3"/>
  <c r="G361" i="3" s="1"/>
  <c r="F345" i="3"/>
  <c r="G345" i="3" s="1"/>
  <c r="F320" i="3"/>
  <c r="G320" i="3" s="1"/>
  <c r="F231" i="3"/>
  <c r="G231" i="3" s="1"/>
  <c r="F379" i="3"/>
  <c r="G379" i="3" s="1"/>
  <c r="F363" i="3"/>
  <c r="G363" i="3" s="1"/>
  <c r="F347" i="3"/>
  <c r="G347" i="3" s="1"/>
  <c r="F324" i="3"/>
  <c r="G324" i="3" s="1"/>
  <c r="F315" i="3"/>
  <c r="G315" i="3" s="1"/>
  <c r="F385" i="3"/>
  <c r="G385" i="3" s="1"/>
  <c r="F308" i="3"/>
  <c r="G308" i="3" s="1"/>
  <c r="F303" i="3"/>
  <c r="G303" i="3" s="1"/>
  <c r="F270" i="3"/>
  <c r="G270" i="3" s="1"/>
  <c r="F264" i="3"/>
  <c r="G264" i="3" s="1"/>
  <c r="F262" i="3"/>
  <c r="G262" i="3" s="1"/>
  <c r="F260" i="3"/>
  <c r="G260" i="3" s="1"/>
  <c r="F258" i="3"/>
  <c r="G258" i="3" s="1"/>
  <c r="F248" i="3"/>
  <c r="G248" i="3" s="1"/>
  <c r="F246" i="3"/>
  <c r="G246" i="3" s="1"/>
  <c r="F244" i="3"/>
  <c r="G244" i="3" s="1"/>
  <c r="F242" i="3"/>
  <c r="G242" i="3" s="1"/>
  <c r="F234" i="3"/>
  <c r="G234" i="3" s="1"/>
  <c r="F157" i="3"/>
  <c r="G157" i="3" s="1"/>
  <c r="F141" i="3"/>
  <c r="G141" i="3" s="1"/>
  <c r="F125" i="3"/>
  <c r="G125" i="3" s="1"/>
  <c r="F109" i="3"/>
  <c r="G109" i="3" s="1"/>
  <c r="F93" i="3"/>
  <c r="G93" i="3" s="1"/>
  <c r="F77" i="3"/>
  <c r="G77" i="3" s="1"/>
  <c r="F61" i="3"/>
  <c r="G61" i="3" s="1"/>
  <c r="F45" i="3"/>
  <c r="G45" i="3" s="1"/>
  <c r="F343" i="3"/>
  <c r="G343" i="3" s="1"/>
  <c r="F295" i="3"/>
  <c r="G295" i="3" s="1"/>
  <c r="F285" i="3"/>
  <c r="G285" i="3" s="1"/>
  <c r="F196" i="3"/>
  <c r="G196" i="3" s="1"/>
  <c r="F148" i="3"/>
  <c r="G148" i="3" s="1"/>
  <c r="F116" i="3"/>
  <c r="G116" i="3" s="1"/>
  <c r="F100" i="3"/>
  <c r="G100" i="3" s="1"/>
  <c r="F381" i="3"/>
  <c r="G381" i="3" s="1"/>
  <c r="F351" i="3"/>
  <c r="G351" i="3" s="1"/>
  <c r="F316" i="3"/>
  <c r="G316" i="3" s="1"/>
  <c r="F146" i="3"/>
  <c r="G146" i="3" s="1"/>
  <c r="F130" i="3"/>
  <c r="G130" i="3" s="1"/>
  <c r="F114" i="3"/>
  <c r="G114" i="3" s="1"/>
  <c r="F98" i="3"/>
  <c r="G98" i="3" s="1"/>
  <c r="F82" i="3"/>
  <c r="G82" i="3" s="1"/>
  <c r="F358" i="3"/>
  <c r="G358" i="3" s="1"/>
  <c r="F339" i="3"/>
  <c r="G339" i="3" s="1"/>
  <c r="F310" i="3"/>
  <c r="G310" i="3" s="1"/>
  <c r="F286" i="3"/>
  <c r="G286" i="3" s="1"/>
  <c r="F283" i="3"/>
  <c r="G283" i="3" s="1"/>
  <c r="F265" i="3"/>
  <c r="G265" i="3" s="1"/>
  <c r="F197" i="3"/>
  <c r="G197" i="3" s="1"/>
  <c r="F195" i="3"/>
  <c r="G195" i="3" s="1"/>
  <c r="F167" i="3"/>
  <c r="G167" i="3" s="1"/>
  <c r="F165" i="3"/>
  <c r="G165" i="3" s="1"/>
  <c r="F163" i="3"/>
  <c r="G163" i="3" s="1"/>
  <c r="F380" i="3"/>
  <c r="G380" i="3" s="1"/>
  <c r="F367" i="3"/>
  <c r="G367" i="3" s="1"/>
  <c r="F214" i="3"/>
  <c r="G214" i="3" s="1"/>
  <c r="F331" i="3"/>
  <c r="G331" i="3" s="1"/>
  <c r="F229" i="3"/>
  <c r="G229" i="3" s="1"/>
  <c r="F216" i="3"/>
  <c r="G216" i="3" s="1"/>
  <c r="F192" i="3"/>
  <c r="G192" i="3" s="1"/>
  <c r="F155" i="3"/>
  <c r="G155" i="3" s="1"/>
  <c r="F138" i="3"/>
  <c r="G138" i="3" s="1"/>
  <c r="F123" i="3"/>
  <c r="G123" i="3" s="1"/>
  <c r="F106" i="3"/>
  <c r="G106" i="3" s="1"/>
  <c r="F91" i="3"/>
  <c r="G91" i="3" s="1"/>
  <c r="F366" i="3"/>
  <c r="G366" i="3" s="1"/>
  <c r="F76" i="3"/>
  <c r="G76" i="3" s="1"/>
  <c r="F34" i="3"/>
  <c r="G34" i="3" s="1"/>
  <c r="F350" i="3"/>
  <c r="G350" i="3" s="1"/>
  <c r="F301" i="3"/>
  <c r="G301" i="3" s="1"/>
  <c r="F298" i="3"/>
  <c r="G298" i="3" s="1"/>
  <c r="F251" i="3"/>
  <c r="G251" i="3" s="1"/>
  <c r="F323" i="3"/>
  <c r="G323" i="3" s="1"/>
  <c r="F237" i="3"/>
  <c r="G237" i="3" s="1"/>
  <c r="F218" i="3"/>
  <c r="G218" i="3" s="1"/>
  <c r="F211" i="3"/>
  <c r="G211" i="3" s="1"/>
  <c r="F187" i="3"/>
  <c r="G187" i="3" s="1"/>
  <c r="F127" i="3"/>
  <c r="G127" i="3" s="1"/>
  <c r="F95" i="3"/>
  <c r="G95" i="3" s="1"/>
  <c r="F32" i="3"/>
  <c r="G32" i="3" s="1"/>
  <c r="F326" i="3"/>
  <c r="G326" i="3" s="1"/>
  <c r="F129" i="3"/>
  <c r="G129" i="3" s="1"/>
  <c r="F97" i="3"/>
  <c r="G97" i="3" s="1"/>
  <c r="F57" i="3"/>
  <c r="G57" i="3" s="1"/>
  <c r="F55" i="3"/>
  <c r="G55" i="3" s="1"/>
  <c r="F198" i="3"/>
  <c r="G198" i="3" s="1"/>
  <c r="F176" i="3"/>
  <c r="G176" i="3" s="1"/>
  <c r="F169" i="3"/>
  <c r="G169" i="3" s="1"/>
  <c r="F117" i="3"/>
  <c r="G117" i="3" s="1"/>
  <c r="F103" i="3"/>
  <c r="G103" i="3" s="1"/>
  <c r="F224" i="3"/>
  <c r="G224" i="3" s="1"/>
  <c r="F188" i="3"/>
  <c r="G188" i="3" s="1"/>
  <c r="F360" i="3"/>
  <c r="G360" i="3" s="1"/>
  <c r="F355" i="3"/>
  <c r="G355" i="3" s="1"/>
  <c r="F269" i="3"/>
  <c r="G269" i="3" s="1"/>
  <c r="F261" i="3"/>
  <c r="G261" i="3" s="1"/>
  <c r="F31" i="3"/>
  <c r="G31" i="3" s="1"/>
  <c r="F309" i="3"/>
  <c r="G309" i="3" s="1"/>
  <c r="F185" i="3"/>
  <c r="G185" i="3" s="1"/>
  <c r="F33" i="3"/>
  <c r="G33" i="3" s="1"/>
  <c r="F30" i="3"/>
  <c r="G30" i="3" s="1"/>
  <c r="F121" i="3"/>
  <c r="G121" i="3" s="1"/>
  <c r="F69" i="3"/>
  <c r="G69" i="3" s="1"/>
  <c r="F60" i="3"/>
  <c r="G60" i="3" s="1"/>
  <c r="F341" i="3"/>
  <c r="G341" i="3" s="1"/>
  <c r="F271" i="3"/>
  <c r="G271" i="3" s="1"/>
  <c r="F222" i="3"/>
  <c r="G222" i="3" s="1"/>
  <c r="F184" i="3"/>
  <c r="G184" i="3" s="1"/>
  <c r="F58" i="3"/>
  <c r="G58" i="3" s="1"/>
  <c r="F21" i="3"/>
  <c r="G21" i="3" s="1"/>
  <c r="F340" i="3"/>
  <c r="G340" i="3" s="1"/>
  <c r="F353" i="3"/>
  <c r="G353" i="3" s="1"/>
  <c r="F333" i="3"/>
  <c r="G333" i="3" s="1"/>
  <c r="F227" i="3"/>
  <c r="G227" i="3" s="1"/>
  <c r="F96" i="3"/>
  <c r="G96" i="3" s="1"/>
  <c r="F56" i="3"/>
  <c r="G56" i="3" s="1"/>
  <c r="F48" i="3"/>
  <c r="G48" i="3" s="1"/>
  <c r="F44" i="3"/>
  <c r="G44" i="3" s="1"/>
  <c r="F36" i="3"/>
  <c r="G36" i="3" s="1"/>
  <c r="F299" i="3"/>
  <c r="G299" i="3" s="1"/>
  <c r="F293" i="3"/>
  <c r="G293" i="3" s="1"/>
  <c r="F190" i="3"/>
  <c r="G190" i="3" s="1"/>
  <c r="F80" i="3"/>
  <c r="G80" i="3" s="1"/>
  <c r="F236" i="3"/>
  <c r="G236" i="3" s="1"/>
  <c r="F99" i="3"/>
  <c r="G99" i="3" s="1"/>
  <c r="F63" i="3"/>
  <c r="G63" i="3" s="1"/>
  <c r="F356" i="3"/>
  <c r="G356" i="3" s="1"/>
  <c r="F160" i="3"/>
  <c r="G160" i="3" s="1"/>
  <c r="F79" i="3"/>
  <c r="G79" i="3" s="1"/>
  <c r="F171" i="3"/>
  <c r="G171" i="3" s="1"/>
  <c r="F134" i="3"/>
  <c r="G134" i="3" s="1"/>
  <c r="F94" i="3"/>
  <c r="G94" i="3" s="1"/>
  <c r="F215" i="3"/>
  <c r="G215" i="3" s="1"/>
  <c r="F193" i="3"/>
  <c r="G193" i="3" s="1"/>
  <c r="F149" i="3"/>
  <c r="G149" i="3" s="1"/>
  <c r="F181" i="3"/>
  <c r="G181" i="3" s="1"/>
  <c r="F279" i="3"/>
  <c r="G279" i="3" s="1"/>
  <c r="F233" i="3"/>
  <c r="G233" i="3" s="1"/>
  <c r="F249" i="3"/>
  <c r="G249" i="3" s="1"/>
  <c r="F208" i="3"/>
  <c r="G208" i="3" s="1"/>
  <c r="F110" i="3"/>
  <c r="G110" i="3" s="1"/>
  <c r="F90" i="3"/>
  <c r="G90" i="3" s="1"/>
  <c r="F177" i="3"/>
  <c r="G177" i="3" s="1"/>
  <c r="F273" i="3"/>
  <c r="G273" i="3" s="1"/>
  <c r="F206" i="3"/>
  <c r="G206" i="3" s="1"/>
  <c r="F107" i="3"/>
  <c r="G107" i="3" s="1"/>
  <c r="F126" i="3"/>
  <c r="G126" i="3" s="1"/>
  <c r="F120" i="3"/>
  <c r="G120" i="3" s="1"/>
  <c r="F250" i="3"/>
  <c r="G250" i="3" s="1"/>
  <c r="F136" i="3"/>
  <c r="G136" i="3" s="1"/>
  <c r="F85" i="3"/>
  <c r="G85" i="3" s="1"/>
  <c r="F66" i="3"/>
  <c r="G66" i="3" s="1"/>
  <c r="F112" i="3"/>
  <c r="G112" i="3" s="1"/>
  <c r="F73" i="3"/>
  <c r="G73" i="3" s="1"/>
  <c r="F131" i="3"/>
  <c r="G131" i="3" s="1"/>
  <c r="F101" i="3"/>
  <c r="G101" i="3" s="1"/>
  <c r="F277" i="3"/>
  <c r="G277" i="3" s="1"/>
  <c r="D2" i="4"/>
  <c r="F374" i="2"/>
  <c r="F358" i="2"/>
  <c r="F342" i="2"/>
  <c r="F326" i="2"/>
  <c r="G326" i="2" s="1"/>
  <c r="H326" i="2" s="1"/>
  <c r="F310" i="2"/>
  <c r="D3" i="4"/>
  <c r="F373" i="2"/>
  <c r="F357" i="2"/>
  <c r="G357" i="2" s="1"/>
  <c r="H357" i="2" s="1"/>
  <c r="F367" i="2"/>
  <c r="G367" i="2" s="1"/>
  <c r="H367" i="2" s="1"/>
  <c r="F338" i="2"/>
  <c r="G338" i="2" s="1"/>
  <c r="H338" i="2" s="1"/>
  <c r="F329" i="2"/>
  <c r="G329" i="2" s="1"/>
  <c r="H329" i="2" s="1"/>
  <c r="F320" i="2"/>
  <c r="F368" i="2"/>
  <c r="F366" i="2"/>
  <c r="F372" i="2"/>
  <c r="F330" i="2"/>
  <c r="G330" i="2" s="1"/>
  <c r="H330" i="2" s="1"/>
  <c r="F318" i="2"/>
  <c r="F301" i="2"/>
  <c r="F284" i="2"/>
  <c r="F268" i="2"/>
  <c r="G268" i="2" s="1"/>
  <c r="H268" i="2" s="1"/>
  <c r="F252" i="2"/>
  <c r="G252" i="2" s="1"/>
  <c r="H252" i="2" s="1"/>
  <c r="F236" i="2"/>
  <c r="G236" i="2" s="1"/>
  <c r="H236" i="2" s="1"/>
  <c r="F220" i="2"/>
  <c r="G220" i="2" s="1"/>
  <c r="H220" i="2" s="1"/>
  <c r="F204" i="2"/>
  <c r="G204" i="2" s="1"/>
  <c r="H204" i="2" s="1"/>
  <c r="F188" i="2"/>
  <c r="F172" i="2"/>
  <c r="F156" i="2"/>
  <c r="F361" i="2"/>
  <c r="F337" i="2"/>
  <c r="F314" i="2"/>
  <c r="F299" i="2"/>
  <c r="G299" i="2" s="1"/>
  <c r="H299" i="2" s="1"/>
  <c r="F283" i="2"/>
  <c r="F267" i="2"/>
  <c r="G267" i="2" s="1"/>
  <c r="H267" i="2" s="1"/>
  <c r="F251" i="2"/>
  <c r="G251" i="2" s="1"/>
  <c r="H251" i="2" s="1"/>
  <c r="F235" i="2"/>
  <c r="F219" i="2"/>
  <c r="G219" i="2" s="1"/>
  <c r="H219" i="2" s="1"/>
  <c r="F203" i="2"/>
  <c r="F187" i="2"/>
  <c r="G187" i="2" s="1"/>
  <c r="H187" i="2" s="1"/>
  <c r="F171" i="2"/>
  <c r="G171" i="2" s="1"/>
  <c r="H171" i="2" s="1"/>
  <c r="F155" i="2"/>
  <c r="G155" i="2" s="1"/>
  <c r="H155" i="2" s="1"/>
  <c r="F360" i="2"/>
  <c r="F335" i="2"/>
  <c r="F328" i="2"/>
  <c r="F285" i="2"/>
  <c r="F259" i="2"/>
  <c r="F233" i="2"/>
  <c r="F207" i="2"/>
  <c r="F183" i="2"/>
  <c r="F182" i="2"/>
  <c r="F181" i="2"/>
  <c r="F157" i="2"/>
  <c r="F129" i="2"/>
  <c r="G129" i="2" s="1"/>
  <c r="H129" i="2" s="1"/>
  <c r="F113" i="2"/>
  <c r="G113" i="2" s="1"/>
  <c r="H113" i="2" s="1"/>
  <c r="F375" i="2"/>
  <c r="G375" i="2" s="1"/>
  <c r="H375" i="2" s="1"/>
  <c r="F356" i="2"/>
  <c r="G356" i="2" s="1"/>
  <c r="H356" i="2" s="1"/>
  <c r="F343" i="2"/>
  <c r="F322" i="2"/>
  <c r="F280" i="2"/>
  <c r="F254" i="2"/>
  <c r="F228" i="2"/>
  <c r="F202" i="2"/>
  <c r="F178" i="2"/>
  <c r="F177" i="2"/>
  <c r="F176" i="2"/>
  <c r="G176" i="2" s="1"/>
  <c r="H176" i="2" s="1"/>
  <c r="F152" i="2"/>
  <c r="F128" i="2"/>
  <c r="F112" i="2"/>
  <c r="G112" i="2" s="1"/>
  <c r="H112" i="2" s="1"/>
  <c r="F350" i="2"/>
  <c r="G350" i="2" s="1"/>
  <c r="H350" i="2" s="1"/>
  <c r="F334" i="2"/>
  <c r="G334" i="2" s="1"/>
  <c r="H334" i="2" s="1"/>
  <c r="F293" i="2"/>
  <c r="G293" i="2" s="1"/>
  <c r="H293" i="2" s="1"/>
  <c r="F282" i="2"/>
  <c r="G282" i="2" s="1"/>
  <c r="H282" i="2" s="1"/>
  <c r="F271" i="2"/>
  <c r="F249" i="2"/>
  <c r="F237" i="2"/>
  <c r="F227" i="2"/>
  <c r="F215" i="2"/>
  <c r="G215" i="2" s="1"/>
  <c r="H215" i="2" s="1"/>
  <c r="F150" i="2"/>
  <c r="G150" i="2" s="1"/>
  <c r="H150" i="2" s="1"/>
  <c r="F125" i="2"/>
  <c r="F93" i="2"/>
  <c r="F77" i="2"/>
  <c r="F61" i="2"/>
  <c r="F45" i="2"/>
  <c r="F29" i="2"/>
  <c r="G29" i="2" s="1"/>
  <c r="H29" i="2" s="1"/>
  <c r="F13" i="2"/>
  <c r="G13" i="2" s="1"/>
  <c r="H13" i="2" s="1"/>
  <c r="F354" i="2"/>
  <c r="G354" i="2" s="1"/>
  <c r="H354" i="2" s="1"/>
  <c r="F313" i="2"/>
  <c r="G313" i="2" s="1"/>
  <c r="H313" i="2" s="1"/>
  <c r="F302" i="2"/>
  <c r="F272" i="2"/>
  <c r="F260" i="2"/>
  <c r="G260" i="2" s="1"/>
  <c r="H260" i="2" s="1"/>
  <c r="F250" i="2"/>
  <c r="F238" i="2"/>
  <c r="G238" i="2" s="1"/>
  <c r="H238" i="2" s="1"/>
  <c r="F216" i="2"/>
  <c r="F205" i="2"/>
  <c r="F194" i="2"/>
  <c r="G194" i="2" s="1"/>
  <c r="H194" i="2" s="1"/>
  <c r="F161" i="2"/>
  <c r="F339" i="2"/>
  <c r="F331" i="2"/>
  <c r="F323" i="2"/>
  <c r="G323" i="2" s="1"/>
  <c r="H323" i="2" s="1"/>
  <c r="F303" i="2"/>
  <c r="G303" i="2" s="1"/>
  <c r="H303" i="2" s="1"/>
  <c r="F273" i="2"/>
  <c r="G273" i="2" s="1"/>
  <c r="H273" i="2" s="1"/>
  <c r="F240" i="2"/>
  <c r="G240" i="2" s="1"/>
  <c r="H240" i="2" s="1"/>
  <c r="F229" i="2"/>
  <c r="G229" i="2" s="1"/>
  <c r="H229" i="2" s="1"/>
  <c r="F218" i="2"/>
  <c r="F196" i="2"/>
  <c r="F184" i="2"/>
  <c r="F174" i="2"/>
  <c r="F162" i="2"/>
  <c r="F120" i="2"/>
  <c r="G120" i="2" s="1"/>
  <c r="H120" i="2" s="1"/>
  <c r="F103" i="2"/>
  <c r="F92" i="2"/>
  <c r="G92" i="2" s="1"/>
  <c r="H92" i="2" s="1"/>
  <c r="F76" i="2"/>
  <c r="G76" i="2" s="1"/>
  <c r="H76" i="2" s="1"/>
  <c r="F60" i="2"/>
  <c r="G60" i="2" s="1"/>
  <c r="H60" i="2" s="1"/>
  <c r="F44" i="2"/>
  <c r="G44" i="2" s="1"/>
  <c r="H44" i="2" s="1"/>
  <c r="F28" i="2"/>
  <c r="F12" i="2"/>
  <c r="G12" i="2" s="1"/>
  <c r="H12" i="2" s="1"/>
  <c r="F351" i="2"/>
  <c r="G351" i="2" s="1"/>
  <c r="H351" i="2" s="1"/>
  <c r="F347" i="2"/>
  <c r="F327" i="2"/>
  <c r="F295" i="2"/>
  <c r="F262" i="2"/>
  <c r="F197" i="2"/>
  <c r="F185" i="2"/>
  <c r="G185" i="2" s="1"/>
  <c r="H185" i="2" s="1"/>
  <c r="F175" i="2"/>
  <c r="F163" i="2"/>
  <c r="G163" i="2" s="1"/>
  <c r="H163" i="2" s="1"/>
  <c r="F362" i="2"/>
  <c r="G362" i="2" s="1"/>
  <c r="H362" i="2" s="1"/>
  <c r="F353" i="2"/>
  <c r="F321" i="2"/>
  <c r="G321" i="2" s="1"/>
  <c r="H321" i="2" s="1"/>
  <c r="F309" i="2"/>
  <c r="F304" i="2"/>
  <c r="G304" i="2" s="1"/>
  <c r="H304" i="2" s="1"/>
  <c r="F210" i="2"/>
  <c r="G210" i="2" s="1"/>
  <c r="H210" i="2" s="1"/>
  <c r="F136" i="2"/>
  <c r="G136" i="2" s="1"/>
  <c r="H136" i="2" s="1"/>
  <c r="F131" i="2"/>
  <c r="F116" i="2"/>
  <c r="F80" i="2"/>
  <c r="F56" i="2"/>
  <c r="F55" i="2"/>
  <c r="G55" i="2" s="1"/>
  <c r="H55" i="2" s="1"/>
  <c r="F54" i="2"/>
  <c r="F32" i="2"/>
  <c r="F319" i="2"/>
  <c r="F245" i="2"/>
  <c r="G245" i="2" s="1"/>
  <c r="H245" i="2" s="1"/>
  <c r="F223" i="2"/>
  <c r="G223" i="2" s="1"/>
  <c r="H223" i="2" s="1"/>
  <c r="F201" i="2"/>
  <c r="G201" i="2" s="1"/>
  <c r="H201" i="2" s="1"/>
  <c r="F198" i="2"/>
  <c r="G198" i="2" s="1"/>
  <c r="H198" i="2" s="1"/>
  <c r="F154" i="2"/>
  <c r="G154" i="2" s="1"/>
  <c r="H154" i="2" s="1"/>
  <c r="F141" i="2"/>
  <c r="G141" i="2" s="1"/>
  <c r="H141" i="2" s="1"/>
  <c r="F117" i="2"/>
  <c r="G117" i="2" s="1"/>
  <c r="H117" i="2" s="1"/>
  <c r="F79" i="2"/>
  <c r="G79" i="2" s="1"/>
  <c r="H79" i="2" s="1"/>
  <c r="F53" i="2"/>
  <c r="F31" i="2"/>
  <c r="F324" i="2"/>
  <c r="F292" i="2"/>
  <c r="F289" i="2"/>
  <c r="G289" i="2" s="1"/>
  <c r="H289" i="2" s="1"/>
  <c r="F286" i="2"/>
  <c r="G286" i="2" s="1"/>
  <c r="H286" i="2" s="1"/>
  <c r="F270" i="2"/>
  <c r="G270" i="2" s="1"/>
  <c r="H270" i="2" s="1"/>
  <c r="F264" i="2"/>
  <c r="F248" i="2"/>
  <c r="G248" i="2" s="1"/>
  <c r="H248" i="2" s="1"/>
  <c r="F242" i="2"/>
  <c r="G242" i="2" s="1"/>
  <c r="H242" i="2" s="1"/>
  <c r="F226" i="2"/>
  <c r="G226" i="2" s="1"/>
  <c r="H226" i="2" s="1"/>
  <c r="F364" i="2"/>
  <c r="G364" i="2" s="1"/>
  <c r="H364" i="2" s="1"/>
  <c r="F340" i="2"/>
  <c r="G340" i="2" s="1"/>
  <c r="H340" i="2" s="1"/>
  <c r="F333" i="2"/>
  <c r="F277" i="2"/>
  <c r="F261" i="2"/>
  <c r="F239" i="2"/>
  <c r="F217" i="2"/>
  <c r="F195" i="2"/>
  <c r="F173" i="2"/>
  <c r="F151" i="2"/>
  <c r="F137" i="2"/>
  <c r="G137" i="2" s="1"/>
  <c r="H137" i="2" s="1"/>
  <c r="F118" i="2"/>
  <c r="G118" i="2" s="1"/>
  <c r="H118" i="2" s="1"/>
  <c r="F104" i="2"/>
  <c r="G104" i="2" s="1"/>
  <c r="H104" i="2" s="1"/>
  <c r="F101" i="2"/>
  <c r="F75" i="2"/>
  <c r="F51" i="2"/>
  <c r="F50" i="2"/>
  <c r="G50" i="2" s="1"/>
  <c r="H50" i="2" s="1"/>
  <c r="F49" i="2"/>
  <c r="G49" i="2" s="1"/>
  <c r="H49" i="2" s="1"/>
  <c r="F27" i="2"/>
  <c r="F370" i="2"/>
  <c r="F349" i="2"/>
  <c r="G349" i="2" s="1"/>
  <c r="H349" i="2" s="1"/>
  <c r="F296" i="2"/>
  <c r="F274" i="2"/>
  <c r="F255" i="2"/>
  <c r="F230" i="2"/>
  <c r="F208" i="2"/>
  <c r="G208" i="2" s="1"/>
  <c r="H208" i="2" s="1"/>
  <c r="F192" i="2"/>
  <c r="F186" i="2"/>
  <c r="G186" i="2" s="1"/>
  <c r="H186" i="2" s="1"/>
  <c r="F170" i="2"/>
  <c r="F164" i="2"/>
  <c r="G164" i="2" s="1"/>
  <c r="H164" i="2" s="1"/>
  <c r="F148" i="2"/>
  <c r="F145" i="2"/>
  <c r="G145" i="2" s="1"/>
  <c r="H145" i="2" s="1"/>
  <c r="F126" i="2"/>
  <c r="G126" i="2" s="1"/>
  <c r="H126" i="2" s="1"/>
  <c r="F106" i="2"/>
  <c r="G106" i="2" s="1"/>
  <c r="H106" i="2" s="1"/>
  <c r="F105" i="2"/>
  <c r="F100" i="2"/>
  <c r="F74" i="2"/>
  <c r="F48" i="2"/>
  <c r="F26" i="2"/>
  <c r="F316" i="2"/>
  <c r="F311" i="2"/>
  <c r="G311" i="2" s="1"/>
  <c r="H311" i="2" s="1"/>
  <c r="F167" i="2"/>
  <c r="G167" i="2" s="1"/>
  <c r="H167" i="2" s="1"/>
  <c r="F165" i="2"/>
  <c r="G165" i="2" s="1"/>
  <c r="H165" i="2" s="1"/>
  <c r="F135" i="2"/>
  <c r="G135" i="2" s="1"/>
  <c r="H135" i="2" s="1"/>
  <c r="F133" i="2"/>
  <c r="G133" i="2" s="1"/>
  <c r="H133" i="2" s="1"/>
  <c r="F122" i="2"/>
  <c r="G122" i="2" s="1"/>
  <c r="H122" i="2" s="1"/>
  <c r="F119" i="2"/>
  <c r="G119" i="2" s="1"/>
  <c r="H119" i="2" s="1"/>
  <c r="F98" i="2"/>
  <c r="G98" i="2" s="1"/>
  <c r="H98" i="2" s="1"/>
  <c r="F66" i="2"/>
  <c r="F224" i="2"/>
  <c r="F140" i="2"/>
  <c r="G140" i="2" s="1"/>
  <c r="H140" i="2" s="1"/>
  <c r="F138" i="2"/>
  <c r="F130" i="2"/>
  <c r="F84" i="2"/>
  <c r="G84" i="2" s="1"/>
  <c r="H84" i="2" s="1"/>
  <c r="F71" i="2"/>
  <c r="G71" i="2" s="1"/>
  <c r="H71" i="2" s="1"/>
  <c r="F39" i="2"/>
  <c r="G39" i="2" s="1"/>
  <c r="H39" i="2" s="1"/>
  <c r="F34" i="2"/>
  <c r="F365" i="2"/>
  <c r="G365" i="2" s="1"/>
  <c r="H365" i="2" s="1"/>
  <c r="F341" i="2"/>
  <c r="G341" i="2" s="1"/>
  <c r="H341" i="2" s="1"/>
  <c r="F306" i="2"/>
  <c r="F256" i="2"/>
  <c r="G256" i="2" s="1"/>
  <c r="H256" i="2" s="1"/>
  <c r="F222" i="2"/>
  <c r="G222" i="2" s="1"/>
  <c r="H222" i="2" s="1"/>
  <c r="F169" i="2"/>
  <c r="G169" i="2" s="1"/>
  <c r="H169" i="2" s="1"/>
  <c r="F89" i="2"/>
  <c r="G89" i="2" s="1"/>
  <c r="H89" i="2" s="1"/>
  <c r="F57" i="2"/>
  <c r="F19" i="2"/>
  <c r="F315" i="2"/>
  <c r="G315" i="2" s="1"/>
  <c r="H315" i="2" s="1"/>
  <c r="F308" i="2"/>
  <c r="F288" i="2"/>
  <c r="F275" i="2"/>
  <c r="G275" i="2" s="1"/>
  <c r="H275" i="2" s="1"/>
  <c r="F269" i="2"/>
  <c r="G269" i="2" s="1"/>
  <c r="H269" i="2" s="1"/>
  <c r="F258" i="2"/>
  <c r="F243" i="2"/>
  <c r="G243" i="2" s="1"/>
  <c r="H243" i="2" s="1"/>
  <c r="F241" i="2"/>
  <c r="G241" i="2" s="1"/>
  <c r="H241" i="2" s="1"/>
  <c r="F211" i="2"/>
  <c r="G211" i="2" s="1"/>
  <c r="H211" i="2" s="1"/>
  <c r="F209" i="2"/>
  <c r="F153" i="2"/>
  <c r="G153" i="2" s="1"/>
  <c r="H153" i="2" s="1"/>
  <c r="F110" i="2"/>
  <c r="G110" i="2" s="1"/>
  <c r="H110" i="2" s="1"/>
  <c r="F94" i="2"/>
  <c r="F62" i="2"/>
  <c r="G62" i="2" s="1"/>
  <c r="H62" i="2" s="1"/>
  <c r="F24" i="2"/>
  <c r="F14" i="2"/>
  <c r="F346" i="2"/>
  <c r="F325" i="2"/>
  <c r="F290" i="2"/>
  <c r="G290" i="2" s="1"/>
  <c r="H290" i="2" s="1"/>
  <c r="F159" i="2"/>
  <c r="F149" i="2"/>
  <c r="F143" i="2"/>
  <c r="F107" i="2"/>
  <c r="G107" i="2" s="1"/>
  <c r="H107" i="2" s="1"/>
  <c r="F99" i="2"/>
  <c r="G99" i="2" s="1"/>
  <c r="H99" i="2" s="1"/>
  <c r="F85" i="2"/>
  <c r="G85" i="2" s="1"/>
  <c r="H85" i="2" s="1"/>
  <c r="F67" i="2"/>
  <c r="G67" i="2" s="1"/>
  <c r="H67" i="2" s="1"/>
  <c r="F35" i="2"/>
  <c r="G35" i="2" s="1"/>
  <c r="H35" i="2" s="1"/>
  <c r="F359" i="2"/>
  <c r="G359" i="2" s="1"/>
  <c r="H359" i="2" s="1"/>
  <c r="F190" i="2"/>
  <c r="G190" i="2" s="1"/>
  <c r="H190" i="2" s="1"/>
  <c r="F90" i="2"/>
  <c r="G90" i="2" s="1"/>
  <c r="H90" i="2" s="1"/>
  <c r="F72" i="2"/>
  <c r="F58" i="2"/>
  <c r="F40" i="2"/>
  <c r="F20" i="2"/>
  <c r="F371" i="2"/>
  <c r="F305" i="2"/>
  <c r="G305" i="2" s="1"/>
  <c r="H305" i="2" s="1"/>
  <c r="F294" i="2"/>
  <c r="G294" i="2" s="1"/>
  <c r="H294" i="2" s="1"/>
  <c r="F180" i="2"/>
  <c r="F147" i="2"/>
  <c r="F95" i="2"/>
  <c r="F81" i="2"/>
  <c r="F63" i="2"/>
  <c r="G63" i="2" s="1"/>
  <c r="H63" i="2" s="1"/>
  <c r="F30" i="2"/>
  <c r="G30" i="2" s="1"/>
  <c r="H30" i="2" s="1"/>
  <c r="F25" i="2"/>
  <c r="G25" i="2" s="1"/>
  <c r="H25" i="2" s="1"/>
  <c r="F15" i="2"/>
  <c r="G15" i="2" s="1"/>
  <c r="H15" i="2" s="1"/>
  <c r="F348" i="2"/>
  <c r="F345" i="2"/>
  <c r="F317" i="2"/>
  <c r="F312" i="2"/>
  <c r="F213" i="2"/>
  <c r="F200" i="2"/>
  <c r="G200" i="2" s="1"/>
  <c r="H200" i="2" s="1"/>
  <c r="F123" i="2"/>
  <c r="F86" i="2"/>
  <c r="F68" i="2"/>
  <c r="G68" i="2" s="1"/>
  <c r="H68" i="2" s="1"/>
  <c r="F36" i="2"/>
  <c r="G36" i="2" s="1"/>
  <c r="H36" i="2" s="1"/>
  <c r="F298" i="2"/>
  <c r="G298" i="2" s="1"/>
  <c r="H298" i="2" s="1"/>
  <c r="F281" i="2"/>
  <c r="G281" i="2" s="1"/>
  <c r="H281" i="2" s="1"/>
  <c r="F279" i="2"/>
  <c r="G279" i="2" s="1"/>
  <c r="H279" i="2" s="1"/>
  <c r="F266" i="2"/>
  <c r="G266" i="2" s="1"/>
  <c r="H266" i="2" s="1"/>
  <c r="F253" i="2"/>
  <c r="G253" i="2" s="1"/>
  <c r="H253" i="2" s="1"/>
  <c r="F247" i="2"/>
  <c r="G247" i="2" s="1"/>
  <c r="H247" i="2" s="1"/>
  <c r="F234" i="2"/>
  <c r="F232" i="2"/>
  <c r="F221" i="2"/>
  <c r="F134" i="2"/>
  <c r="F111" i="2"/>
  <c r="F91" i="2"/>
  <c r="G91" i="2" s="1"/>
  <c r="H91" i="2" s="1"/>
  <c r="F73" i="2"/>
  <c r="F59" i="2"/>
  <c r="G59" i="2" s="1"/>
  <c r="H59" i="2" s="1"/>
  <c r="F41" i="2"/>
  <c r="F124" i="2"/>
  <c r="F42" i="2"/>
  <c r="F160" i="2"/>
  <c r="G160" i="2" s="1"/>
  <c r="H160" i="2" s="1"/>
  <c r="F142" i="2"/>
  <c r="G142" i="2" s="1"/>
  <c r="H142" i="2" s="1"/>
  <c r="F127" i="2"/>
  <c r="G127" i="2" s="1"/>
  <c r="H127" i="2" s="1"/>
  <c r="F376" i="2"/>
  <c r="G376" i="2" s="1"/>
  <c r="H376" i="2" s="1"/>
  <c r="O376" i="2" s="1"/>
  <c r="H204" i="3" s="1"/>
  <c r="I204" i="3" s="1"/>
  <c r="J204" i="3" s="1"/>
  <c r="F355" i="2"/>
  <c r="F344" i="2"/>
  <c r="F225" i="2"/>
  <c r="G225" i="2" s="1"/>
  <c r="H225" i="2" s="1"/>
  <c r="F83" i="2"/>
  <c r="F369" i="2"/>
  <c r="G369" i="2" s="1"/>
  <c r="H369" i="2" s="1"/>
  <c r="F168" i="2"/>
  <c r="F97" i="2"/>
  <c r="F65" i="2"/>
  <c r="G65" i="2" s="1"/>
  <c r="H65" i="2" s="1"/>
  <c r="F17" i="2"/>
  <c r="G17" i="2" s="1"/>
  <c r="H17" i="2" s="1"/>
  <c r="F287" i="2"/>
  <c r="F278" i="2"/>
  <c r="G278" i="2" s="1"/>
  <c r="H278" i="2" s="1"/>
  <c r="F191" i="2"/>
  <c r="G191" i="2" s="1"/>
  <c r="H191" i="2" s="1"/>
  <c r="F244" i="2"/>
  <c r="G244" i="2" s="1"/>
  <c r="H244" i="2" s="1"/>
  <c r="F146" i="2"/>
  <c r="G146" i="2" s="1"/>
  <c r="H146" i="2" s="1"/>
  <c r="F21" i="2"/>
  <c r="G21" i="2" s="1"/>
  <c r="H21" i="2" s="1"/>
  <c r="F307" i="2"/>
  <c r="G307" i="2" s="1"/>
  <c r="H307" i="2" s="1"/>
  <c r="F82" i="2"/>
  <c r="F47" i="2"/>
  <c r="F336" i="2"/>
  <c r="F297" i="2"/>
  <c r="F139" i="2"/>
  <c r="F212" i="2"/>
  <c r="G212" i="2" s="1"/>
  <c r="H212" i="2" s="1"/>
  <c r="F121" i="2"/>
  <c r="F115" i="2"/>
  <c r="G115" i="2" s="1"/>
  <c r="H115" i="2" s="1"/>
  <c r="F144" i="2"/>
  <c r="G144" i="2" s="1"/>
  <c r="H144" i="2" s="1"/>
  <c r="F108" i="2"/>
  <c r="G108" i="2" s="1"/>
  <c r="H108" i="2" s="1"/>
  <c r="F263" i="2"/>
  <c r="F70" i="2"/>
  <c r="G70" i="2" s="1"/>
  <c r="H70" i="2" s="1"/>
  <c r="F332" i="2"/>
  <c r="G332" i="2" s="1"/>
  <c r="H332" i="2" s="1"/>
  <c r="F193" i="2"/>
  <c r="G193" i="2" s="1"/>
  <c r="H193" i="2" s="1"/>
  <c r="F52" i="2"/>
  <c r="G52" i="2" s="1"/>
  <c r="H52" i="2" s="1"/>
  <c r="F199" i="2"/>
  <c r="G199" i="2" s="1"/>
  <c r="H199" i="2" s="1"/>
  <c r="F132" i="2"/>
  <c r="F22" i="2"/>
  <c r="F109" i="2"/>
  <c r="F43" i="2"/>
  <c r="F352" i="2"/>
  <c r="F166" i="2"/>
  <c r="G166" i="2" s="1"/>
  <c r="H166" i="2" s="1"/>
  <c r="F257" i="2"/>
  <c r="F158" i="2"/>
  <c r="G158" i="2" s="1"/>
  <c r="H158" i="2" s="1"/>
  <c r="F265" i="2"/>
  <c r="F114" i="2"/>
  <c r="G114" i="2" s="1"/>
  <c r="H114" i="2" s="1"/>
  <c r="F18" i="2"/>
  <c r="F179" i="2"/>
  <c r="F206" i="2"/>
  <c r="G206" i="2" s="1"/>
  <c r="H206" i="2" s="1"/>
  <c r="F88" i="2"/>
  <c r="F78" i="2"/>
  <c r="G78" i="2" s="1"/>
  <c r="H78" i="2" s="1"/>
  <c r="F46" i="2"/>
  <c r="G46" i="2" s="1"/>
  <c r="H46" i="2" s="1"/>
  <c r="F38" i="2"/>
  <c r="F189" i="2"/>
  <c r="F69" i="2"/>
  <c r="F291" i="2"/>
  <c r="F37" i="2"/>
  <c r="F214" i="2"/>
  <c r="F276" i="2"/>
  <c r="F33" i="2"/>
  <c r="G33" i="2" s="1"/>
  <c r="H33" i="2" s="1"/>
  <c r="F96" i="2"/>
  <c r="F87" i="2"/>
  <c r="F300" i="2"/>
  <c r="G300" i="2" s="1"/>
  <c r="H300" i="2" s="1"/>
  <c r="F64" i="2"/>
  <c r="G64" i="2" s="1"/>
  <c r="H64" i="2" s="1"/>
  <c r="F16" i="2"/>
  <c r="F231" i="2"/>
  <c r="G231" i="2" s="1"/>
  <c r="H231" i="2" s="1"/>
  <c r="F102" i="2"/>
  <c r="G102" i="2" s="1"/>
  <c r="H102" i="2" s="1"/>
  <c r="F246" i="2"/>
  <c r="G246" i="2" s="1"/>
  <c r="H246" i="2" s="1"/>
  <c r="F23" i="2"/>
  <c r="F363" i="2"/>
  <c r="E379" i="3"/>
  <c r="E363" i="3"/>
  <c r="E347" i="3"/>
  <c r="E331" i="3"/>
  <c r="E315" i="3"/>
  <c r="E299" i="3"/>
  <c r="E386" i="3"/>
  <c r="F386" i="3" s="1"/>
  <c r="G386" i="3" s="1"/>
  <c r="E377" i="3"/>
  <c r="E361" i="3"/>
  <c r="E345" i="3"/>
  <c r="E380" i="3"/>
  <c r="E378" i="3"/>
  <c r="F378" i="3" s="1"/>
  <c r="G378" i="3" s="1"/>
  <c r="E376" i="3"/>
  <c r="F376" i="3" s="1"/>
  <c r="G376" i="3" s="1"/>
  <c r="E374" i="3"/>
  <c r="F374" i="3" s="1"/>
  <c r="G374" i="3" s="1"/>
  <c r="E372" i="3"/>
  <c r="F372" i="3" s="1"/>
  <c r="G372" i="3" s="1"/>
  <c r="E370" i="3"/>
  <c r="E368" i="3"/>
  <c r="F368" i="3" s="1"/>
  <c r="G368" i="3" s="1"/>
  <c r="E366" i="3"/>
  <c r="E364" i="3"/>
  <c r="F364" i="3" s="1"/>
  <c r="G364" i="3" s="1"/>
  <c r="E362" i="3"/>
  <c r="F362" i="3" s="1"/>
  <c r="G362" i="3" s="1"/>
  <c r="E360" i="3"/>
  <c r="E358" i="3"/>
  <c r="E356" i="3"/>
  <c r="E354" i="3"/>
  <c r="E352" i="3"/>
  <c r="F352" i="3" s="1"/>
  <c r="G352" i="3" s="1"/>
  <c r="E350" i="3"/>
  <c r="E348" i="3"/>
  <c r="F348" i="3" s="1"/>
  <c r="G348" i="3" s="1"/>
  <c r="E346" i="3"/>
  <c r="F346" i="3" s="1"/>
  <c r="G346" i="3" s="1"/>
  <c r="E344" i="3"/>
  <c r="F344" i="3" s="1"/>
  <c r="G344" i="3" s="1"/>
  <c r="E342" i="3"/>
  <c r="F342" i="3" s="1"/>
  <c r="G342" i="3" s="1"/>
  <c r="E340" i="3"/>
  <c r="E338" i="3"/>
  <c r="E323" i="3"/>
  <c r="E306" i="3"/>
  <c r="E291" i="3"/>
  <c r="F291" i="3" s="1"/>
  <c r="G291" i="3" s="1"/>
  <c r="E271" i="3"/>
  <c r="E382" i="3"/>
  <c r="F382" i="3" s="1"/>
  <c r="G382" i="3" s="1"/>
  <c r="E336" i="3"/>
  <c r="F336" i="3" s="1"/>
  <c r="G336" i="3" s="1"/>
  <c r="E321" i="3"/>
  <c r="F321" i="3" s="1"/>
  <c r="G321" i="3" s="1"/>
  <c r="E304" i="3"/>
  <c r="F304" i="3" s="1"/>
  <c r="G304" i="3" s="1"/>
  <c r="E334" i="3"/>
  <c r="F334" i="3" s="1"/>
  <c r="G334" i="3" s="1"/>
  <c r="E319" i="3"/>
  <c r="F319" i="3" s="1"/>
  <c r="G319" i="3" s="1"/>
  <c r="E385" i="3"/>
  <c r="E327" i="3"/>
  <c r="F327" i="3" s="1"/>
  <c r="G327" i="3" s="1"/>
  <c r="E318" i="3"/>
  <c r="F318" i="3" s="1"/>
  <c r="G318" i="3" s="1"/>
  <c r="E300" i="3"/>
  <c r="F300" i="3" s="1"/>
  <c r="G300" i="3" s="1"/>
  <c r="E278" i="3"/>
  <c r="E265" i="3"/>
  <c r="E249" i="3"/>
  <c r="E313" i="3"/>
  <c r="F313" i="3" s="1"/>
  <c r="G313" i="3" s="1"/>
  <c r="E302" i="3"/>
  <c r="E276" i="3"/>
  <c r="F276" i="3" s="1"/>
  <c r="G276" i="3" s="1"/>
  <c r="E256" i="3"/>
  <c r="F256" i="3" s="1"/>
  <c r="G256" i="3" s="1"/>
  <c r="E240" i="3"/>
  <c r="F240" i="3" s="1"/>
  <c r="G240" i="3" s="1"/>
  <c r="E224" i="3"/>
  <c r="E322" i="3"/>
  <c r="E298" i="3"/>
  <c r="E288" i="3"/>
  <c r="F288" i="3" s="1"/>
  <c r="G288" i="3" s="1"/>
  <c r="E268" i="3"/>
  <c r="F268" i="3" s="1"/>
  <c r="G268" i="3" s="1"/>
  <c r="E266" i="3"/>
  <c r="F266" i="3" s="1"/>
  <c r="G266" i="3" s="1"/>
  <c r="E254" i="3"/>
  <c r="F254" i="3" s="1"/>
  <c r="G254" i="3" s="1"/>
  <c r="E252" i="3"/>
  <c r="F252" i="3" s="1"/>
  <c r="G252" i="3" s="1"/>
  <c r="E250" i="3"/>
  <c r="E238" i="3"/>
  <c r="F238" i="3" s="1"/>
  <c r="G238" i="3" s="1"/>
  <c r="E236" i="3"/>
  <c r="E214" i="3"/>
  <c r="E198" i="3"/>
  <c r="E182" i="3"/>
  <c r="F182" i="3" s="1"/>
  <c r="G182" i="3" s="1"/>
  <c r="E166" i="3"/>
  <c r="F166" i="3" s="1"/>
  <c r="G166" i="3" s="1"/>
  <c r="E150" i="3"/>
  <c r="F150" i="3" s="1"/>
  <c r="G150" i="3" s="1"/>
  <c r="E134" i="3"/>
  <c r="E118" i="3"/>
  <c r="F118" i="3" s="1"/>
  <c r="G118" i="3" s="1"/>
  <c r="E102" i="3"/>
  <c r="F102" i="3" s="1"/>
  <c r="G102" i="3" s="1"/>
  <c r="E86" i="3"/>
  <c r="F86" i="3" s="1"/>
  <c r="G86" i="3" s="1"/>
  <c r="E70" i="3"/>
  <c r="F70" i="3" s="1"/>
  <c r="G70" i="3" s="1"/>
  <c r="E54" i="3"/>
  <c r="F54" i="3" s="1"/>
  <c r="G54" i="3" s="1"/>
  <c r="E373" i="3"/>
  <c r="F373" i="3" s="1"/>
  <c r="G373" i="3" s="1"/>
  <c r="E365" i="3"/>
  <c r="F365" i="3" s="1"/>
  <c r="G365" i="3" s="1"/>
  <c r="E324" i="3"/>
  <c r="E308" i="3"/>
  <c r="E303" i="3"/>
  <c r="E270" i="3"/>
  <c r="E264" i="3"/>
  <c r="E262" i="3"/>
  <c r="E260" i="3"/>
  <c r="E258" i="3"/>
  <c r="E248" i="3"/>
  <c r="E246" i="3"/>
  <c r="E244" i="3"/>
  <c r="E242" i="3"/>
  <c r="E234" i="3"/>
  <c r="E221" i="3"/>
  <c r="F221" i="3" s="1"/>
  <c r="G221" i="3" s="1"/>
  <c r="E205" i="3"/>
  <c r="F205" i="3" s="1"/>
  <c r="G205" i="3" s="1"/>
  <c r="E189" i="3"/>
  <c r="F189" i="3" s="1"/>
  <c r="G189" i="3" s="1"/>
  <c r="E173" i="3"/>
  <c r="F173" i="3" s="1"/>
  <c r="G173" i="3" s="1"/>
  <c r="E157" i="3"/>
  <c r="E141" i="3"/>
  <c r="E125" i="3"/>
  <c r="E109" i="3"/>
  <c r="E93" i="3"/>
  <c r="E77" i="3"/>
  <c r="E61" i="3"/>
  <c r="E45" i="3"/>
  <c r="E335" i="3"/>
  <c r="F335" i="3" s="1"/>
  <c r="G335" i="3" s="1"/>
  <c r="E332" i="3"/>
  <c r="E290" i="3"/>
  <c r="E274" i="3"/>
  <c r="F274" i="3" s="1"/>
  <c r="G274" i="3" s="1"/>
  <c r="E232" i="3"/>
  <c r="F232" i="3" s="1"/>
  <c r="G232" i="3" s="1"/>
  <c r="E219" i="3"/>
  <c r="F219" i="3" s="1"/>
  <c r="G219" i="3" s="1"/>
  <c r="E203" i="3"/>
  <c r="F203" i="3" s="1"/>
  <c r="G203" i="3" s="1"/>
  <c r="E187" i="3"/>
  <c r="E171" i="3"/>
  <c r="E155" i="3"/>
  <c r="E139" i="3"/>
  <c r="F139" i="3" s="1"/>
  <c r="G139" i="3" s="1"/>
  <c r="E123" i="3"/>
  <c r="E107" i="3"/>
  <c r="E91" i="3"/>
  <c r="E75" i="3"/>
  <c r="F75" i="3" s="1"/>
  <c r="G75" i="3" s="1"/>
  <c r="E384" i="3"/>
  <c r="E371" i="3"/>
  <c r="F371" i="3" s="1"/>
  <c r="G371" i="3" s="1"/>
  <c r="E355" i="3"/>
  <c r="E333" i="3"/>
  <c r="E329" i="3"/>
  <c r="F329" i="3" s="1"/>
  <c r="G329" i="3" s="1"/>
  <c r="E307" i="3"/>
  <c r="F307" i="3" s="1"/>
  <c r="G307" i="3" s="1"/>
  <c r="E273" i="3"/>
  <c r="E263" i="3"/>
  <c r="F263" i="3" s="1"/>
  <c r="G263" i="3" s="1"/>
  <c r="E237" i="3"/>
  <c r="E230" i="3"/>
  <c r="F230" i="3" s="1"/>
  <c r="G230" i="3" s="1"/>
  <c r="E280" i="3"/>
  <c r="F280" i="3" s="1"/>
  <c r="G280" i="3" s="1"/>
  <c r="E212" i="3"/>
  <c r="F212" i="3" s="1"/>
  <c r="G212" i="3" s="1"/>
  <c r="E193" i="3"/>
  <c r="E180" i="3"/>
  <c r="F180" i="3" s="1"/>
  <c r="G180" i="3" s="1"/>
  <c r="E161" i="3"/>
  <c r="F161" i="3" s="1"/>
  <c r="G161" i="3" s="1"/>
  <c r="E351" i="3"/>
  <c r="E297" i="3"/>
  <c r="F297" i="3" s="1"/>
  <c r="G297" i="3" s="1"/>
  <c r="E285" i="3"/>
  <c r="E275" i="3"/>
  <c r="F275" i="3" s="1"/>
  <c r="G275" i="3" s="1"/>
  <c r="E272" i="3"/>
  <c r="F272" i="3" s="1"/>
  <c r="G272" i="3" s="1"/>
  <c r="E253" i="3"/>
  <c r="F253" i="3" s="1"/>
  <c r="G253" i="3" s="1"/>
  <c r="E241" i="3"/>
  <c r="F241" i="3" s="1"/>
  <c r="G241" i="3" s="1"/>
  <c r="E225" i="3"/>
  <c r="F225" i="3" s="1"/>
  <c r="G225" i="3" s="1"/>
  <c r="E199" i="3"/>
  <c r="F199" i="3" s="1"/>
  <c r="G199" i="3" s="1"/>
  <c r="E197" i="3"/>
  <c r="E195" i="3"/>
  <c r="E343" i="3"/>
  <c r="E320" i="3"/>
  <c r="E309" i="3"/>
  <c r="E305" i="3"/>
  <c r="F305" i="3" s="1"/>
  <c r="G305" i="3" s="1"/>
  <c r="E281" i="3"/>
  <c r="F281" i="3" s="1"/>
  <c r="G281" i="3" s="1"/>
  <c r="E257" i="3"/>
  <c r="F257" i="3" s="1"/>
  <c r="G257" i="3" s="1"/>
  <c r="E202" i="3"/>
  <c r="F202" i="3" s="1"/>
  <c r="G202" i="3" s="1"/>
  <c r="E190" i="3"/>
  <c r="E185" i="3"/>
  <c r="E178" i="3"/>
  <c r="F178" i="3" s="1"/>
  <c r="G178" i="3" s="1"/>
  <c r="E164" i="3"/>
  <c r="F164" i="3" s="1"/>
  <c r="G164" i="3" s="1"/>
  <c r="E136" i="3"/>
  <c r="E104" i="3"/>
  <c r="F104" i="3" s="1"/>
  <c r="G104" i="3" s="1"/>
  <c r="E72" i="3"/>
  <c r="F72" i="3" s="1"/>
  <c r="G72" i="3" s="1"/>
  <c r="E36" i="3"/>
  <c r="E339" i="3"/>
  <c r="E229" i="3"/>
  <c r="E216" i="3"/>
  <c r="E192" i="3"/>
  <c r="E138" i="3"/>
  <c r="E106" i="3"/>
  <c r="E74" i="3"/>
  <c r="F74" i="3" s="1"/>
  <c r="G74" i="3" s="1"/>
  <c r="E27" i="3"/>
  <c r="F27" i="3" s="1"/>
  <c r="G27" i="3" s="1"/>
  <c r="E381" i="3"/>
  <c r="E316" i="3"/>
  <c r="E287" i="3"/>
  <c r="F287" i="3" s="1"/>
  <c r="G287" i="3" s="1"/>
  <c r="E284" i="3"/>
  <c r="F284" i="3" s="1"/>
  <c r="G284" i="3" s="1"/>
  <c r="E226" i="3"/>
  <c r="F226" i="3" s="1"/>
  <c r="G226" i="3" s="1"/>
  <c r="E209" i="3"/>
  <c r="F209" i="3" s="1"/>
  <c r="G209" i="3" s="1"/>
  <c r="E140" i="3"/>
  <c r="F140" i="3" s="1"/>
  <c r="G140" i="3" s="1"/>
  <c r="E301" i="3"/>
  <c r="E294" i="3"/>
  <c r="F294" i="3" s="1"/>
  <c r="G294" i="3" s="1"/>
  <c r="E251" i="3"/>
  <c r="E204" i="3"/>
  <c r="F204" i="3" s="1"/>
  <c r="G204" i="3" s="1"/>
  <c r="E194" i="3"/>
  <c r="F194" i="3" s="1"/>
  <c r="G194" i="3" s="1"/>
  <c r="E144" i="3"/>
  <c r="F144" i="3" s="1"/>
  <c r="G144" i="3" s="1"/>
  <c r="E142" i="3"/>
  <c r="F142" i="3" s="1"/>
  <c r="G142" i="3" s="1"/>
  <c r="E112" i="3"/>
  <c r="E110" i="3"/>
  <c r="E80" i="3"/>
  <c r="E78" i="3"/>
  <c r="F78" i="3" s="1"/>
  <c r="G78" i="3" s="1"/>
  <c r="E25" i="3"/>
  <c r="F25" i="3" s="1"/>
  <c r="G25" i="3" s="1"/>
  <c r="E369" i="3"/>
  <c r="F369" i="3" s="1"/>
  <c r="G369" i="3" s="1"/>
  <c r="E357" i="3"/>
  <c r="F357" i="3" s="1"/>
  <c r="G357" i="3" s="1"/>
  <c r="E312" i="3"/>
  <c r="F312" i="3" s="1"/>
  <c r="G312" i="3" s="1"/>
  <c r="E223" i="3"/>
  <c r="F223" i="3" s="1"/>
  <c r="G223" i="3" s="1"/>
  <c r="E218" i="3"/>
  <c r="E211" i="3"/>
  <c r="E201" i="3"/>
  <c r="F201" i="3" s="1"/>
  <c r="G201" i="3" s="1"/>
  <c r="E146" i="3"/>
  <c r="E127" i="3"/>
  <c r="E114" i="3"/>
  <c r="E95" i="3"/>
  <c r="E82" i="3"/>
  <c r="E32" i="3"/>
  <c r="E330" i="3"/>
  <c r="F330" i="3" s="1"/>
  <c r="G330" i="3" s="1"/>
  <c r="E292" i="3"/>
  <c r="F292" i="3" s="1"/>
  <c r="G292" i="3" s="1"/>
  <c r="E247" i="3"/>
  <c r="F247" i="3" s="1"/>
  <c r="G247" i="3" s="1"/>
  <c r="E163" i="3"/>
  <c r="E151" i="3"/>
  <c r="F151" i="3" s="1"/>
  <c r="G151" i="3" s="1"/>
  <c r="E145" i="3"/>
  <c r="F145" i="3" s="1"/>
  <c r="G145" i="3" s="1"/>
  <c r="E87" i="3"/>
  <c r="F87" i="3" s="1"/>
  <c r="G87" i="3" s="1"/>
  <c r="E76" i="3"/>
  <c r="E73" i="3"/>
  <c r="E65" i="3"/>
  <c r="F65" i="3" s="1"/>
  <c r="G65" i="3" s="1"/>
  <c r="E60" i="3"/>
  <c r="E49" i="3"/>
  <c r="F49" i="3" s="1"/>
  <c r="G49" i="3" s="1"/>
  <c r="E44" i="3"/>
  <c r="E310" i="3"/>
  <c r="E217" i="3"/>
  <c r="F217" i="3" s="1"/>
  <c r="G217" i="3" s="1"/>
  <c r="E175" i="3"/>
  <c r="F175" i="3" s="1"/>
  <c r="G175" i="3" s="1"/>
  <c r="E172" i="3"/>
  <c r="F172" i="3" s="1"/>
  <c r="G172" i="3" s="1"/>
  <c r="E159" i="3"/>
  <c r="F159" i="3" s="1"/>
  <c r="G159" i="3" s="1"/>
  <c r="E122" i="3"/>
  <c r="F122" i="3" s="1"/>
  <c r="G122" i="3" s="1"/>
  <c r="E81" i="3"/>
  <c r="F81" i="3" s="1"/>
  <c r="G81" i="3" s="1"/>
  <c r="E59" i="3"/>
  <c r="F59" i="3" s="1"/>
  <c r="G59" i="3" s="1"/>
  <c r="E43" i="3"/>
  <c r="F43" i="3" s="1"/>
  <c r="G43" i="3" s="1"/>
  <c r="E29" i="3"/>
  <c r="F29" i="3" s="1"/>
  <c r="G29" i="3" s="1"/>
  <c r="E286" i="3"/>
  <c r="E188" i="3"/>
  <c r="E156" i="3"/>
  <c r="F156" i="3" s="1"/>
  <c r="G156" i="3" s="1"/>
  <c r="E130" i="3"/>
  <c r="E116" i="3"/>
  <c r="E111" i="3"/>
  <c r="F111" i="3" s="1"/>
  <c r="G111" i="3" s="1"/>
  <c r="E100" i="3"/>
  <c r="E97" i="3"/>
  <c r="E89" i="3"/>
  <c r="F89" i="3" s="1"/>
  <c r="G89" i="3" s="1"/>
  <c r="E67" i="3"/>
  <c r="F67" i="3" s="1"/>
  <c r="G67" i="3" s="1"/>
  <c r="E62" i="3"/>
  <c r="F62" i="3" s="1"/>
  <c r="G62" i="3" s="1"/>
  <c r="E51" i="3"/>
  <c r="F51" i="3" s="1"/>
  <c r="G51" i="3" s="1"/>
  <c r="E46" i="3"/>
  <c r="F46" i="3" s="1"/>
  <c r="G46" i="3" s="1"/>
  <c r="E38" i="3"/>
  <c r="F38" i="3" s="1"/>
  <c r="G38" i="3" s="1"/>
  <c r="E22" i="3"/>
  <c r="F22" i="3" s="1"/>
  <c r="G22" i="3" s="1"/>
  <c r="E282" i="3"/>
  <c r="F282" i="3" s="1"/>
  <c r="G282" i="3" s="1"/>
  <c r="E215" i="3"/>
  <c r="E196" i="3"/>
  <c r="E181" i="3"/>
  <c r="E148" i="3"/>
  <c r="E83" i="3"/>
  <c r="F83" i="3" s="1"/>
  <c r="G83" i="3" s="1"/>
  <c r="E48" i="3"/>
  <c r="E42" i="3"/>
  <c r="F42" i="3" s="1"/>
  <c r="G42" i="3" s="1"/>
  <c r="E325" i="3"/>
  <c r="F325" i="3" s="1"/>
  <c r="G325" i="3" s="1"/>
  <c r="E314" i="3"/>
  <c r="F314" i="3" s="1"/>
  <c r="G314" i="3" s="1"/>
  <c r="E184" i="3"/>
  <c r="E169" i="3"/>
  <c r="E165" i="3"/>
  <c r="E137" i="3"/>
  <c r="F137" i="3" s="1"/>
  <c r="G137" i="3" s="1"/>
  <c r="E131" i="3"/>
  <c r="E115" i="3"/>
  <c r="F115" i="3" s="1"/>
  <c r="G115" i="3" s="1"/>
  <c r="E92" i="3"/>
  <c r="F92" i="3" s="1"/>
  <c r="G92" i="3" s="1"/>
  <c r="E63" i="3"/>
  <c r="E41" i="3"/>
  <c r="F41" i="3" s="1"/>
  <c r="G41" i="3" s="1"/>
  <c r="E367" i="3"/>
  <c r="E353" i="3"/>
  <c r="E317" i="3"/>
  <c r="E261" i="3"/>
  <c r="E231" i="3"/>
  <c r="E160" i="3"/>
  <c r="E126" i="3"/>
  <c r="E119" i="3"/>
  <c r="F119" i="3" s="1"/>
  <c r="G119" i="3" s="1"/>
  <c r="E108" i="3"/>
  <c r="F108" i="3" s="1"/>
  <c r="G108" i="3" s="1"/>
  <c r="E101" i="3"/>
  <c r="E47" i="3"/>
  <c r="F47" i="3" s="1"/>
  <c r="G47" i="3" s="1"/>
  <c r="E359" i="3"/>
  <c r="F359" i="3" s="1"/>
  <c r="G359" i="3" s="1"/>
  <c r="E255" i="3"/>
  <c r="F255" i="3" s="1"/>
  <c r="G255" i="3" s="1"/>
  <c r="E235" i="3"/>
  <c r="F235" i="3" s="1"/>
  <c r="G235" i="3" s="1"/>
  <c r="E167" i="3"/>
  <c r="E90" i="3"/>
  <c r="E79" i="3"/>
  <c r="E57" i="3"/>
  <c r="E277" i="3"/>
  <c r="E259" i="3"/>
  <c r="F259" i="3" s="1"/>
  <c r="G259" i="3" s="1"/>
  <c r="E208" i="3"/>
  <c r="E176" i="3"/>
  <c r="E124" i="3"/>
  <c r="F124" i="3" s="1"/>
  <c r="G124" i="3" s="1"/>
  <c r="E84" i="3"/>
  <c r="F84" i="3" s="1"/>
  <c r="G84" i="3" s="1"/>
  <c r="E40" i="3"/>
  <c r="F40" i="3" s="1"/>
  <c r="G40" i="3" s="1"/>
  <c r="E26" i="3"/>
  <c r="F26" i="3" s="1"/>
  <c r="G26" i="3" s="1"/>
  <c r="E375" i="3"/>
  <c r="F375" i="3" s="1"/>
  <c r="G375" i="3" s="1"/>
  <c r="E227" i="3"/>
  <c r="E162" i="3"/>
  <c r="F162" i="3" s="1"/>
  <c r="G162" i="3" s="1"/>
  <c r="E128" i="3"/>
  <c r="F128" i="3" s="1"/>
  <c r="G128" i="3" s="1"/>
  <c r="E96" i="3"/>
  <c r="E88" i="3"/>
  <c r="F88" i="3" s="1"/>
  <c r="G88" i="3" s="1"/>
  <c r="E64" i="3"/>
  <c r="F64" i="3" s="1"/>
  <c r="G64" i="3" s="1"/>
  <c r="E56" i="3"/>
  <c r="E149" i="3"/>
  <c r="E120" i="3"/>
  <c r="E269" i="3"/>
  <c r="E207" i="3"/>
  <c r="F207" i="3" s="1"/>
  <c r="G207" i="3" s="1"/>
  <c r="E55" i="3"/>
  <c r="E35" i="3"/>
  <c r="F35" i="3" s="1"/>
  <c r="G35" i="3" s="1"/>
  <c r="E267" i="3"/>
  <c r="F267" i="3" s="1"/>
  <c r="G267" i="3" s="1"/>
  <c r="E177" i="3"/>
  <c r="E105" i="3"/>
  <c r="F105" i="3" s="1"/>
  <c r="G105" i="3" s="1"/>
  <c r="E210" i="3"/>
  <c r="F210" i="3" s="1"/>
  <c r="G210" i="3" s="1"/>
  <c r="E200" i="3"/>
  <c r="F200" i="3" s="1"/>
  <c r="G200" i="3" s="1"/>
  <c r="E39" i="3"/>
  <c r="F39" i="3" s="1"/>
  <c r="G39" i="3" s="1"/>
  <c r="E222" i="3"/>
  <c r="E99" i="3"/>
  <c r="E94" i="3"/>
  <c r="E69" i="3"/>
  <c r="E31" i="3"/>
  <c r="E23" i="3"/>
  <c r="F23" i="3" s="1"/>
  <c r="G23" i="3" s="1"/>
  <c r="E293" i="3"/>
  <c r="E133" i="3"/>
  <c r="F133" i="3" s="1"/>
  <c r="G133" i="3" s="1"/>
  <c r="E53" i="3"/>
  <c r="F53" i="3" s="1"/>
  <c r="G53" i="3" s="1"/>
  <c r="E337" i="3"/>
  <c r="F337" i="3" s="1"/>
  <c r="G337" i="3" s="1"/>
  <c r="E245" i="3"/>
  <c r="F245" i="3" s="1"/>
  <c r="G245" i="3" s="1"/>
  <c r="E239" i="3"/>
  <c r="F239" i="3" s="1"/>
  <c r="G239" i="3" s="1"/>
  <c r="E228" i="3"/>
  <c r="F228" i="3" s="1"/>
  <c r="G228" i="3" s="1"/>
  <c r="E170" i="3"/>
  <c r="F170" i="3" s="1"/>
  <c r="G170" i="3" s="1"/>
  <c r="E154" i="3"/>
  <c r="F154" i="3" s="1"/>
  <c r="G154" i="3" s="1"/>
  <c r="E143" i="3"/>
  <c r="F143" i="3" s="1"/>
  <c r="G143" i="3" s="1"/>
  <c r="E233" i="3"/>
  <c r="E117" i="3"/>
  <c r="E98" i="3"/>
  <c r="E85" i="3"/>
  <c r="E66" i="3"/>
  <c r="E349" i="3"/>
  <c r="F349" i="3" s="1"/>
  <c r="G349" i="3" s="1"/>
  <c r="E311" i="3"/>
  <c r="F311" i="3" s="1"/>
  <c r="G311" i="3" s="1"/>
  <c r="E135" i="3"/>
  <c r="F135" i="3" s="1"/>
  <c r="G135" i="3" s="1"/>
  <c r="E129" i="3"/>
  <c r="E103" i="3"/>
  <c r="E186" i="3"/>
  <c r="F186" i="3" s="1"/>
  <c r="G186" i="3" s="1"/>
  <c r="E71" i="3"/>
  <c r="F71" i="3" s="1"/>
  <c r="G71" i="3" s="1"/>
  <c r="E24" i="3"/>
  <c r="F24" i="3" s="1"/>
  <c r="G24" i="3" s="1"/>
  <c r="E328" i="3"/>
  <c r="F328" i="3" s="1"/>
  <c r="G328" i="3" s="1"/>
  <c r="E283" i="3"/>
  <c r="E52" i="3"/>
  <c r="F52" i="3" s="1"/>
  <c r="G52" i="3" s="1"/>
  <c r="E34" i="3"/>
  <c r="E58" i="3"/>
  <c r="E121" i="3"/>
  <c r="E326" i="3"/>
  <c r="E206" i="3"/>
  <c r="E191" i="3"/>
  <c r="F191" i="3" s="1"/>
  <c r="G191" i="3" s="1"/>
  <c r="E147" i="3"/>
  <c r="F147" i="3" s="1"/>
  <c r="G147" i="3" s="1"/>
  <c r="E33" i="3"/>
  <c r="E28" i="3"/>
  <c r="F28" i="3" s="1"/>
  <c r="G28" i="3" s="1"/>
  <c r="E289" i="3"/>
  <c r="F289" i="3" s="1"/>
  <c r="G289" i="3" s="1"/>
  <c r="E213" i="3"/>
  <c r="F213" i="3" s="1"/>
  <c r="G213" i="3" s="1"/>
  <c r="E183" i="3"/>
  <c r="F183" i="3" s="1"/>
  <c r="G183" i="3" s="1"/>
  <c r="E132" i="3"/>
  <c r="F132" i="3" s="1"/>
  <c r="G132" i="3" s="1"/>
  <c r="E50" i="3"/>
  <c r="F50" i="3" s="1"/>
  <c r="G50" i="3" s="1"/>
  <c r="E68" i="3"/>
  <c r="F68" i="3" s="1"/>
  <c r="G68" i="3" s="1"/>
  <c r="E174" i="3"/>
  <c r="F174" i="3" s="1"/>
  <c r="G174" i="3" s="1"/>
  <c r="E153" i="3"/>
  <c r="F153" i="3" s="1"/>
  <c r="G153" i="3" s="1"/>
  <c r="E30" i="3"/>
  <c r="E37" i="3"/>
  <c r="F37" i="3" s="1"/>
  <c r="G37" i="3" s="1"/>
  <c r="E21" i="3"/>
  <c r="E296" i="3"/>
  <c r="F296" i="3" s="1"/>
  <c r="G296" i="3" s="1"/>
  <c r="E152" i="3"/>
  <c r="F152" i="3" s="1"/>
  <c r="G152" i="3" s="1"/>
  <c r="E113" i="3"/>
  <c r="F113" i="3" s="1"/>
  <c r="G113" i="3" s="1"/>
  <c r="E341" i="3"/>
  <c r="E295" i="3"/>
  <c r="E168" i="3"/>
  <c r="F168" i="3" s="1"/>
  <c r="G168" i="3" s="1"/>
  <c r="E220" i="3"/>
  <c r="F220" i="3" s="1"/>
  <c r="G220" i="3" s="1"/>
  <c r="E243" i="3"/>
  <c r="F243" i="3" s="1"/>
  <c r="G243" i="3" s="1"/>
  <c r="E158" i="3"/>
  <c r="F158" i="3" s="1"/>
  <c r="G158" i="3" s="1"/>
  <c r="E279" i="3"/>
  <c r="E383" i="3"/>
  <c r="F383" i="3" s="1"/>
  <c r="G383" i="3" s="1"/>
  <c r="E179" i="3"/>
  <c r="F179" i="3" s="1"/>
  <c r="G179" i="3" s="1"/>
  <c r="E26" i="4"/>
  <c r="E22" i="4"/>
  <c r="E18" i="4"/>
  <c r="E14" i="4"/>
  <c r="E10" i="4"/>
  <c r="E6" i="4"/>
  <c r="E17" i="4"/>
  <c r="E12" i="4"/>
  <c r="E7" i="4"/>
  <c r="E25" i="4"/>
  <c r="E20" i="4"/>
  <c r="E15" i="4"/>
  <c r="E2" i="4"/>
  <c r="E24" i="4"/>
  <c r="E29" i="4"/>
  <c r="E19" i="4"/>
  <c r="E4" i="4"/>
  <c r="E3" i="4"/>
  <c r="E9" i="4"/>
  <c r="E30" i="4"/>
  <c r="E21" i="4"/>
  <c r="E23" i="4"/>
  <c r="E32" i="4"/>
  <c r="E16" i="4"/>
  <c r="E31" i="4"/>
  <c r="B59" i="1"/>
  <c r="F3" i="2" s="1"/>
  <c r="E8" i="4"/>
  <c r="E11" i="4"/>
  <c r="E28" i="4"/>
  <c r="E13" i="4"/>
  <c r="E5" i="4"/>
  <c r="E27" i="4"/>
  <c r="C375" i="2"/>
  <c r="C359" i="2"/>
  <c r="C343" i="2"/>
  <c r="C327" i="2"/>
  <c r="C311" i="2"/>
  <c r="C374" i="2"/>
  <c r="C350" i="2"/>
  <c r="C341" i="2"/>
  <c r="C332" i="2"/>
  <c r="C357" i="2"/>
  <c r="C348" i="2"/>
  <c r="C322" i="2"/>
  <c r="C313" i="2"/>
  <c r="C371" i="2"/>
  <c r="C366" i="2"/>
  <c r="C323" i="2"/>
  <c r="C321" i="2"/>
  <c r="C285" i="2"/>
  <c r="C269" i="2"/>
  <c r="C253" i="2"/>
  <c r="C237" i="2"/>
  <c r="C221" i="2"/>
  <c r="C205" i="2"/>
  <c r="C189" i="2"/>
  <c r="C173" i="2"/>
  <c r="C157" i="2"/>
  <c r="C372" i="2"/>
  <c r="C331" i="2"/>
  <c r="C318" i="2"/>
  <c r="C301" i="2"/>
  <c r="C284" i="2"/>
  <c r="C268" i="2"/>
  <c r="C252" i="2"/>
  <c r="C236" i="2"/>
  <c r="C220" i="2"/>
  <c r="C204" i="2"/>
  <c r="C188" i="2"/>
  <c r="C172" i="2"/>
  <c r="C156" i="2"/>
  <c r="C364" i="2"/>
  <c r="C354" i="2"/>
  <c r="C334" i="2"/>
  <c r="C319" i="2"/>
  <c r="C307" i="2"/>
  <c r="C288" i="2"/>
  <c r="C264" i="2"/>
  <c r="C263" i="2"/>
  <c r="C262" i="2"/>
  <c r="C238" i="2"/>
  <c r="C212" i="2"/>
  <c r="C186" i="2"/>
  <c r="C160" i="2"/>
  <c r="C130" i="2"/>
  <c r="C114" i="2"/>
  <c r="C342" i="2"/>
  <c r="C310" i="2"/>
  <c r="C283" i="2"/>
  <c r="C259" i="2"/>
  <c r="C258" i="2"/>
  <c r="C257" i="2"/>
  <c r="C233" i="2"/>
  <c r="C207" i="2"/>
  <c r="C181" i="2"/>
  <c r="C155" i="2"/>
  <c r="C129" i="2"/>
  <c r="C113" i="2"/>
  <c r="C369" i="2"/>
  <c r="C330" i="2"/>
  <c r="C312" i="2"/>
  <c r="C280" i="2"/>
  <c r="C247" i="2"/>
  <c r="C214" i="2"/>
  <c r="C192" i="2"/>
  <c r="C170" i="2"/>
  <c r="C159" i="2"/>
  <c r="C148" i="2"/>
  <c r="C128" i="2"/>
  <c r="C106" i="2"/>
  <c r="C94" i="2"/>
  <c r="C78" i="2"/>
  <c r="C62" i="2"/>
  <c r="C46" i="2"/>
  <c r="C30" i="2"/>
  <c r="C14" i="2"/>
  <c r="C338" i="2"/>
  <c r="C326" i="2"/>
  <c r="C317" i="2"/>
  <c r="C291" i="2"/>
  <c r="C281" i="2"/>
  <c r="C226" i="2"/>
  <c r="C193" i="2"/>
  <c r="C182" i="2"/>
  <c r="C171" i="2"/>
  <c r="C149" i="2"/>
  <c r="C361" i="2"/>
  <c r="C302" i="2"/>
  <c r="C293" i="2"/>
  <c r="C271" i="2"/>
  <c r="C260" i="2"/>
  <c r="C249" i="2"/>
  <c r="C227" i="2"/>
  <c r="C194" i="2"/>
  <c r="C183" i="2"/>
  <c r="C161" i="2"/>
  <c r="C125" i="2"/>
  <c r="C124" i="2"/>
  <c r="C123" i="2"/>
  <c r="C93" i="2"/>
  <c r="C77" i="2"/>
  <c r="C61" i="2"/>
  <c r="C45" i="2"/>
  <c r="C29" i="2"/>
  <c r="C13" i="2"/>
  <c r="C367" i="2"/>
  <c r="C308" i="2"/>
  <c r="C294" i="2"/>
  <c r="C272" i="2"/>
  <c r="C261" i="2"/>
  <c r="C250" i="2"/>
  <c r="C228" i="2"/>
  <c r="C216" i="2"/>
  <c r="C206" i="2"/>
  <c r="C151" i="2"/>
  <c r="C373" i="2"/>
  <c r="C335" i="2"/>
  <c r="C328" i="2"/>
  <c r="C316" i="2"/>
  <c r="C273" i="2"/>
  <c r="C251" i="2"/>
  <c r="C229" i="2"/>
  <c r="C140" i="2"/>
  <c r="C85" i="2"/>
  <c r="C59" i="2"/>
  <c r="C35" i="2"/>
  <c r="C15" i="2"/>
  <c r="C344" i="2"/>
  <c r="C298" i="2"/>
  <c r="C295" i="2"/>
  <c r="C279" i="2"/>
  <c r="C276" i="2"/>
  <c r="C254" i="2"/>
  <c r="C235" i="2"/>
  <c r="C232" i="2"/>
  <c r="C210" i="2"/>
  <c r="C185" i="2"/>
  <c r="C166" i="2"/>
  <c r="C144" i="2"/>
  <c r="C84" i="2"/>
  <c r="C83" i="2"/>
  <c r="C82" i="2"/>
  <c r="C58" i="2"/>
  <c r="C34" i="2"/>
  <c r="C12" i="2"/>
  <c r="C353" i="2"/>
  <c r="C351" i="2"/>
  <c r="C314" i="2"/>
  <c r="C309" i="2"/>
  <c r="C306" i="2"/>
  <c r="C213" i="2"/>
  <c r="C362" i="2"/>
  <c r="C304" i="2"/>
  <c r="C292" i="2"/>
  <c r="C270" i="2"/>
  <c r="C248" i="2"/>
  <c r="C198" i="2"/>
  <c r="C176" i="2"/>
  <c r="C154" i="2"/>
  <c r="C136" i="2"/>
  <c r="C131" i="2"/>
  <c r="C116" i="2"/>
  <c r="C80" i="2"/>
  <c r="C54" i="2"/>
  <c r="C32" i="2"/>
  <c r="C368" i="2"/>
  <c r="C358" i="2"/>
  <c r="C324" i="2"/>
  <c r="C289" i="2"/>
  <c r="C286" i="2"/>
  <c r="C267" i="2"/>
  <c r="C245" i="2"/>
  <c r="C242" i="2"/>
  <c r="C239" i="2"/>
  <c r="C223" i="2"/>
  <c r="C217" i="2"/>
  <c r="C201" i="2"/>
  <c r="C195" i="2"/>
  <c r="C179" i="2"/>
  <c r="C141" i="2"/>
  <c r="C117" i="2"/>
  <c r="C79" i="2"/>
  <c r="C53" i="2"/>
  <c r="C31" i="2"/>
  <c r="C349" i="2"/>
  <c r="C299" i="2"/>
  <c r="C244" i="2"/>
  <c r="C218" i="2"/>
  <c r="C112" i="2"/>
  <c r="C102" i="2"/>
  <c r="C70" i="2"/>
  <c r="C52" i="2"/>
  <c r="C38" i="2"/>
  <c r="C297" i="2"/>
  <c r="C265" i="2"/>
  <c r="C175" i="2"/>
  <c r="C109" i="2"/>
  <c r="C88" i="2"/>
  <c r="C75" i="2"/>
  <c r="C43" i="2"/>
  <c r="C33" i="2"/>
  <c r="C23" i="2"/>
  <c r="C282" i="2"/>
  <c r="C167" i="2"/>
  <c r="C135" i="2"/>
  <c r="C122" i="2"/>
  <c r="C119" i="2"/>
  <c r="C98" i="2"/>
  <c r="C66" i="2"/>
  <c r="C48" i="2"/>
  <c r="C28" i="2"/>
  <c r="C18" i="2"/>
  <c r="C180" i="2"/>
  <c r="C333" i="2"/>
  <c r="C203" i="2"/>
  <c r="C169" i="2"/>
  <c r="C165" i="2"/>
  <c r="C163" i="2"/>
  <c r="C133" i="2"/>
  <c r="C71" i="2"/>
  <c r="C57" i="2"/>
  <c r="C39" i="2"/>
  <c r="C365" i="2"/>
  <c r="C356" i="2"/>
  <c r="C320" i="2"/>
  <c r="C256" i="2"/>
  <c r="C230" i="2"/>
  <c r="C224" i="2"/>
  <c r="C209" i="2"/>
  <c r="C138" i="2"/>
  <c r="C103" i="2"/>
  <c r="C76" i="2"/>
  <c r="C44" i="2"/>
  <c r="C346" i="2"/>
  <c r="C315" i="2"/>
  <c r="C277" i="2"/>
  <c r="C241" i="2"/>
  <c r="C222" i="2"/>
  <c r="C211" i="2"/>
  <c r="C196" i="2"/>
  <c r="C153" i="2"/>
  <c r="C145" i="2"/>
  <c r="C89" i="2"/>
  <c r="C49" i="2"/>
  <c r="C24" i="2"/>
  <c r="C19" i="2"/>
  <c r="C325" i="2"/>
  <c r="C303" i="2"/>
  <c r="C290" i="2"/>
  <c r="C275" i="2"/>
  <c r="C243" i="2"/>
  <c r="C110" i="2"/>
  <c r="C107" i="2"/>
  <c r="C99" i="2"/>
  <c r="C67" i="2"/>
  <c r="C340" i="2"/>
  <c r="C296" i="2"/>
  <c r="C184" i="2"/>
  <c r="C147" i="2"/>
  <c r="C143" i="2"/>
  <c r="C81" i="2"/>
  <c r="C72" i="2"/>
  <c r="C40" i="2"/>
  <c r="C305" i="2"/>
  <c r="C215" i="2"/>
  <c r="C190" i="2"/>
  <c r="C174" i="2"/>
  <c r="C120" i="2"/>
  <c r="C104" i="2"/>
  <c r="C90" i="2"/>
  <c r="C50" i="2"/>
  <c r="C274" i="2"/>
  <c r="C240" i="2"/>
  <c r="C231" i="2"/>
  <c r="C197" i="2"/>
  <c r="C178" i="2"/>
  <c r="C86" i="2"/>
  <c r="C51" i="2"/>
  <c r="C37" i="2"/>
  <c r="C363" i="2"/>
  <c r="C92" i="2"/>
  <c r="C60" i="2"/>
  <c r="C27" i="2"/>
  <c r="C164" i="2"/>
  <c r="C134" i="2"/>
  <c r="C22" i="2"/>
  <c r="C187" i="2"/>
  <c r="C127" i="2"/>
  <c r="C100" i="2"/>
  <c r="C74" i="2"/>
  <c r="C42" i="2"/>
  <c r="C376" i="2"/>
  <c r="I376" i="2" s="1"/>
  <c r="J376" i="2" s="1"/>
  <c r="L376" i="2" s="1"/>
  <c r="K376" i="2" s="1"/>
  <c r="C355" i="2"/>
  <c r="C337" i="2"/>
  <c r="C234" i="2"/>
  <c r="C225" i="2"/>
  <c r="C200" i="2"/>
  <c r="C36" i="2"/>
  <c r="C91" i="2"/>
  <c r="C68" i="2"/>
  <c r="C142" i="2"/>
  <c r="C126" i="2"/>
  <c r="C219" i="2"/>
  <c r="C191" i="2"/>
  <c r="C336" i="2"/>
  <c r="C146" i="2"/>
  <c r="C111" i="2"/>
  <c r="C96" i="2"/>
  <c r="C87" i="2"/>
  <c r="C101" i="2"/>
  <c r="C152" i="2"/>
  <c r="C115" i="2"/>
  <c r="C21" i="2"/>
  <c r="C278" i="2"/>
  <c r="C266" i="2"/>
  <c r="C139" i="2"/>
  <c r="C105" i="2"/>
  <c r="C63" i="2"/>
  <c r="C121" i="2"/>
  <c r="C25" i="2"/>
  <c r="C255" i="2"/>
  <c r="C47" i="2"/>
  <c r="C345" i="2"/>
  <c r="C132" i="2"/>
  <c r="C287" i="2"/>
  <c r="C202" i="2"/>
  <c r="C95" i="2"/>
  <c r="C137" i="2"/>
  <c r="C208" i="2"/>
  <c r="C158" i="2"/>
  <c r="C150" i="2"/>
  <c r="C108" i="2"/>
  <c r="C56" i="2"/>
  <c r="C26" i="2"/>
  <c r="C246" i="2"/>
  <c r="C168" i="2"/>
  <c r="C69" i="2"/>
  <c r="C360" i="2"/>
  <c r="C329" i="2"/>
  <c r="C352" i="2"/>
  <c r="C97" i="2"/>
  <c r="C177" i="2"/>
  <c r="C339" i="2"/>
  <c r="C65" i="2"/>
  <c r="C55" i="2"/>
  <c r="C199" i="2"/>
  <c r="C118" i="2"/>
  <c r="C347" i="2"/>
  <c r="C300" i="2"/>
  <c r="C162" i="2"/>
  <c r="C17" i="2"/>
  <c r="C64" i="2"/>
  <c r="C73" i="2"/>
  <c r="C41" i="2"/>
  <c r="C370" i="2"/>
  <c r="C16" i="2"/>
  <c r="C20" i="2"/>
  <c r="D364" i="2"/>
  <c r="D348" i="2"/>
  <c r="D332" i="2"/>
  <c r="D316" i="2"/>
  <c r="D300" i="2"/>
  <c r="D363" i="2"/>
  <c r="D368" i="2"/>
  <c r="D358" i="2"/>
  <c r="D323" i="2"/>
  <c r="D339" i="2"/>
  <c r="D330" i="2"/>
  <c r="D321" i="2"/>
  <c r="D356" i="2"/>
  <c r="D326" i="2"/>
  <c r="D325" i="2"/>
  <c r="D324" i="2"/>
  <c r="D322" i="2"/>
  <c r="D320" i="2"/>
  <c r="D302" i="2"/>
  <c r="D290" i="2"/>
  <c r="D274" i="2"/>
  <c r="D258" i="2"/>
  <c r="D242" i="2"/>
  <c r="D226" i="2"/>
  <c r="D210" i="2"/>
  <c r="D194" i="2"/>
  <c r="D178" i="2"/>
  <c r="D162" i="2"/>
  <c r="D146" i="2"/>
  <c r="D359" i="2"/>
  <c r="D317" i="2"/>
  <c r="D289" i="2"/>
  <c r="D273" i="2"/>
  <c r="D257" i="2"/>
  <c r="D241" i="2"/>
  <c r="D225" i="2"/>
  <c r="D209" i="2"/>
  <c r="D193" i="2"/>
  <c r="D177" i="2"/>
  <c r="D161" i="2"/>
  <c r="D145" i="2"/>
  <c r="D371" i="2"/>
  <c r="D341" i="2"/>
  <c r="D308" i="2"/>
  <c r="D287" i="2"/>
  <c r="D261" i="2"/>
  <c r="D237" i="2"/>
  <c r="D236" i="2"/>
  <c r="D235" i="2"/>
  <c r="D211" i="2"/>
  <c r="D185" i="2"/>
  <c r="D159" i="2"/>
  <c r="D135" i="2"/>
  <c r="D119" i="2"/>
  <c r="D349" i="2"/>
  <c r="D336" i="2"/>
  <c r="D329" i="2"/>
  <c r="D282" i="2"/>
  <c r="D256" i="2"/>
  <c r="D232" i="2"/>
  <c r="D231" i="2"/>
  <c r="D230" i="2"/>
  <c r="D206" i="2"/>
  <c r="D180" i="2"/>
  <c r="D154" i="2"/>
  <c r="D134" i="2"/>
  <c r="D118" i="2"/>
  <c r="D357" i="2"/>
  <c r="D338" i="2"/>
  <c r="D301" i="2"/>
  <c r="D291" i="2"/>
  <c r="D281" i="2"/>
  <c r="D269" i="2"/>
  <c r="D204" i="2"/>
  <c r="D182" i="2"/>
  <c r="D171" i="2"/>
  <c r="D149" i="2"/>
  <c r="D127" i="2"/>
  <c r="D99" i="2"/>
  <c r="D83" i="2"/>
  <c r="D67" i="2"/>
  <c r="D51" i="2"/>
  <c r="D374" i="2"/>
  <c r="D346" i="2"/>
  <c r="D342" i="2"/>
  <c r="D334" i="2"/>
  <c r="D307" i="2"/>
  <c r="D292" i="2"/>
  <c r="D270" i="2"/>
  <c r="D259" i="2"/>
  <c r="D248" i="2"/>
  <c r="D215" i="2"/>
  <c r="D160" i="2"/>
  <c r="D150" i="2"/>
  <c r="D367" i="2"/>
  <c r="D354" i="2"/>
  <c r="D313" i="2"/>
  <c r="D294" i="2"/>
  <c r="D283" i="2"/>
  <c r="D272" i="2"/>
  <c r="D250" i="2"/>
  <c r="D238" i="2"/>
  <c r="D228" i="2"/>
  <c r="D216" i="2"/>
  <c r="D151" i="2"/>
  <c r="D122" i="2"/>
  <c r="D104" i="2"/>
  <c r="D98" i="2"/>
  <c r="D82" i="2"/>
  <c r="D66" i="2"/>
  <c r="D50" i="2"/>
  <c r="D335" i="2"/>
  <c r="D331" i="2"/>
  <c r="D318" i="2"/>
  <c r="D251" i="2"/>
  <c r="D239" i="2"/>
  <c r="D229" i="2"/>
  <c r="D217" i="2"/>
  <c r="D195" i="2"/>
  <c r="D184" i="2"/>
  <c r="D173" i="2"/>
  <c r="D344" i="2"/>
  <c r="D298" i="2"/>
  <c r="D295" i="2"/>
  <c r="D279" i="2"/>
  <c r="D276" i="2"/>
  <c r="D254" i="2"/>
  <c r="D207" i="2"/>
  <c r="D166" i="2"/>
  <c r="D144" i="2"/>
  <c r="D130" i="2"/>
  <c r="D124" i="2"/>
  <c r="D114" i="2"/>
  <c r="D84" i="2"/>
  <c r="D58" i="2"/>
  <c r="D353" i="2"/>
  <c r="D351" i="2"/>
  <c r="D314" i="2"/>
  <c r="D309" i="2"/>
  <c r="D306" i="2"/>
  <c r="D213" i="2"/>
  <c r="D191" i="2"/>
  <c r="D188" i="2"/>
  <c r="D169" i="2"/>
  <c r="D163" i="2"/>
  <c r="D147" i="2"/>
  <c r="D115" i="2"/>
  <c r="D81" i="2"/>
  <c r="D57" i="2"/>
  <c r="D56" i="2"/>
  <c r="D55" i="2"/>
  <c r="D375" i="2"/>
  <c r="D362" i="2"/>
  <c r="D319" i="2"/>
  <c r="D304" i="2"/>
  <c r="D198" i="2"/>
  <c r="D286" i="2"/>
  <c r="D267" i="2"/>
  <c r="D245" i="2"/>
  <c r="D223" i="2"/>
  <c r="D220" i="2"/>
  <c r="D201" i="2"/>
  <c r="D179" i="2"/>
  <c r="D141" i="2"/>
  <c r="D125" i="2"/>
  <c r="D117" i="2"/>
  <c r="D79" i="2"/>
  <c r="D53" i="2"/>
  <c r="D347" i="2"/>
  <c r="D340" i="2"/>
  <c r="D333" i="2"/>
  <c r="D264" i="2"/>
  <c r="D157" i="2"/>
  <c r="D132" i="2"/>
  <c r="D103" i="2"/>
  <c r="D102" i="2"/>
  <c r="D78" i="2"/>
  <c r="D77" i="2"/>
  <c r="D76" i="2"/>
  <c r="D52" i="2"/>
  <c r="D369" i="2"/>
  <c r="D297" i="2"/>
  <c r="D284" i="2"/>
  <c r="D265" i="2"/>
  <c r="D263" i="2"/>
  <c r="D175" i="2"/>
  <c r="D109" i="2"/>
  <c r="D88" i="2"/>
  <c r="D75" i="2"/>
  <c r="D43" i="2"/>
  <c r="D311" i="2"/>
  <c r="D205" i="2"/>
  <c r="D181" i="2"/>
  <c r="D167" i="2"/>
  <c r="D106" i="2"/>
  <c r="D93" i="2"/>
  <c r="D61" i="2"/>
  <c r="D48" i="2"/>
  <c r="D271" i="2"/>
  <c r="D203" i="2"/>
  <c r="D165" i="2"/>
  <c r="D140" i="2"/>
  <c r="D133" i="2"/>
  <c r="D71" i="2"/>
  <c r="D365" i="2"/>
  <c r="D328" i="2"/>
  <c r="D224" i="2"/>
  <c r="D155" i="2"/>
  <c r="D138" i="2"/>
  <c r="D116" i="2"/>
  <c r="D80" i="2"/>
  <c r="D44" i="2"/>
  <c r="D343" i="2"/>
  <c r="D315" i="2"/>
  <c r="D277" i="2"/>
  <c r="D222" i="2"/>
  <c r="D196" i="2"/>
  <c r="D153" i="2"/>
  <c r="D89" i="2"/>
  <c r="D49" i="2"/>
  <c r="D310" i="2"/>
  <c r="D303" i="2"/>
  <c r="D288" i="2"/>
  <c r="D275" i="2"/>
  <c r="D262" i="2"/>
  <c r="D243" i="2"/>
  <c r="D192" i="2"/>
  <c r="D186" i="2"/>
  <c r="D128" i="2"/>
  <c r="D113" i="2"/>
  <c r="D110" i="2"/>
  <c r="D107" i="2"/>
  <c r="D94" i="2"/>
  <c r="D62" i="2"/>
  <c r="D296" i="2"/>
  <c r="D143" i="2"/>
  <c r="D85" i="2"/>
  <c r="D72" i="2"/>
  <c r="D327" i="2"/>
  <c r="D305" i="2"/>
  <c r="D260" i="2"/>
  <c r="D249" i="2"/>
  <c r="D190" i="2"/>
  <c r="D176" i="2"/>
  <c r="D174" i="2"/>
  <c r="D136" i="2"/>
  <c r="D131" i="2"/>
  <c r="D120" i="2"/>
  <c r="D90" i="2"/>
  <c r="D54" i="2"/>
  <c r="D45" i="2"/>
  <c r="D370" i="2"/>
  <c r="D312" i="2"/>
  <c r="D202" i="2"/>
  <c r="D126" i="2"/>
  <c r="D123" i="2"/>
  <c r="D95" i="2"/>
  <c r="D63" i="2"/>
  <c r="D350" i="2"/>
  <c r="D299" i="2"/>
  <c r="D183" i="2"/>
  <c r="D92" i="2"/>
  <c r="D60" i="2"/>
  <c r="D164" i="2"/>
  <c r="D156" i="2"/>
  <c r="D361" i="2"/>
  <c r="D187" i="2"/>
  <c r="D100" i="2"/>
  <c r="D74" i="2"/>
  <c r="D68" i="2"/>
  <c r="D376" i="2"/>
  <c r="D355" i="2"/>
  <c r="D337" i="2"/>
  <c r="D293" i="2"/>
  <c r="D234" i="2"/>
  <c r="D200" i="2"/>
  <c r="D142" i="2"/>
  <c r="D268" i="2"/>
  <c r="D219" i="2"/>
  <c r="D91" i="2"/>
  <c r="D59" i="2"/>
  <c r="D278" i="2"/>
  <c r="D253" i="2"/>
  <c r="D168" i="2"/>
  <c r="D97" i="2"/>
  <c r="D65" i="2"/>
  <c r="D101" i="2"/>
  <c r="D208" i="2"/>
  <c r="D266" i="2"/>
  <c r="D227" i="2"/>
  <c r="D197" i="2"/>
  <c r="D189" i="2"/>
  <c r="D139" i="2"/>
  <c r="D105" i="2"/>
  <c r="D172" i="2"/>
  <c r="D247" i="2"/>
  <c r="D47" i="2"/>
  <c r="D345" i="2"/>
  <c r="D121" i="2"/>
  <c r="D86" i="2"/>
  <c r="D233" i="2"/>
  <c r="D158" i="2"/>
  <c r="D280" i="2"/>
  <c r="D240" i="2"/>
  <c r="D108" i="2"/>
  <c r="D366" i="2"/>
  <c r="D212" i="2"/>
  <c r="D152" i="2"/>
  <c r="D218" i="2"/>
  <c r="D137" i="2"/>
  <c r="D352" i="2"/>
  <c r="D255" i="2"/>
  <c r="D246" i="2"/>
  <c r="D111" i="2"/>
  <c r="D69" i="2"/>
  <c r="D46" i="2"/>
  <c r="D285" i="2"/>
  <c r="D244" i="2"/>
  <c r="D87" i="2"/>
  <c r="D73" i="2"/>
  <c r="D214" i="2"/>
  <c r="D170" i="2"/>
  <c r="D199" i="2"/>
  <c r="D221" i="2"/>
  <c r="D148" i="2"/>
  <c r="D96" i="2"/>
  <c r="D373" i="2"/>
  <c r="D129" i="2"/>
  <c r="D64" i="2"/>
  <c r="D372" i="2"/>
  <c r="D70" i="2"/>
  <c r="D252" i="2"/>
  <c r="D360" i="2"/>
  <c r="D112" i="2"/>
  <c r="A5" i="4"/>
  <c r="R4" i="4"/>
  <c r="B4" i="4"/>
  <c r="C7" i="7"/>
  <c r="D7" i="7" s="1"/>
  <c r="F4" i="2"/>
  <c r="E2" i="5"/>
  <c r="H2" i="5" s="1"/>
  <c r="F3" i="4"/>
  <c r="H3" i="4"/>
  <c r="H2" i="4"/>
  <c r="B68" i="1"/>
  <c r="N4" i="2" s="1"/>
  <c r="U359" i="2" l="1"/>
  <c r="I358" i="2"/>
  <c r="J358" i="2" s="1"/>
  <c r="L358" i="2" s="1"/>
  <c r="K358" i="2" s="1"/>
  <c r="U317" i="2"/>
  <c r="I316" i="2"/>
  <c r="J316" i="2" s="1"/>
  <c r="L316" i="2" s="1"/>
  <c r="K316" i="2" s="1"/>
  <c r="I94" i="2"/>
  <c r="J94" i="2" s="1"/>
  <c r="L94" i="2" s="1"/>
  <c r="K94" i="2" s="1"/>
  <c r="U95" i="2"/>
  <c r="U285" i="2"/>
  <c r="I284" i="2"/>
  <c r="J284" i="2" s="1"/>
  <c r="L284" i="2" s="1"/>
  <c r="K284" i="2" s="1"/>
  <c r="O49" i="2"/>
  <c r="H242" i="3" s="1"/>
  <c r="I242" i="3" s="1"/>
  <c r="J242" i="3" s="1"/>
  <c r="O79" i="2"/>
  <c r="H273" i="3" s="1"/>
  <c r="I273" i="3" s="1"/>
  <c r="J273" i="3" s="1"/>
  <c r="O229" i="2"/>
  <c r="H57" i="3" s="1"/>
  <c r="I57" i="3" s="1"/>
  <c r="J57" i="3" s="1"/>
  <c r="O282" i="2"/>
  <c r="H110" i="3" s="1"/>
  <c r="I110" i="3" s="1"/>
  <c r="J110" i="3" s="1"/>
  <c r="O155" i="2"/>
  <c r="H349" i="3" s="1"/>
  <c r="I349" i="3" s="1"/>
  <c r="J349" i="3" s="1"/>
  <c r="U178" i="2"/>
  <c r="I177" i="2"/>
  <c r="J177" i="2" s="1"/>
  <c r="L177" i="2" s="1"/>
  <c r="K177" i="2" s="1"/>
  <c r="I101" i="2"/>
  <c r="J101" i="2" s="1"/>
  <c r="L101" i="2" s="1"/>
  <c r="K101" i="2" s="1"/>
  <c r="U102" i="2"/>
  <c r="I72" i="2"/>
  <c r="J72" i="2" s="1"/>
  <c r="L72" i="2" s="1"/>
  <c r="K72" i="2" s="1"/>
  <c r="U73" i="2"/>
  <c r="U139" i="2"/>
  <c r="I138" i="2"/>
  <c r="J138" i="2" s="1"/>
  <c r="L138" i="2" s="1"/>
  <c r="K138" i="2" s="1"/>
  <c r="U80" i="2"/>
  <c r="I79" i="2"/>
  <c r="J79" i="2" s="1"/>
  <c r="L79" i="2" s="1"/>
  <c r="K79" i="2" s="1"/>
  <c r="U329" i="2"/>
  <c r="I328" i="2"/>
  <c r="J328" i="2" s="1"/>
  <c r="L328" i="2" s="1"/>
  <c r="K328" i="2" s="1"/>
  <c r="I207" i="2"/>
  <c r="J207" i="2" s="1"/>
  <c r="L207" i="2" s="1"/>
  <c r="K207" i="2" s="1"/>
  <c r="U208" i="2"/>
  <c r="O338" i="2"/>
  <c r="H166" i="3" s="1"/>
  <c r="I166" i="3" s="1"/>
  <c r="J166" i="3" s="1"/>
  <c r="I97" i="2"/>
  <c r="J97" i="2" s="1"/>
  <c r="L97" i="2" s="1"/>
  <c r="K97" i="2" s="1"/>
  <c r="U98" i="2"/>
  <c r="U288" i="2"/>
  <c r="I287" i="2"/>
  <c r="J287" i="2" s="1"/>
  <c r="L287" i="2" s="1"/>
  <c r="K287" i="2" s="1"/>
  <c r="U87" i="2"/>
  <c r="I86" i="2"/>
  <c r="J86" i="2" s="1"/>
  <c r="L86" i="2" s="1"/>
  <c r="K86" i="2" s="1"/>
  <c r="I24" i="2"/>
  <c r="J24" i="2" s="1"/>
  <c r="L24" i="2" s="1"/>
  <c r="K24" i="2" s="1"/>
  <c r="U25" i="2"/>
  <c r="U181" i="2"/>
  <c r="I180" i="2"/>
  <c r="J180" i="2" s="1"/>
  <c r="L180" i="2" s="1"/>
  <c r="K180" i="2" s="1"/>
  <c r="I117" i="2"/>
  <c r="J117" i="2" s="1"/>
  <c r="L117" i="2" s="1"/>
  <c r="K117" i="2" s="1"/>
  <c r="U118" i="2"/>
  <c r="I309" i="2"/>
  <c r="J309" i="2" s="1"/>
  <c r="L309" i="2" s="1"/>
  <c r="K309" i="2" s="1"/>
  <c r="U310" i="2"/>
  <c r="I254" i="2"/>
  <c r="J254" i="2" s="1"/>
  <c r="L254" i="2" s="1"/>
  <c r="K254" i="2" s="1"/>
  <c r="U255" i="2"/>
  <c r="I77" i="2"/>
  <c r="J77" i="2" s="1"/>
  <c r="L77" i="2" s="1"/>
  <c r="K77" i="2" s="1"/>
  <c r="U78" i="2"/>
  <c r="I171" i="2"/>
  <c r="J171" i="2" s="1"/>
  <c r="L171" i="2" s="1"/>
  <c r="K171" i="2" s="1"/>
  <c r="U172" i="2"/>
  <c r="U289" i="2"/>
  <c r="I288" i="2"/>
  <c r="J288" i="2" s="1"/>
  <c r="L288" i="2" s="1"/>
  <c r="K288" i="2" s="1"/>
  <c r="I313" i="2"/>
  <c r="J313" i="2" s="1"/>
  <c r="L313" i="2" s="1"/>
  <c r="K313" i="2" s="1"/>
  <c r="U314" i="2"/>
  <c r="G88" i="2"/>
  <c r="H88" i="2" s="1"/>
  <c r="O359" i="2"/>
  <c r="H187" i="3" s="1"/>
  <c r="I187" i="3" s="1"/>
  <c r="J187" i="3" s="1"/>
  <c r="O304" i="2"/>
  <c r="H132" i="3" s="1"/>
  <c r="I132" i="3" s="1"/>
  <c r="J132" i="3" s="1"/>
  <c r="O273" i="2"/>
  <c r="H101" i="3" s="1"/>
  <c r="I101" i="3" s="1"/>
  <c r="J101" i="3" s="1"/>
  <c r="U17" i="2"/>
  <c r="I16" i="2"/>
  <c r="J16" i="2" s="1"/>
  <c r="L16" i="2" s="1"/>
  <c r="K16" i="2" s="1"/>
  <c r="U133" i="2"/>
  <c r="I132" i="2"/>
  <c r="J132" i="2" s="1"/>
  <c r="L132" i="2" s="1"/>
  <c r="K132" i="2" s="1"/>
  <c r="I143" i="2"/>
  <c r="J143" i="2" s="1"/>
  <c r="L143" i="2" s="1"/>
  <c r="K143" i="2" s="1"/>
  <c r="U144" i="2"/>
  <c r="I18" i="2"/>
  <c r="J18" i="2" s="1"/>
  <c r="L18" i="2" s="1"/>
  <c r="K18" i="2" s="1"/>
  <c r="U19" i="2"/>
  <c r="I141" i="2"/>
  <c r="J141" i="2" s="1"/>
  <c r="L141" i="2" s="1"/>
  <c r="K141" i="2" s="1"/>
  <c r="U142" i="2"/>
  <c r="I314" i="2"/>
  <c r="J314" i="2" s="1"/>
  <c r="L314" i="2" s="1"/>
  <c r="K314" i="2" s="1"/>
  <c r="U315" i="2"/>
  <c r="I373" i="2"/>
  <c r="J373" i="2" s="1"/>
  <c r="L373" i="2" s="1"/>
  <c r="K373" i="2" s="1"/>
  <c r="U374" i="2"/>
  <c r="U149" i="2"/>
  <c r="I148" i="2"/>
  <c r="J148" i="2" s="1"/>
  <c r="L148" i="2" s="1"/>
  <c r="K148" i="2" s="1"/>
  <c r="U332" i="2"/>
  <c r="I331" i="2"/>
  <c r="J331" i="2" s="1"/>
  <c r="L331" i="2" s="1"/>
  <c r="K331" i="2" s="1"/>
  <c r="O206" i="2"/>
  <c r="H34" i="3" s="1"/>
  <c r="I34" i="3" s="1"/>
  <c r="J34" i="3" s="1"/>
  <c r="O160" i="2"/>
  <c r="H354" i="3" s="1"/>
  <c r="I354" i="3" s="1"/>
  <c r="J354" i="3" s="1"/>
  <c r="O35" i="2"/>
  <c r="H228" i="3" s="1"/>
  <c r="I228" i="3" s="1"/>
  <c r="J228" i="3" s="1"/>
  <c r="O133" i="2"/>
  <c r="H327" i="3" s="1"/>
  <c r="I327" i="3" s="1"/>
  <c r="J327" i="3" s="1"/>
  <c r="O252" i="2"/>
  <c r="H80" i="3" s="1"/>
  <c r="I80" i="3" s="1"/>
  <c r="J80" i="3" s="1"/>
  <c r="I329" i="2"/>
  <c r="J329" i="2" s="1"/>
  <c r="L329" i="2" s="1"/>
  <c r="K329" i="2" s="1"/>
  <c r="U330" i="2"/>
  <c r="I111" i="2"/>
  <c r="J111" i="2" s="1"/>
  <c r="L111" i="2" s="1"/>
  <c r="K111" i="2" s="1"/>
  <c r="U112" i="2"/>
  <c r="U198" i="2"/>
  <c r="I197" i="2"/>
  <c r="J197" i="2" s="1"/>
  <c r="L197" i="2" s="1"/>
  <c r="K197" i="2" s="1"/>
  <c r="I147" i="2"/>
  <c r="J147" i="2" s="1"/>
  <c r="L147" i="2" s="1"/>
  <c r="K147" i="2" s="1"/>
  <c r="U148" i="2"/>
  <c r="U231" i="2"/>
  <c r="I230" i="2"/>
  <c r="J230" i="2" s="1"/>
  <c r="L230" i="2" s="1"/>
  <c r="K230" i="2" s="1"/>
  <c r="I265" i="2"/>
  <c r="J265" i="2" s="1"/>
  <c r="L265" i="2" s="1"/>
  <c r="K265" i="2" s="1"/>
  <c r="U266" i="2"/>
  <c r="U180" i="2"/>
  <c r="I179" i="2"/>
  <c r="J179" i="2" s="1"/>
  <c r="L179" i="2" s="1"/>
  <c r="K179" i="2" s="1"/>
  <c r="I351" i="2"/>
  <c r="J351" i="2" s="1"/>
  <c r="L351" i="2" s="1"/>
  <c r="K351" i="2" s="1"/>
  <c r="U352" i="2"/>
  <c r="I151" i="2"/>
  <c r="J151" i="2" s="1"/>
  <c r="L151" i="2" s="1"/>
  <c r="K151" i="2" s="1"/>
  <c r="U152" i="2"/>
  <c r="U194" i="2"/>
  <c r="I193" i="2"/>
  <c r="J193" i="2" s="1"/>
  <c r="L193" i="2" s="1"/>
  <c r="K193" i="2" s="1"/>
  <c r="U259" i="2"/>
  <c r="I258" i="2"/>
  <c r="J258" i="2" s="1"/>
  <c r="L258" i="2" s="1"/>
  <c r="K258" i="2" s="1"/>
  <c r="U320" i="2"/>
  <c r="I319" i="2"/>
  <c r="J319" i="2" s="1"/>
  <c r="L319" i="2" s="1"/>
  <c r="K319" i="2" s="1"/>
  <c r="O64" i="2"/>
  <c r="H257" i="3" s="1"/>
  <c r="I257" i="3" s="1"/>
  <c r="J257" i="3" s="1"/>
  <c r="O70" i="2"/>
  <c r="G42" i="2"/>
  <c r="H42" i="2" s="1"/>
  <c r="O42" i="2" s="1"/>
  <c r="H235" i="3" s="1"/>
  <c r="I235" i="3" s="1"/>
  <c r="J235" i="3" s="1"/>
  <c r="O323" i="2"/>
  <c r="H151" i="3" s="1"/>
  <c r="I151" i="3" s="1"/>
  <c r="J151" i="3" s="1"/>
  <c r="G373" i="2"/>
  <c r="H373" i="2" s="1"/>
  <c r="O373" i="2" s="1"/>
  <c r="H201" i="3" s="1"/>
  <c r="I201" i="3" s="1"/>
  <c r="J201" i="3" s="1"/>
  <c r="U42" i="2"/>
  <c r="I41" i="2"/>
  <c r="J41" i="2" s="1"/>
  <c r="L41" i="2" s="1"/>
  <c r="K41" i="2" s="1"/>
  <c r="U147" i="2"/>
  <c r="I146" i="2"/>
  <c r="J146" i="2" s="1"/>
  <c r="L146" i="2" s="1"/>
  <c r="K146" i="2" s="1"/>
  <c r="I184" i="2"/>
  <c r="J184" i="2" s="1"/>
  <c r="L184" i="2" s="1"/>
  <c r="K184" i="2" s="1"/>
  <c r="U185" i="2"/>
  <c r="U257" i="2"/>
  <c r="I256" i="2"/>
  <c r="J256" i="2" s="1"/>
  <c r="L256" i="2" s="1"/>
  <c r="K256" i="2" s="1"/>
  <c r="I297" i="2"/>
  <c r="J297" i="2" s="1"/>
  <c r="L297" i="2" s="1"/>
  <c r="K297" i="2" s="1"/>
  <c r="U298" i="2"/>
  <c r="I116" i="2"/>
  <c r="J116" i="2" s="1"/>
  <c r="L116" i="2" s="1"/>
  <c r="K116" i="2" s="1"/>
  <c r="U117" i="2"/>
  <c r="U207" i="2"/>
  <c r="I206" i="2"/>
  <c r="J206" i="2" s="1"/>
  <c r="L206" i="2" s="1"/>
  <c r="K206" i="2" s="1"/>
  <c r="U125" i="2"/>
  <c r="I124" i="2"/>
  <c r="J124" i="2" s="1"/>
  <c r="L124" i="2" s="1"/>
  <c r="K124" i="2" s="1"/>
  <c r="U260" i="2"/>
  <c r="I259" i="2"/>
  <c r="J259" i="2" s="1"/>
  <c r="L259" i="2" s="1"/>
  <c r="K259" i="2" s="1"/>
  <c r="U335" i="2"/>
  <c r="I334" i="2"/>
  <c r="J334" i="2" s="1"/>
  <c r="L334" i="2" s="1"/>
  <c r="K334" i="2" s="1"/>
  <c r="I357" i="2"/>
  <c r="J357" i="2" s="1"/>
  <c r="L357" i="2" s="1"/>
  <c r="K357" i="2" s="1"/>
  <c r="U358" i="2"/>
  <c r="G263" i="2"/>
  <c r="H263" i="2" s="1"/>
  <c r="O263" i="2" s="1"/>
  <c r="H91" i="3" s="1"/>
  <c r="I91" i="3" s="1"/>
  <c r="J91" i="3" s="1"/>
  <c r="O298" i="2"/>
  <c r="H126" i="3" s="1"/>
  <c r="I126" i="3" s="1"/>
  <c r="J126" i="3" s="1"/>
  <c r="O211" i="2"/>
  <c r="H39" i="3" s="1"/>
  <c r="I39" i="3" s="1"/>
  <c r="J39" i="3" s="1"/>
  <c r="O165" i="2"/>
  <c r="H359" i="3" s="1"/>
  <c r="I359" i="3" s="1"/>
  <c r="J359" i="3" s="1"/>
  <c r="G45" i="2"/>
  <c r="H45" i="2" s="1"/>
  <c r="G157" i="2"/>
  <c r="H157" i="2" s="1"/>
  <c r="G284" i="2"/>
  <c r="H284" i="2" s="1"/>
  <c r="U337" i="2"/>
  <c r="I336" i="2"/>
  <c r="J336" i="2" s="1"/>
  <c r="L336" i="2" s="1"/>
  <c r="K336" i="2" s="1"/>
  <c r="U321" i="2"/>
  <c r="I320" i="2"/>
  <c r="J320" i="2" s="1"/>
  <c r="L320" i="2" s="1"/>
  <c r="K320" i="2" s="1"/>
  <c r="U132" i="2"/>
  <c r="I131" i="2"/>
  <c r="J131" i="2" s="1"/>
  <c r="L131" i="2" s="1"/>
  <c r="K131" i="2" s="1"/>
  <c r="U126" i="2"/>
  <c r="I125" i="2"/>
  <c r="J125" i="2" s="1"/>
  <c r="L125" i="2" s="1"/>
  <c r="K125" i="2" s="1"/>
  <c r="I354" i="2"/>
  <c r="J354" i="2" s="1"/>
  <c r="L354" i="2" s="1"/>
  <c r="K354" i="2" s="1"/>
  <c r="U355" i="2"/>
  <c r="G87" i="2"/>
  <c r="H87" i="2" s="1"/>
  <c r="I191" i="2"/>
  <c r="J191" i="2" s="1"/>
  <c r="L191" i="2" s="1"/>
  <c r="K191" i="2" s="1"/>
  <c r="U192" i="2"/>
  <c r="I356" i="2"/>
  <c r="J356" i="2" s="1"/>
  <c r="L356" i="2" s="1"/>
  <c r="K356" i="2" s="1"/>
  <c r="U357" i="2"/>
  <c r="I136" i="2"/>
  <c r="J136" i="2" s="1"/>
  <c r="L136" i="2" s="1"/>
  <c r="K136" i="2" s="1"/>
  <c r="U137" i="2"/>
  <c r="U162" i="2"/>
  <c r="I161" i="2"/>
  <c r="J161" i="2" s="1"/>
  <c r="L161" i="2" s="1"/>
  <c r="K161" i="2" s="1"/>
  <c r="I364" i="2"/>
  <c r="J364" i="2" s="1"/>
  <c r="L364" i="2" s="1"/>
  <c r="K364" i="2" s="1"/>
  <c r="U365" i="2"/>
  <c r="G265" i="2"/>
  <c r="H265" i="2" s="1"/>
  <c r="O265" i="2" s="1"/>
  <c r="H93" i="3" s="1"/>
  <c r="I93" i="3" s="1"/>
  <c r="J93" i="3" s="1"/>
  <c r="G41" i="2"/>
  <c r="H41" i="2" s="1"/>
  <c r="G147" i="2"/>
  <c r="H147" i="2" s="1"/>
  <c r="G34" i="2"/>
  <c r="H34" i="2" s="1"/>
  <c r="G192" i="2"/>
  <c r="H192" i="2" s="1"/>
  <c r="G264" i="2"/>
  <c r="H264" i="2" s="1"/>
  <c r="O264" i="2" s="1"/>
  <c r="H92" i="3" s="1"/>
  <c r="I92" i="3" s="1"/>
  <c r="J92" i="3" s="1"/>
  <c r="G77" i="2"/>
  <c r="H77" i="2" s="1"/>
  <c r="O77" i="2" s="1"/>
  <c r="H271" i="3" s="1"/>
  <c r="I271" i="3" s="1"/>
  <c r="J271" i="3" s="1"/>
  <c r="G182" i="2"/>
  <c r="H182" i="2" s="1"/>
  <c r="G318" i="2"/>
  <c r="H318" i="2" s="1"/>
  <c r="O318" i="2" s="1"/>
  <c r="H146" i="3" s="1"/>
  <c r="I146" i="3" s="1"/>
  <c r="J146" i="3" s="1"/>
  <c r="I223" i="2"/>
  <c r="J223" i="2" s="1"/>
  <c r="L223" i="2" s="1"/>
  <c r="K223" i="2" s="1"/>
  <c r="U224" i="2"/>
  <c r="O115" i="2"/>
  <c r="H309" i="3" s="1"/>
  <c r="I309" i="3" s="1"/>
  <c r="J309" i="3" s="1"/>
  <c r="O92" i="2"/>
  <c r="H286" i="3" s="1"/>
  <c r="I286" i="3" s="1"/>
  <c r="J286" i="3" s="1"/>
  <c r="I162" i="2"/>
  <c r="J162" i="2" s="1"/>
  <c r="L162" i="2" s="1"/>
  <c r="K162" i="2" s="1"/>
  <c r="U163" i="2"/>
  <c r="U23" i="2"/>
  <c r="I22" i="2"/>
  <c r="J22" i="2" s="1"/>
  <c r="L22" i="2" s="1"/>
  <c r="K22" i="2" s="1"/>
  <c r="U40" i="2"/>
  <c r="I39" i="2"/>
  <c r="J39" i="2" s="1"/>
  <c r="L39" i="2" s="1"/>
  <c r="K39" i="2" s="1"/>
  <c r="I239" i="2"/>
  <c r="J239" i="2" s="1"/>
  <c r="L239" i="2" s="1"/>
  <c r="K239" i="2" s="1"/>
  <c r="U240" i="2"/>
  <c r="I35" i="2"/>
  <c r="J35" i="2" s="1"/>
  <c r="L35" i="2" s="1"/>
  <c r="K35" i="2" s="1"/>
  <c r="U36" i="2"/>
  <c r="U327" i="2"/>
  <c r="I326" i="2"/>
  <c r="J326" i="2" s="1"/>
  <c r="L326" i="2" s="1"/>
  <c r="K326" i="2" s="1"/>
  <c r="I221" i="2"/>
  <c r="J221" i="2" s="1"/>
  <c r="L221" i="2" s="1"/>
  <c r="K221" i="2" s="1"/>
  <c r="U222" i="2"/>
  <c r="G276" i="2"/>
  <c r="H276" i="2" s="1"/>
  <c r="O276" i="2" s="1"/>
  <c r="H104" i="3" s="1"/>
  <c r="I104" i="3" s="1"/>
  <c r="J104" i="3" s="1"/>
  <c r="G97" i="2"/>
  <c r="H97" i="2" s="1"/>
  <c r="O97" i="2" s="1"/>
  <c r="H291" i="3" s="1"/>
  <c r="I291" i="3" s="1"/>
  <c r="J291" i="3" s="1"/>
  <c r="G123" i="2"/>
  <c r="H123" i="2" s="1"/>
  <c r="G173" i="2"/>
  <c r="H173" i="2" s="1"/>
  <c r="G175" i="2"/>
  <c r="H175" i="2" s="1"/>
  <c r="G125" i="2"/>
  <c r="H125" i="2" s="1"/>
  <c r="G372" i="2"/>
  <c r="H372" i="2" s="1"/>
  <c r="U301" i="2"/>
  <c r="I300" i="2"/>
  <c r="J300" i="2" s="1"/>
  <c r="L300" i="2" s="1"/>
  <c r="K300" i="2" s="1"/>
  <c r="U108" i="2"/>
  <c r="I107" i="2"/>
  <c r="J107" i="2" s="1"/>
  <c r="L107" i="2" s="1"/>
  <c r="K107" i="2" s="1"/>
  <c r="I242" i="2"/>
  <c r="J242" i="2" s="1"/>
  <c r="L242" i="2" s="1"/>
  <c r="K242" i="2" s="1"/>
  <c r="U243" i="2"/>
  <c r="I59" i="2"/>
  <c r="J59" i="2" s="1"/>
  <c r="L59" i="2" s="1"/>
  <c r="K59" i="2" s="1"/>
  <c r="U60" i="2"/>
  <c r="U228" i="2"/>
  <c r="I227" i="2"/>
  <c r="J227" i="2" s="1"/>
  <c r="L227" i="2" s="1"/>
  <c r="K227" i="2" s="1"/>
  <c r="U313" i="2"/>
  <c r="I312" i="2"/>
  <c r="J312" i="2" s="1"/>
  <c r="L312" i="2" s="1"/>
  <c r="K312" i="2" s="1"/>
  <c r="I130" i="2"/>
  <c r="J130" i="2" s="1"/>
  <c r="L130" i="2" s="1"/>
  <c r="K130" i="2" s="1"/>
  <c r="U131" i="2"/>
  <c r="I311" i="2"/>
  <c r="J311" i="2" s="1"/>
  <c r="L311" i="2" s="1"/>
  <c r="K311" i="2" s="1"/>
  <c r="U312" i="2"/>
  <c r="G214" i="2"/>
  <c r="H214" i="2" s="1"/>
  <c r="O214" i="2" s="1"/>
  <c r="H42" i="3" s="1"/>
  <c r="I42" i="3" s="1"/>
  <c r="J42" i="3" s="1"/>
  <c r="G168" i="2"/>
  <c r="H168" i="2" s="1"/>
  <c r="O168" i="2" s="1"/>
  <c r="H362" i="3" s="1"/>
  <c r="I362" i="3" s="1"/>
  <c r="J362" i="3" s="1"/>
  <c r="O91" i="2"/>
  <c r="H285" i="3" s="1"/>
  <c r="I285" i="3" s="1"/>
  <c r="J285" i="3" s="1"/>
  <c r="G159" i="2"/>
  <c r="H159" i="2" s="1"/>
  <c r="O159" i="2" s="1"/>
  <c r="H353" i="3" s="1"/>
  <c r="I353" i="3" s="1"/>
  <c r="J353" i="3" s="1"/>
  <c r="O275" i="2"/>
  <c r="H103" i="3" s="1"/>
  <c r="I103" i="3" s="1"/>
  <c r="J103" i="3" s="1"/>
  <c r="G255" i="2"/>
  <c r="H255" i="2" s="1"/>
  <c r="G195" i="2"/>
  <c r="H195" i="2" s="1"/>
  <c r="G54" i="2"/>
  <c r="H54" i="2" s="1"/>
  <c r="G216" i="2"/>
  <c r="H216" i="2" s="1"/>
  <c r="O216" i="2" s="1"/>
  <c r="H44" i="3" s="1"/>
  <c r="I44" i="3" s="1"/>
  <c r="J44" i="3" s="1"/>
  <c r="G202" i="2"/>
  <c r="H202" i="2" s="1"/>
  <c r="G233" i="2"/>
  <c r="H233" i="2" s="1"/>
  <c r="O233" i="2" s="1"/>
  <c r="H61" i="3" s="1"/>
  <c r="I61" i="3" s="1"/>
  <c r="J61" i="3" s="1"/>
  <c r="G314" i="2"/>
  <c r="H314" i="2" s="1"/>
  <c r="O314" i="2" s="1"/>
  <c r="H142" i="3" s="1"/>
  <c r="I142" i="3" s="1"/>
  <c r="J142" i="3" s="1"/>
  <c r="G358" i="2"/>
  <c r="H358" i="2" s="1"/>
  <c r="O358" i="2" s="1"/>
  <c r="H186" i="3" s="1"/>
  <c r="I186" i="3" s="1"/>
  <c r="J186" i="3" s="1"/>
  <c r="I347" i="2"/>
  <c r="J347" i="2" s="1"/>
  <c r="L347" i="2" s="1"/>
  <c r="K347" i="2" s="1"/>
  <c r="U348" i="2"/>
  <c r="I108" i="2"/>
  <c r="J108" i="2" s="1"/>
  <c r="L108" i="2" s="1"/>
  <c r="K108" i="2" s="1"/>
  <c r="U109" i="2"/>
  <c r="U140" i="2"/>
  <c r="I139" i="2"/>
  <c r="J139" i="2" s="1"/>
  <c r="L139" i="2" s="1"/>
  <c r="K139" i="2" s="1"/>
  <c r="U69" i="2"/>
  <c r="I68" i="2"/>
  <c r="J68" i="2" s="1"/>
  <c r="L68" i="2" s="1"/>
  <c r="K68" i="2" s="1"/>
  <c r="I164" i="2"/>
  <c r="J164" i="2" s="1"/>
  <c r="L164" i="2" s="1"/>
  <c r="K164" i="2" s="1"/>
  <c r="U165" i="2"/>
  <c r="I120" i="2"/>
  <c r="J120" i="2" s="1"/>
  <c r="L120" i="2" s="1"/>
  <c r="K120" i="2" s="1"/>
  <c r="U121" i="2"/>
  <c r="I110" i="2"/>
  <c r="J110" i="2" s="1"/>
  <c r="L110" i="2" s="1"/>
  <c r="K110" i="2" s="1"/>
  <c r="U111" i="2"/>
  <c r="U278" i="2"/>
  <c r="I277" i="2"/>
  <c r="J277" i="2" s="1"/>
  <c r="L277" i="2" s="1"/>
  <c r="K277" i="2" s="1"/>
  <c r="U72" i="2"/>
  <c r="I71" i="2"/>
  <c r="J71" i="2" s="1"/>
  <c r="L71" i="2" s="1"/>
  <c r="K71" i="2" s="1"/>
  <c r="U168" i="2"/>
  <c r="I167" i="2"/>
  <c r="J167" i="2" s="1"/>
  <c r="L167" i="2" s="1"/>
  <c r="K167" i="2" s="1"/>
  <c r="I218" i="2"/>
  <c r="J218" i="2" s="1"/>
  <c r="L218" i="2" s="1"/>
  <c r="K218" i="2" s="1"/>
  <c r="U219" i="2"/>
  <c r="U246" i="2"/>
  <c r="I245" i="2"/>
  <c r="J245" i="2" s="1"/>
  <c r="L245" i="2" s="1"/>
  <c r="K245" i="2" s="1"/>
  <c r="U249" i="2"/>
  <c r="I248" i="2"/>
  <c r="J248" i="2" s="1"/>
  <c r="L248" i="2" s="1"/>
  <c r="K248" i="2" s="1"/>
  <c r="U85" i="2"/>
  <c r="I84" i="2"/>
  <c r="J84" i="2" s="1"/>
  <c r="L84" i="2" s="1"/>
  <c r="K84" i="2" s="1"/>
  <c r="I85" i="2"/>
  <c r="J85" i="2" s="1"/>
  <c r="L85" i="2" s="1"/>
  <c r="K85" i="2" s="1"/>
  <c r="U86" i="2"/>
  <c r="U295" i="2"/>
  <c r="I294" i="2"/>
  <c r="J294" i="2" s="1"/>
  <c r="L294" i="2" s="1"/>
  <c r="K294" i="2" s="1"/>
  <c r="I249" i="2"/>
  <c r="J249" i="2" s="1"/>
  <c r="L249" i="2" s="1"/>
  <c r="K249" i="2" s="1"/>
  <c r="U250" i="2"/>
  <c r="U15" i="2"/>
  <c r="I14" i="2"/>
  <c r="J14" i="2" s="1"/>
  <c r="L14" i="2" s="1"/>
  <c r="K14" i="2" s="1"/>
  <c r="I330" i="2"/>
  <c r="J330" i="2" s="1"/>
  <c r="L330" i="2" s="1"/>
  <c r="K330" i="2" s="1"/>
  <c r="U331" i="2"/>
  <c r="U161" i="2"/>
  <c r="I160" i="2"/>
  <c r="J160" i="2" s="1"/>
  <c r="L160" i="2" s="1"/>
  <c r="K160" i="2" s="1"/>
  <c r="I204" i="2"/>
  <c r="J204" i="2" s="1"/>
  <c r="L204" i="2" s="1"/>
  <c r="K204" i="2" s="1"/>
  <c r="U205" i="2"/>
  <c r="I253" i="2"/>
  <c r="J253" i="2" s="1"/>
  <c r="L253" i="2" s="1"/>
  <c r="K253" i="2" s="1"/>
  <c r="U254" i="2"/>
  <c r="U328" i="2"/>
  <c r="I327" i="2"/>
  <c r="J327" i="2" s="1"/>
  <c r="L327" i="2" s="1"/>
  <c r="K327" i="2" s="1"/>
  <c r="G37" i="2"/>
  <c r="H37" i="2" s="1"/>
  <c r="O37" i="2" s="1"/>
  <c r="H230" i="3" s="1"/>
  <c r="I230" i="3" s="1"/>
  <c r="J230" i="3" s="1"/>
  <c r="G352" i="2"/>
  <c r="H352" i="2" s="1"/>
  <c r="O352" i="2" s="1"/>
  <c r="H180" i="3" s="1"/>
  <c r="I180" i="3" s="1"/>
  <c r="J180" i="3" s="1"/>
  <c r="G139" i="2"/>
  <c r="H139" i="2" s="1"/>
  <c r="O139" i="2" s="1"/>
  <c r="H333" i="3" s="1"/>
  <c r="I333" i="3" s="1"/>
  <c r="J333" i="3" s="1"/>
  <c r="O369" i="2"/>
  <c r="H197" i="3" s="1"/>
  <c r="I197" i="3" s="1"/>
  <c r="J197" i="3" s="1"/>
  <c r="G111" i="2"/>
  <c r="H111" i="2" s="1"/>
  <c r="G213" i="2"/>
  <c r="H213" i="2" s="1"/>
  <c r="G371" i="2"/>
  <c r="H371" i="2" s="1"/>
  <c r="G288" i="2"/>
  <c r="H288" i="2" s="1"/>
  <c r="G130" i="2"/>
  <c r="H130" i="2" s="1"/>
  <c r="O130" i="2" s="1"/>
  <c r="H324" i="3" s="1"/>
  <c r="I324" i="3" s="1"/>
  <c r="J324" i="3" s="1"/>
  <c r="G26" i="2"/>
  <c r="H26" i="2" s="1"/>
  <c r="O26" i="2" s="1"/>
  <c r="H219" i="3" s="1"/>
  <c r="I219" i="3" s="1"/>
  <c r="J219" i="3" s="1"/>
  <c r="G274" i="2"/>
  <c r="H274" i="2" s="1"/>
  <c r="O274" i="2" s="1"/>
  <c r="H102" i="3" s="1"/>
  <c r="I102" i="3" s="1"/>
  <c r="J102" i="3" s="1"/>
  <c r="G217" i="2"/>
  <c r="H217" i="2" s="1"/>
  <c r="O217" i="2" s="1"/>
  <c r="H45" i="3" s="1"/>
  <c r="I45" i="3" s="1"/>
  <c r="J45" i="3" s="1"/>
  <c r="G292" i="2"/>
  <c r="H292" i="2" s="1"/>
  <c r="G197" i="2"/>
  <c r="H197" i="2" s="1"/>
  <c r="O197" i="2" s="1"/>
  <c r="H25" i="3" s="1"/>
  <c r="I25" i="3" s="1"/>
  <c r="J25" i="3" s="1"/>
  <c r="G162" i="2"/>
  <c r="H162" i="2" s="1"/>
  <c r="O238" i="2"/>
  <c r="H66" i="3" s="1"/>
  <c r="I66" i="3" s="1"/>
  <c r="J66" i="3" s="1"/>
  <c r="O215" i="2"/>
  <c r="H43" i="3" s="1"/>
  <c r="I43" i="3" s="1"/>
  <c r="J43" i="3" s="1"/>
  <c r="G228" i="2"/>
  <c r="H228" i="2" s="1"/>
  <c r="O228" i="2" s="1"/>
  <c r="H56" i="3" s="1"/>
  <c r="I56" i="3" s="1"/>
  <c r="J56" i="3" s="1"/>
  <c r="G259" i="2"/>
  <c r="H259" i="2" s="1"/>
  <c r="G337" i="2"/>
  <c r="H337" i="2" s="1"/>
  <c r="G366" i="2"/>
  <c r="H366" i="2" s="1"/>
  <c r="G374" i="2"/>
  <c r="H374" i="2" s="1"/>
  <c r="O374" i="2" s="1"/>
  <c r="H202" i="3" s="1"/>
  <c r="I202" i="3" s="1"/>
  <c r="J202" i="3" s="1"/>
  <c r="U119" i="2"/>
  <c r="I118" i="2"/>
  <c r="J118" i="2" s="1"/>
  <c r="L118" i="2" s="1"/>
  <c r="K118" i="2" s="1"/>
  <c r="U151" i="2"/>
  <c r="I150" i="2"/>
  <c r="J150" i="2" s="1"/>
  <c r="L150" i="2" s="1"/>
  <c r="K150" i="2" s="1"/>
  <c r="I266" i="2"/>
  <c r="J266" i="2" s="1"/>
  <c r="L266" i="2" s="1"/>
  <c r="K266" i="2" s="1"/>
  <c r="U267" i="2"/>
  <c r="I91" i="2"/>
  <c r="J91" i="2" s="1"/>
  <c r="L91" i="2" s="1"/>
  <c r="K91" i="2" s="1"/>
  <c r="U92" i="2"/>
  <c r="I27" i="2"/>
  <c r="J27" i="2" s="1"/>
  <c r="L27" i="2" s="1"/>
  <c r="K27" i="2" s="1"/>
  <c r="U28" i="2"/>
  <c r="I174" i="2"/>
  <c r="J174" i="2" s="1"/>
  <c r="L174" i="2" s="1"/>
  <c r="K174" i="2" s="1"/>
  <c r="U175" i="2"/>
  <c r="I243" i="2"/>
  <c r="J243" i="2" s="1"/>
  <c r="L243" i="2" s="1"/>
  <c r="K243" i="2" s="1"/>
  <c r="U244" i="2"/>
  <c r="I315" i="2"/>
  <c r="J315" i="2" s="1"/>
  <c r="L315" i="2" s="1"/>
  <c r="K315" i="2" s="1"/>
  <c r="U316" i="2"/>
  <c r="U134" i="2"/>
  <c r="I133" i="2"/>
  <c r="J133" i="2" s="1"/>
  <c r="L133" i="2" s="1"/>
  <c r="K133" i="2" s="1"/>
  <c r="I282" i="2"/>
  <c r="J282" i="2" s="1"/>
  <c r="L282" i="2" s="1"/>
  <c r="K282" i="2" s="1"/>
  <c r="U283" i="2"/>
  <c r="U245" i="2"/>
  <c r="I244" i="2"/>
  <c r="J244" i="2" s="1"/>
  <c r="L244" i="2" s="1"/>
  <c r="K244" i="2" s="1"/>
  <c r="I267" i="2"/>
  <c r="J267" i="2" s="1"/>
  <c r="L267" i="2" s="1"/>
  <c r="K267" i="2" s="1"/>
  <c r="U268" i="2"/>
  <c r="U271" i="2"/>
  <c r="I270" i="2"/>
  <c r="J270" i="2" s="1"/>
  <c r="L270" i="2" s="1"/>
  <c r="K270" i="2" s="1"/>
  <c r="U145" i="2"/>
  <c r="I144" i="2"/>
  <c r="J144" i="2" s="1"/>
  <c r="L144" i="2" s="1"/>
  <c r="K144" i="2" s="1"/>
  <c r="I140" i="2"/>
  <c r="J140" i="2" s="1"/>
  <c r="L140" i="2" s="1"/>
  <c r="K140" i="2" s="1"/>
  <c r="U141" i="2"/>
  <c r="I308" i="2"/>
  <c r="J308" i="2" s="1"/>
  <c r="L308" i="2" s="1"/>
  <c r="K308" i="2" s="1"/>
  <c r="U309" i="2"/>
  <c r="I260" i="2"/>
  <c r="J260" i="2" s="1"/>
  <c r="L260" i="2" s="1"/>
  <c r="K260" i="2" s="1"/>
  <c r="U261" i="2"/>
  <c r="U31" i="2"/>
  <c r="I30" i="2"/>
  <c r="J30" i="2" s="1"/>
  <c r="L30" i="2" s="1"/>
  <c r="K30" i="2" s="1"/>
  <c r="I369" i="2"/>
  <c r="J369" i="2" s="1"/>
  <c r="L369" i="2" s="1"/>
  <c r="K369" i="2" s="1"/>
  <c r="U370" i="2"/>
  <c r="I186" i="2"/>
  <c r="J186" i="2" s="1"/>
  <c r="L186" i="2" s="1"/>
  <c r="K186" i="2" s="1"/>
  <c r="U187" i="2"/>
  <c r="I220" i="2"/>
  <c r="J220" i="2" s="1"/>
  <c r="L220" i="2" s="1"/>
  <c r="K220" i="2" s="1"/>
  <c r="U221" i="2"/>
  <c r="U270" i="2"/>
  <c r="I269" i="2"/>
  <c r="J269" i="2" s="1"/>
  <c r="L269" i="2" s="1"/>
  <c r="K269" i="2" s="1"/>
  <c r="I343" i="2"/>
  <c r="J343" i="2" s="1"/>
  <c r="L343" i="2" s="1"/>
  <c r="K343" i="2" s="1"/>
  <c r="U344" i="2"/>
  <c r="G291" i="2"/>
  <c r="H291" i="2" s="1"/>
  <c r="G43" i="2"/>
  <c r="H43" i="2" s="1"/>
  <c r="G297" i="2"/>
  <c r="H297" i="2" s="1"/>
  <c r="G83" i="2"/>
  <c r="H83" i="2" s="1"/>
  <c r="G134" i="2"/>
  <c r="H134" i="2" s="1"/>
  <c r="O134" i="2" s="1"/>
  <c r="H328" i="3" s="1"/>
  <c r="I328" i="3" s="1"/>
  <c r="J328" i="3" s="1"/>
  <c r="G312" i="2"/>
  <c r="H312" i="2" s="1"/>
  <c r="O312" i="2" s="1"/>
  <c r="H140" i="3" s="1"/>
  <c r="I140" i="3" s="1"/>
  <c r="J140" i="3" s="1"/>
  <c r="G20" i="2"/>
  <c r="H20" i="2" s="1"/>
  <c r="O20" i="2" s="1"/>
  <c r="H213" i="3" s="1"/>
  <c r="I213" i="3" s="1"/>
  <c r="J213" i="3" s="1"/>
  <c r="G325" i="2"/>
  <c r="H325" i="2" s="1"/>
  <c r="O325" i="2" s="1"/>
  <c r="H153" i="3" s="1"/>
  <c r="I153" i="3" s="1"/>
  <c r="J153" i="3" s="1"/>
  <c r="G308" i="2"/>
  <c r="H308" i="2" s="1"/>
  <c r="O308" i="2" s="1"/>
  <c r="H136" i="3" s="1"/>
  <c r="I136" i="3" s="1"/>
  <c r="J136" i="3" s="1"/>
  <c r="G138" i="2"/>
  <c r="H138" i="2" s="1"/>
  <c r="O138" i="2" s="1"/>
  <c r="H332" i="3" s="1"/>
  <c r="I332" i="3" s="1"/>
  <c r="J332" i="3" s="1"/>
  <c r="G48" i="2"/>
  <c r="H48" i="2" s="1"/>
  <c r="O48" i="2" s="1"/>
  <c r="H241" i="3" s="1"/>
  <c r="I241" i="3" s="1"/>
  <c r="J241" i="3" s="1"/>
  <c r="G296" i="2"/>
  <c r="H296" i="2" s="1"/>
  <c r="O296" i="2" s="1"/>
  <c r="H124" i="3" s="1"/>
  <c r="I124" i="3" s="1"/>
  <c r="J124" i="3" s="1"/>
  <c r="G239" i="2"/>
  <c r="H239" i="2" s="1"/>
  <c r="G324" i="2"/>
  <c r="H324" i="2" s="1"/>
  <c r="G56" i="2"/>
  <c r="H56" i="2" s="1"/>
  <c r="G262" i="2"/>
  <c r="H262" i="2" s="1"/>
  <c r="G174" i="2"/>
  <c r="H174" i="2" s="1"/>
  <c r="G250" i="2"/>
  <c r="H250" i="2" s="1"/>
  <c r="O250" i="2" s="1"/>
  <c r="H78" i="3" s="1"/>
  <c r="I78" i="3" s="1"/>
  <c r="J78" i="3" s="1"/>
  <c r="G227" i="2"/>
  <c r="H227" i="2" s="1"/>
  <c r="G254" i="2"/>
  <c r="H254" i="2" s="1"/>
  <c r="O254" i="2" s="1"/>
  <c r="H82" i="3" s="1"/>
  <c r="I82" i="3" s="1"/>
  <c r="J82" i="3" s="1"/>
  <c r="G285" i="2"/>
  <c r="H285" i="2" s="1"/>
  <c r="G361" i="2"/>
  <c r="H361" i="2" s="1"/>
  <c r="G368" i="2"/>
  <c r="H368" i="2" s="1"/>
  <c r="I95" i="2"/>
  <c r="J95" i="2" s="1"/>
  <c r="L95" i="2" s="1"/>
  <c r="K95" i="2" s="1"/>
  <c r="U96" i="2"/>
  <c r="I234" i="2"/>
  <c r="J234" i="2" s="1"/>
  <c r="L234" i="2" s="1"/>
  <c r="K234" i="2" s="1"/>
  <c r="U235" i="2"/>
  <c r="I40" i="2"/>
  <c r="J40" i="2" s="1"/>
  <c r="L40" i="2" s="1"/>
  <c r="K40" i="2" s="1"/>
  <c r="U41" i="2"/>
  <c r="I103" i="2"/>
  <c r="J103" i="2" s="1"/>
  <c r="L103" i="2" s="1"/>
  <c r="K103" i="2" s="1"/>
  <c r="U104" i="2"/>
  <c r="I75" i="2"/>
  <c r="J75" i="2" s="1"/>
  <c r="L75" i="2" s="1"/>
  <c r="K75" i="2" s="1"/>
  <c r="U76" i="2"/>
  <c r="U214" i="2"/>
  <c r="I213" i="2"/>
  <c r="J213" i="2" s="1"/>
  <c r="L213" i="2" s="1"/>
  <c r="K213" i="2" s="1"/>
  <c r="I45" i="2"/>
  <c r="J45" i="2" s="1"/>
  <c r="L45" i="2" s="1"/>
  <c r="K45" i="2" s="1"/>
  <c r="U46" i="2"/>
  <c r="U182" i="2"/>
  <c r="I181" i="2"/>
  <c r="J181" i="2" s="1"/>
  <c r="L181" i="2" s="1"/>
  <c r="K181" i="2" s="1"/>
  <c r="U367" i="2"/>
  <c r="I366" i="2"/>
  <c r="J366" i="2" s="1"/>
  <c r="L366" i="2" s="1"/>
  <c r="K366" i="2" s="1"/>
  <c r="O46" i="2"/>
  <c r="H239" i="3" s="1"/>
  <c r="I239" i="3" s="1"/>
  <c r="J239" i="3" s="1"/>
  <c r="O307" i="2"/>
  <c r="H135" i="3" s="1"/>
  <c r="I135" i="3" s="1"/>
  <c r="J135" i="3" s="1"/>
  <c r="O90" i="2"/>
  <c r="H284" i="3" s="1"/>
  <c r="I284" i="3" s="1"/>
  <c r="J284" i="3" s="1"/>
  <c r="U307" i="2"/>
  <c r="I306" i="2"/>
  <c r="J306" i="2" s="1"/>
  <c r="L306" i="2" s="1"/>
  <c r="K306" i="2" s="1"/>
  <c r="U150" i="2"/>
  <c r="I149" i="2"/>
  <c r="J149" i="2" s="1"/>
  <c r="L149" i="2" s="1"/>
  <c r="K149" i="2" s="1"/>
  <c r="U302" i="2"/>
  <c r="I301" i="2"/>
  <c r="J301" i="2" s="1"/>
  <c r="L301" i="2" s="1"/>
  <c r="K301" i="2" s="1"/>
  <c r="O102" i="2"/>
  <c r="H296" i="3" s="1"/>
  <c r="I296" i="3" s="1"/>
  <c r="J296" i="3" s="1"/>
  <c r="O253" i="2"/>
  <c r="H81" i="3" s="1"/>
  <c r="I81" i="3" s="1"/>
  <c r="J81" i="3" s="1"/>
  <c r="G94" i="2"/>
  <c r="H94" i="2" s="1"/>
  <c r="O94" i="2" s="1"/>
  <c r="H288" i="3" s="1"/>
  <c r="I288" i="3" s="1"/>
  <c r="J288" i="3" s="1"/>
  <c r="O126" i="2"/>
  <c r="H320" i="3" s="1"/>
  <c r="I320" i="3" s="1"/>
  <c r="J320" i="3" s="1"/>
  <c r="O117" i="2"/>
  <c r="H311" i="3" s="1"/>
  <c r="I311" i="3" s="1"/>
  <c r="J311" i="3" s="1"/>
  <c r="O240" i="2"/>
  <c r="H68" i="3" s="1"/>
  <c r="I68" i="3" s="1"/>
  <c r="J68" i="3" s="1"/>
  <c r="U356" i="2"/>
  <c r="I355" i="2"/>
  <c r="J355" i="2" s="1"/>
  <c r="L355" i="2" s="1"/>
  <c r="K355" i="2" s="1"/>
  <c r="U234" i="2"/>
  <c r="I233" i="2"/>
  <c r="J233" i="2" s="1"/>
  <c r="L233" i="2" s="1"/>
  <c r="K233" i="2" s="1"/>
  <c r="I49" i="2"/>
  <c r="J49" i="2" s="1"/>
  <c r="L49" i="2" s="1"/>
  <c r="K49" i="2" s="1"/>
  <c r="U50" i="2"/>
  <c r="U176" i="2"/>
  <c r="I175" i="2"/>
  <c r="J175" i="2" s="1"/>
  <c r="L175" i="2" s="1"/>
  <c r="K175" i="2" s="1"/>
  <c r="U277" i="2"/>
  <c r="I276" i="2"/>
  <c r="J276" i="2" s="1"/>
  <c r="L276" i="2" s="1"/>
  <c r="K276" i="2" s="1"/>
  <c r="U183" i="2"/>
  <c r="I182" i="2"/>
  <c r="J182" i="2" s="1"/>
  <c r="L182" i="2" s="1"/>
  <c r="K182" i="2" s="1"/>
  <c r="U258" i="2"/>
  <c r="I257" i="2"/>
  <c r="J257" i="2" s="1"/>
  <c r="L257" i="2" s="1"/>
  <c r="K257" i="2" s="1"/>
  <c r="U323" i="2"/>
  <c r="I322" i="2"/>
  <c r="J322" i="2" s="1"/>
  <c r="L322" i="2" s="1"/>
  <c r="K322" i="2" s="1"/>
  <c r="G16" i="2"/>
  <c r="H16" i="2" s="1"/>
  <c r="G75" i="2"/>
  <c r="H75" i="2" s="1"/>
  <c r="O75" i="2" s="1"/>
  <c r="H269" i="3" s="1"/>
  <c r="I269" i="3" s="1"/>
  <c r="J269" i="3" s="1"/>
  <c r="O350" i="2"/>
  <c r="H178" i="3" s="1"/>
  <c r="I178" i="3" s="1"/>
  <c r="J178" i="3" s="1"/>
  <c r="O357" i="2"/>
  <c r="H185" i="3" s="1"/>
  <c r="I185" i="3" s="1"/>
  <c r="J185" i="3" s="1"/>
  <c r="U349" i="2"/>
  <c r="I348" i="2"/>
  <c r="J348" i="2" s="1"/>
  <c r="L348" i="2" s="1"/>
  <c r="K348" i="2" s="1"/>
  <c r="G209" i="2"/>
  <c r="H209" i="2" s="1"/>
  <c r="O209" i="2" s="1"/>
  <c r="H37" i="3" s="1"/>
  <c r="I37" i="3" s="1"/>
  <c r="J37" i="3" s="1"/>
  <c r="O164" i="2"/>
  <c r="H358" i="3" s="1"/>
  <c r="I358" i="3" s="1"/>
  <c r="J358" i="3" s="1"/>
  <c r="O198" i="2"/>
  <c r="H26" i="3" s="1"/>
  <c r="I26" i="3" s="1"/>
  <c r="J26" i="3" s="1"/>
  <c r="G28" i="2"/>
  <c r="H28" i="2" s="1"/>
  <c r="U48" i="2"/>
  <c r="I47" i="2"/>
  <c r="J47" i="2" s="1"/>
  <c r="L47" i="2" s="1"/>
  <c r="K47" i="2" s="1"/>
  <c r="U232" i="2"/>
  <c r="I231" i="2"/>
  <c r="J231" i="2" s="1"/>
  <c r="L231" i="2" s="1"/>
  <c r="K231" i="2" s="1"/>
  <c r="I48" i="2"/>
  <c r="J48" i="2" s="1"/>
  <c r="L48" i="2" s="1"/>
  <c r="K48" i="2" s="1"/>
  <c r="U49" i="2"/>
  <c r="U354" i="2"/>
  <c r="I353" i="2"/>
  <c r="J353" i="2" s="1"/>
  <c r="L353" i="2" s="1"/>
  <c r="K353" i="2" s="1"/>
  <c r="I170" i="2"/>
  <c r="J170" i="2" s="1"/>
  <c r="L170" i="2" s="1"/>
  <c r="K170" i="2" s="1"/>
  <c r="U171" i="2"/>
  <c r="G18" i="2"/>
  <c r="H18" i="2" s="1"/>
  <c r="O85" i="2"/>
  <c r="H279" i="3" s="1"/>
  <c r="I279" i="3" s="1"/>
  <c r="J279" i="3" s="1"/>
  <c r="O44" i="2"/>
  <c r="H237" i="3" s="1"/>
  <c r="I237" i="3" s="1"/>
  <c r="J237" i="3" s="1"/>
  <c r="I153" i="2"/>
  <c r="J153" i="2" s="1"/>
  <c r="L153" i="2" s="1"/>
  <c r="K153" i="2" s="1"/>
  <c r="U154" i="2"/>
  <c r="U39" i="2"/>
  <c r="I38" i="2"/>
  <c r="J38" i="2" s="1"/>
  <c r="L38" i="2" s="1"/>
  <c r="K38" i="2" s="1"/>
  <c r="I298" i="2"/>
  <c r="J298" i="2" s="1"/>
  <c r="L298" i="2" s="1"/>
  <c r="K298" i="2" s="1"/>
  <c r="U299" i="2"/>
  <c r="U193" i="2"/>
  <c r="I192" i="2"/>
  <c r="J192" i="2" s="1"/>
  <c r="L192" i="2" s="1"/>
  <c r="K192" i="2" s="1"/>
  <c r="O186" i="2"/>
  <c r="H380" i="3" s="1"/>
  <c r="I380" i="3" s="1"/>
  <c r="J380" i="3" s="1"/>
  <c r="O223" i="2"/>
  <c r="H51" i="3" s="1"/>
  <c r="I51" i="3" s="1"/>
  <c r="J51" i="3" s="1"/>
  <c r="O60" i="2"/>
  <c r="H253" i="3" s="1"/>
  <c r="I253" i="3" s="1"/>
  <c r="J253" i="3" s="1"/>
  <c r="G339" i="2"/>
  <c r="H339" i="2" s="1"/>
  <c r="G61" i="2"/>
  <c r="H61" i="2" s="1"/>
  <c r="G152" i="2"/>
  <c r="H152" i="2" s="1"/>
  <c r="G301" i="2"/>
  <c r="H301" i="2" s="1"/>
  <c r="U275" i="2"/>
  <c r="I274" i="2"/>
  <c r="J274" i="2" s="1"/>
  <c r="L274" i="2" s="1"/>
  <c r="K274" i="2" s="1"/>
  <c r="U215" i="2"/>
  <c r="I214" i="2"/>
  <c r="J214" i="2" s="1"/>
  <c r="L214" i="2" s="1"/>
  <c r="K214" i="2" s="1"/>
  <c r="U18" i="2"/>
  <c r="I17" i="2"/>
  <c r="J17" i="2" s="1"/>
  <c r="L17" i="2" s="1"/>
  <c r="K17" i="2" s="1"/>
  <c r="I219" i="2"/>
  <c r="J219" i="2" s="1"/>
  <c r="L219" i="2" s="1"/>
  <c r="K219" i="2" s="1"/>
  <c r="U220" i="2"/>
  <c r="I67" i="2"/>
  <c r="J67" i="2" s="1"/>
  <c r="L67" i="2" s="1"/>
  <c r="K67" i="2" s="1"/>
  <c r="U68" i="2"/>
  <c r="I119" i="2"/>
  <c r="J119" i="2" s="1"/>
  <c r="L119" i="2" s="1"/>
  <c r="K119" i="2" s="1"/>
  <c r="U120" i="2"/>
  <c r="U59" i="2"/>
  <c r="I58" i="2"/>
  <c r="J58" i="2" s="1"/>
  <c r="L58" i="2" s="1"/>
  <c r="K58" i="2" s="1"/>
  <c r="U184" i="2"/>
  <c r="I183" i="2"/>
  <c r="J183" i="2" s="1"/>
  <c r="L183" i="2" s="1"/>
  <c r="K183" i="2" s="1"/>
  <c r="U248" i="2"/>
  <c r="I247" i="2"/>
  <c r="J247" i="2" s="1"/>
  <c r="L247" i="2" s="1"/>
  <c r="K247" i="2" s="1"/>
  <c r="U351" i="2"/>
  <c r="I350" i="2"/>
  <c r="J350" i="2" s="1"/>
  <c r="L350" i="2" s="1"/>
  <c r="K350" i="2" s="1"/>
  <c r="O65" i="2"/>
  <c r="H258" i="3" s="1"/>
  <c r="I258" i="3" s="1"/>
  <c r="J258" i="3" s="1"/>
  <c r="G86" i="2"/>
  <c r="H86" i="2" s="1"/>
  <c r="G180" i="2"/>
  <c r="H180" i="2" s="1"/>
  <c r="O180" i="2" s="1"/>
  <c r="H374" i="3" s="1"/>
  <c r="I374" i="3" s="1"/>
  <c r="J374" i="3" s="1"/>
  <c r="G258" i="2"/>
  <c r="H258" i="2" s="1"/>
  <c r="O258" i="2" s="1"/>
  <c r="H86" i="3" s="1"/>
  <c r="I86" i="3" s="1"/>
  <c r="J86" i="3" s="1"/>
  <c r="G316" i="2"/>
  <c r="H316" i="2" s="1"/>
  <c r="O316" i="2" s="1"/>
  <c r="H144" i="3" s="1"/>
  <c r="I144" i="3" s="1"/>
  <c r="J144" i="3" s="1"/>
  <c r="G151" i="2"/>
  <c r="H151" i="2" s="1"/>
  <c r="O151" i="2" s="1"/>
  <c r="H345" i="3" s="1"/>
  <c r="I345" i="3" s="1"/>
  <c r="J345" i="3" s="1"/>
  <c r="G319" i="2"/>
  <c r="H319" i="2" s="1"/>
  <c r="G177" i="2"/>
  <c r="H177" i="2" s="1"/>
  <c r="O177" i="2" s="1"/>
  <c r="H371" i="3" s="1"/>
  <c r="I371" i="3" s="1"/>
  <c r="J371" i="3" s="1"/>
  <c r="G283" i="2"/>
  <c r="H283" i="2" s="1"/>
  <c r="I90" i="2"/>
  <c r="J90" i="2" s="1"/>
  <c r="L90" i="2" s="1"/>
  <c r="K90" i="2" s="1"/>
  <c r="U91" i="2"/>
  <c r="G103" i="2"/>
  <c r="H103" i="2" s="1"/>
  <c r="O103" i="2" s="1"/>
  <c r="H297" i="3" s="1"/>
  <c r="I297" i="3" s="1"/>
  <c r="J297" i="3" s="1"/>
  <c r="G178" i="2"/>
  <c r="H178" i="2" s="1"/>
  <c r="O178" i="2" s="1"/>
  <c r="H372" i="3" s="1"/>
  <c r="I372" i="3" s="1"/>
  <c r="J372" i="3" s="1"/>
  <c r="G207" i="2"/>
  <c r="H207" i="2" s="1"/>
  <c r="G342" i="2"/>
  <c r="H342" i="2" s="1"/>
  <c r="O342" i="2" s="1"/>
  <c r="H170" i="3" s="1"/>
  <c r="I170" i="3" s="1"/>
  <c r="J170" i="3" s="1"/>
  <c r="I105" i="2"/>
  <c r="J105" i="2" s="1"/>
  <c r="L105" i="2" s="1"/>
  <c r="K105" i="2" s="1"/>
  <c r="U106" i="2"/>
  <c r="U136" i="2"/>
  <c r="I135" i="2"/>
  <c r="J135" i="2" s="1"/>
  <c r="L135" i="2" s="1"/>
  <c r="K135" i="2" s="1"/>
  <c r="I188" i="2"/>
  <c r="J188" i="2" s="1"/>
  <c r="L188" i="2" s="1"/>
  <c r="K188" i="2" s="1"/>
  <c r="U189" i="2"/>
  <c r="U279" i="2"/>
  <c r="I278" i="2"/>
  <c r="J278" i="2" s="1"/>
  <c r="L278" i="2" s="1"/>
  <c r="K278" i="2" s="1"/>
  <c r="U24" i="2"/>
  <c r="I23" i="2"/>
  <c r="J23" i="2" s="1"/>
  <c r="L23" i="2" s="1"/>
  <c r="K23" i="2" s="1"/>
  <c r="U300" i="2"/>
  <c r="I299" i="2"/>
  <c r="J299" i="2" s="1"/>
  <c r="L299" i="2" s="1"/>
  <c r="K299" i="2" s="1"/>
  <c r="I286" i="2"/>
  <c r="J286" i="2" s="1"/>
  <c r="L286" i="2" s="1"/>
  <c r="K286" i="2" s="1"/>
  <c r="U287" i="2"/>
  <c r="I292" i="2"/>
  <c r="J292" i="2" s="1"/>
  <c r="L292" i="2" s="1"/>
  <c r="K292" i="2" s="1"/>
  <c r="U293" i="2"/>
  <c r="U167" i="2"/>
  <c r="I166" i="2"/>
  <c r="J166" i="2" s="1"/>
  <c r="L166" i="2" s="1"/>
  <c r="K166" i="2" s="1"/>
  <c r="U230" i="2"/>
  <c r="I229" i="2"/>
  <c r="J229" i="2" s="1"/>
  <c r="L229" i="2" s="1"/>
  <c r="K229" i="2" s="1"/>
  <c r="U368" i="2"/>
  <c r="I367" i="2"/>
  <c r="J367" i="2" s="1"/>
  <c r="L367" i="2" s="1"/>
  <c r="K367" i="2" s="1"/>
  <c r="U272" i="2"/>
  <c r="I271" i="2"/>
  <c r="J271" i="2" s="1"/>
  <c r="L271" i="2" s="1"/>
  <c r="K271" i="2" s="1"/>
  <c r="I46" i="2"/>
  <c r="J46" i="2" s="1"/>
  <c r="L46" i="2" s="1"/>
  <c r="K46" i="2" s="1"/>
  <c r="U47" i="2"/>
  <c r="U114" i="2"/>
  <c r="I113" i="2"/>
  <c r="J113" i="2" s="1"/>
  <c r="L113" i="2" s="1"/>
  <c r="K113" i="2" s="1"/>
  <c r="U213" i="2"/>
  <c r="I212" i="2"/>
  <c r="J212" i="2" s="1"/>
  <c r="L212" i="2" s="1"/>
  <c r="K212" i="2" s="1"/>
  <c r="U237" i="2"/>
  <c r="I236" i="2"/>
  <c r="J236" i="2" s="1"/>
  <c r="L236" i="2" s="1"/>
  <c r="K236" i="2" s="1"/>
  <c r="I285" i="2"/>
  <c r="J285" i="2" s="1"/>
  <c r="L285" i="2" s="1"/>
  <c r="K285" i="2" s="1"/>
  <c r="U286" i="2"/>
  <c r="U360" i="2"/>
  <c r="I359" i="2"/>
  <c r="J359" i="2" s="1"/>
  <c r="L359" i="2" s="1"/>
  <c r="K359" i="2" s="1"/>
  <c r="I3" i="4"/>
  <c r="G69" i="2"/>
  <c r="H69" i="2" s="1"/>
  <c r="G109" i="2"/>
  <c r="H109" i="2" s="1"/>
  <c r="G336" i="2"/>
  <c r="H336" i="2" s="1"/>
  <c r="G221" i="2"/>
  <c r="H221" i="2" s="1"/>
  <c r="G317" i="2"/>
  <c r="H317" i="2" s="1"/>
  <c r="O317" i="2" s="1"/>
  <c r="H145" i="3" s="1"/>
  <c r="I145" i="3" s="1"/>
  <c r="J145" i="3" s="1"/>
  <c r="G40" i="2"/>
  <c r="H40" i="2" s="1"/>
  <c r="G346" i="2"/>
  <c r="H346" i="2" s="1"/>
  <c r="O346" i="2" s="1"/>
  <c r="H174" i="3" s="1"/>
  <c r="I174" i="3" s="1"/>
  <c r="J174" i="3" s="1"/>
  <c r="O315" i="2"/>
  <c r="H143" i="3" s="1"/>
  <c r="I143" i="3" s="1"/>
  <c r="J143" i="3" s="1"/>
  <c r="O140" i="2"/>
  <c r="H334" i="3" s="1"/>
  <c r="I334" i="3" s="1"/>
  <c r="J334" i="3" s="1"/>
  <c r="G74" i="2"/>
  <c r="H74" i="2" s="1"/>
  <c r="O74" i="2" s="1"/>
  <c r="H268" i="3" s="1"/>
  <c r="I268" i="3" s="1"/>
  <c r="J268" i="3" s="1"/>
  <c r="O349" i="2"/>
  <c r="H177" i="3" s="1"/>
  <c r="I177" i="3" s="1"/>
  <c r="J177" i="3" s="1"/>
  <c r="G261" i="2"/>
  <c r="H261" i="2" s="1"/>
  <c r="O261" i="2" s="1"/>
  <c r="H89" i="3" s="1"/>
  <c r="I89" i="3" s="1"/>
  <c r="J89" i="3" s="1"/>
  <c r="G80" i="2"/>
  <c r="H80" i="2" s="1"/>
  <c r="G295" i="2"/>
  <c r="H295" i="2" s="1"/>
  <c r="G184" i="2"/>
  <c r="H184" i="2" s="1"/>
  <c r="G237" i="2"/>
  <c r="H237" i="2" s="1"/>
  <c r="G280" i="2"/>
  <c r="H280" i="2" s="1"/>
  <c r="G328" i="2"/>
  <c r="H328" i="2" s="1"/>
  <c r="G156" i="2"/>
  <c r="H156" i="2" s="1"/>
  <c r="H3" i="5"/>
  <c r="E8" i="1" s="1"/>
  <c r="U56" i="2"/>
  <c r="I55" i="2"/>
  <c r="J55" i="2" s="1"/>
  <c r="L55" i="2" s="1"/>
  <c r="K55" i="2" s="1"/>
  <c r="I208" i="2"/>
  <c r="J208" i="2" s="1"/>
  <c r="L208" i="2" s="1"/>
  <c r="K208" i="2" s="1"/>
  <c r="U209" i="2"/>
  <c r="I21" i="2"/>
  <c r="J21" i="2" s="1"/>
  <c r="L21" i="2" s="1"/>
  <c r="K21" i="2" s="1"/>
  <c r="U22" i="2"/>
  <c r="I200" i="2"/>
  <c r="J200" i="2" s="1"/>
  <c r="L200" i="2" s="1"/>
  <c r="K200" i="2" s="1"/>
  <c r="U201" i="2"/>
  <c r="I92" i="2"/>
  <c r="J92" i="2" s="1"/>
  <c r="L92" i="2" s="1"/>
  <c r="K92" i="2" s="1"/>
  <c r="U93" i="2"/>
  <c r="I215" i="2"/>
  <c r="J215" i="2" s="1"/>
  <c r="L215" i="2" s="1"/>
  <c r="K215" i="2" s="1"/>
  <c r="U216" i="2"/>
  <c r="U291" i="2"/>
  <c r="I290" i="2"/>
  <c r="J290" i="2" s="1"/>
  <c r="L290" i="2" s="1"/>
  <c r="K290" i="2" s="1"/>
  <c r="I44" i="2"/>
  <c r="J44" i="2" s="1"/>
  <c r="L44" i="2" s="1"/>
  <c r="K44" i="2" s="1"/>
  <c r="U45" i="2"/>
  <c r="U166" i="2"/>
  <c r="I165" i="2"/>
  <c r="J165" i="2" s="1"/>
  <c r="L165" i="2" s="1"/>
  <c r="K165" i="2" s="1"/>
  <c r="U34" i="2"/>
  <c r="I33" i="2"/>
  <c r="J33" i="2" s="1"/>
  <c r="L33" i="2" s="1"/>
  <c r="K33" i="2" s="1"/>
  <c r="I349" i="2"/>
  <c r="J349" i="2" s="1"/>
  <c r="L349" i="2" s="1"/>
  <c r="K349" i="2" s="1"/>
  <c r="U350" i="2"/>
  <c r="U290" i="2"/>
  <c r="I289" i="2"/>
  <c r="J289" i="2" s="1"/>
  <c r="L289" i="2" s="1"/>
  <c r="K289" i="2" s="1"/>
  <c r="U305" i="2"/>
  <c r="I304" i="2"/>
  <c r="J304" i="2" s="1"/>
  <c r="L304" i="2" s="1"/>
  <c r="K304" i="2" s="1"/>
  <c r="U186" i="2"/>
  <c r="I185" i="2"/>
  <c r="J185" i="2" s="1"/>
  <c r="L185" i="2" s="1"/>
  <c r="K185" i="2" s="1"/>
  <c r="I251" i="2"/>
  <c r="J251" i="2" s="1"/>
  <c r="L251" i="2" s="1"/>
  <c r="K251" i="2" s="1"/>
  <c r="U252" i="2"/>
  <c r="U14" i="2"/>
  <c r="I13" i="2"/>
  <c r="J13" i="2" s="1"/>
  <c r="L13" i="2" s="1"/>
  <c r="K13" i="2" s="1"/>
  <c r="U294" i="2"/>
  <c r="I293" i="2"/>
  <c r="J293" i="2" s="1"/>
  <c r="L293" i="2" s="1"/>
  <c r="K293" i="2" s="1"/>
  <c r="I62" i="2"/>
  <c r="J62" i="2" s="1"/>
  <c r="L62" i="2" s="1"/>
  <c r="K62" i="2" s="1"/>
  <c r="U63" i="2"/>
  <c r="U130" i="2"/>
  <c r="I129" i="2"/>
  <c r="J129" i="2" s="1"/>
  <c r="L129" i="2" s="1"/>
  <c r="K129" i="2" s="1"/>
  <c r="U239" i="2"/>
  <c r="I238" i="2"/>
  <c r="J238" i="2" s="1"/>
  <c r="L238" i="2" s="1"/>
  <c r="K238" i="2" s="1"/>
  <c r="I252" i="2"/>
  <c r="J252" i="2" s="1"/>
  <c r="L252" i="2" s="1"/>
  <c r="K252" i="2" s="1"/>
  <c r="U253" i="2"/>
  <c r="U322" i="2"/>
  <c r="I321" i="2"/>
  <c r="J321" i="2" s="1"/>
  <c r="L321" i="2" s="1"/>
  <c r="K321" i="2" s="1"/>
  <c r="I375" i="2"/>
  <c r="J375" i="2" s="1"/>
  <c r="L375" i="2" s="1"/>
  <c r="K375" i="2" s="1"/>
  <c r="U376" i="2"/>
  <c r="G363" i="2"/>
  <c r="H363" i="2" s="1"/>
  <c r="O363" i="2" s="1"/>
  <c r="H191" i="3" s="1"/>
  <c r="I191" i="3" s="1"/>
  <c r="J191" i="3" s="1"/>
  <c r="G189" i="2"/>
  <c r="H189" i="2" s="1"/>
  <c r="G22" i="2"/>
  <c r="H22" i="2" s="1"/>
  <c r="O22" i="2" s="1"/>
  <c r="H215" i="3" s="1"/>
  <c r="I215" i="3" s="1"/>
  <c r="J215" i="3" s="1"/>
  <c r="G47" i="2"/>
  <c r="H47" i="2" s="1"/>
  <c r="O47" i="2" s="1"/>
  <c r="H240" i="3" s="1"/>
  <c r="I240" i="3" s="1"/>
  <c r="J240" i="3" s="1"/>
  <c r="G344" i="2"/>
  <c r="H344" i="2" s="1"/>
  <c r="O344" i="2" s="1"/>
  <c r="H172" i="3" s="1"/>
  <c r="I172" i="3" s="1"/>
  <c r="J172" i="3" s="1"/>
  <c r="G232" i="2"/>
  <c r="H232" i="2" s="1"/>
  <c r="O232" i="2" s="1"/>
  <c r="H60" i="3" s="1"/>
  <c r="I60" i="3" s="1"/>
  <c r="J60" i="3" s="1"/>
  <c r="G345" i="2"/>
  <c r="H345" i="2" s="1"/>
  <c r="O345" i="2" s="1"/>
  <c r="H173" i="3" s="1"/>
  <c r="I173" i="3" s="1"/>
  <c r="J173" i="3" s="1"/>
  <c r="G58" i="2"/>
  <c r="H58" i="2" s="1"/>
  <c r="O58" i="2" s="1"/>
  <c r="H251" i="3" s="1"/>
  <c r="I251" i="3" s="1"/>
  <c r="J251" i="3" s="1"/>
  <c r="G14" i="2"/>
  <c r="H14" i="2" s="1"/>
  <c r="G19" i="2"/>
  <c r="H19" i="2" s="1"/>
  <c r="G224" i="2"/>
  <c r="H224" i="2" s="1"/>
  <c r="G100" i="2"/>
  <c r="H100" i="2" s="1"/>
  <c r="G370" i="2"/>
  <c r="H370" i="2" s="1"/>
  <c r="G277" i="2"/>
  <c r="H277" i="2" s="1"/>
  <c r="G31" i="2"/>
  <c r="H31" i="2" s="1"/>
  <c r="G116" i="2"/>
  <c r="H116" i="2" s="1"/>
  <c r="O116" i="2" s="1"/>
  <c r="H310" i="3" s="1"/>
  <c r="I310" i="3" s="1"/>
  <c r="J310" i="3" s="1"/>
  <c r="G327" i="2"/>
  <c r="H327" i="2" s="1"/>
  <c r="O327" i="2" s="1"/>
  <c r="H155" i="3" s="1"/>
  <c r="I155" i="3" s="1"/>
  <c r="J155" i="3" s="1"/>
  <c r="G196" i="2"/>
  <c r="H196" i="2" s="1"/>
  <c r="G272" i="2"/>
  <c r="H272" i="2" s="1"/>
  <c r="O272" i="2" s="1"/>
  <c r="H100" i="3" s="1"/>
  <c r="I100" i="3" s="1"/>
  <c r="J100" i="3" s="1"/>
  <c r="G249" i="2"/>
  <c r="H249" i="2" s="1"/>
  <c r="O249" i="2" s="1"/>
  <c r="H77" i="3" s="1"/>
  <c r="I77" i="3" s="1"/>
  <c r="J77" i="3" s="1"/>
  <c r="G322" i="2"/>
  <c r="H322" i="2" s="1"/>
  <c r="O322" i="2" s="1"/>
  <c r="H150" i="3" s="1"/>
  <c r="I150" i="3" s="1"/>
  <c r="J150" i="3" s="1"/>
  <c r="G335" i="2"/>
  <c r="H335" i="2" s="1"/>
  <c r="G172" i="2"/>
  <c r="H172" i="2" s="1"/>
  <c r="U340" i="2"/>
  <c r="I339" i="2"/>
  <c r="J339" i="2" s="1"/>
  <c r="L339" i="2" s="1"/>
  <c r="K339" i="2" s="1"/>
  <c r="I152" i="2"/>
  <c r="J152" i="2" s="1"/>
  <c r="L152" i="2" s="1"/>
  <c r="K152" i="2" s="1"/>
  <c r="U153" i="2"/>
  <c r="U38" i="2"/>
  <c r="I37" i="2"/>
  <c r="J37" i="2" s="1"/>
  <c r="L37" i="2" s="1"/>
  <c r="K37" i="2" s="1"/>
  <c r="I325" i="2"/>
  <c r="J325" i="2" s="1"/>
  <c r="L325" i="2" s="1"/>
  <c r="K325" i="2" s="1"/>
  <c r="U326" i="2"/>
  <c r="I203" i="2"/>
  <c r="J203" i="2" s="1"/>
  <c r="L203" i="2" s="1"/>
  <c r="K203" i="2" s="1"/>
  <c r="U204" i="2"/>
  <c r="U54" i="2"/>
  <c r="I53" i="2"/>
  <c r="J53" i="2" s="1"/>
  <c r="L53" i="2" s="1"/>
  <c r="K53" i="2" s="1"/>
  <c r="U233" i="2"/>
  <c r="I232" i="2"/>
  <c r="J232" i="2" s="1"/>
  <c r="L232" i="2" s="1"/>
  <c r="K232" i="2" s="1"/>
  <c r="I361" i="2"/>
  <c r="J361" i="2" s="1"/>
  <c r="L361" i="2" s="1"/>
  <c r="K361" i="2" s="1"/>
  <c r="U362" i="2"/>
  <c r="U264" i="2"/>
  <c r="I263" i="2"/>
  <c r="J263" i="2" s="1"/>
  <c r="L263" i="2" s="1"/>
  <c r="K263" i="2" s="1"/>
  <c r="O106" i="2"/>
  <c r="H300" i="3" s="1"/>
  <c r="I300" i="3" s="1"/>
  <c r="J300" i="3" s="1"/>
  <c r="O351" i="2"/>
  <c r="H179" i="3" s="1"/>
  <c r="I179" i="3" s="1"/>
  <c r="J179" i="3" s="1"/>
  <c r="O356" i="2"/>
  <c r="H184" i="3" s="1"/>
  <c r="I184" i="3" s="1"/>
  <c r="J184" i="3" s="1"/>
  <c r="C4" i="4"/>
  <c r="D4" i="4" s="1"/>
  <c r="G4" i="4"/>
  <c r="F4" i="4"/>
  <c r="I4" i="4" s="1"/>
  <c r="I202" i="2"/>
  <c r="J202" i="2" s="1"/>
  <c r="L202" i="2" s="1"/>
  <c r="K202" i="2" s="1"/>
  <c r="U203" i="2"/>
  <c r="I337" i="2"/>
  <c r="J337" i="2" s="1"/>
  <c r="L337" i="2" s="1"/>
  <c r="K337" i="2" s="1"/>
  <c r="U338" i="2"/>
  <c r="I51" i="2"/>
  <c r="J51" i="2" s="1"/>
  <c r="L51" i="2" s="1"/>
  <c r="K51" i="2" s="1"/>
  <c r="U52" i="2"/>
  <c r="I19" i="2"/>
  <c r="J19" i="2" s="1"/>
  <c r="L19" i="2" s="1"/>
  <c r="K19" i="2" s="1"/>
  <c r="U20" i="2"/>
  <c r="U334" i="2"/>
  <c r="I333" i="2"/>
  <c r="J333" i="2" s="1"/>
  <c r="L333" i="2" s="1"/>
  <c r="K333" i="2" s="1"/>
  <c r="I88" i="2"/>
  <c r="J88" i="2" s="1"/>
  <c r="L88" i="2" s="1"/>
  <c r="K88" i="2" s="1"/>
  <c r="U89" i="2"/>
  <c r="U369" i="2"/>
  <c r="I368" i="2"/>
  <c r="J368" i="2" s="1"/>
  <c r="L368" i="2" s="1"/>
  <c r="K368" i="2" s="1"/>
  <c r="I235" i="2"/>
  <c r="J235" i="2" s="1"/>
  <c r="L235" i="2" s="1"/>
  <c r="K235" i="2" s="1"/>
  <c r="U236" i="2"/>
  <c r="I61" i="2"/>
  <c r="J61" i="2" s="1"/>
  <c r="L61" i="2" s="1"/>
  <c r="K61" i="2" s="1"/>
  <c r="U62" i="2"/>
  <c r="U107" i="2"/>
  <c r="I106" i="2"/>
  <c r="J106" i="2" s="1"/>
  <c r="L106" i="2" s="1"/>
  <c r="K106" i="2" s="1"/>
  <c r="I264" i="2"/>
  <c r="J264" i="2" s="1"/>
  <c r="L264" i="2" s="1"/>
  <c r="K264" i="2" s="1"/>
  <c r="U265" i="2"/>
  <c r="U372" i="2"/>
  <c r="I371" i="2"/>
  <c r="J371" i="2" s="1"/>
  <c r="L371" i="2" s="1"/>
  <c r="K371" i="2" s="1"/>
  <c r="O52" i="2"/>
  <c r="H245" i="3" s="1"/>
  <c r="I245" i="3" s="1"/>
  <c r="J245" i="3" s="1"/>
  <c r="O169" i="2"/>
  <c r="H363" i="3" s="1"/>
  <c r="I363" i="3" s="1"/>
  <c r="J363" i="3" s="1"/>
  <c r="O50" i="2"/>
  <c r="H243" i="3" s="1"/>
  <c r="I243" i="3" s="1"/>
  <c r="J243" i="3" s="1"/>
  <c r="O210" i="2"/>
  <c r="H38" i="3" s="1"/>
  <c r="I38" i="3" s="1"/>
  <c r="J38" i="3" s="1"/>
  <c r="O354" i="2"/>
  <c r="H182" i="3" s="1"/>
  <c r="I182" i="3" s="1"/>
  <c r="J182" i="3" s="1"/>
  <c r="O171" i="2"/>
  <c r="H365" i="3" s="1"/>
  <c r="I365" i="3" s="1"/>
  <c r="J365" i="3" s="1"/>
  <c r="V4" i="4"/>
  <c r="S4" i="4"/>
  <c r="U4" i="4"/>
  <c r="I20" i="2"/>
  <c r="J20" i="2" s="1"/>
  <c r="L20" i="2" s="1"/>
  <c r="K20" i="2" s="1"/>
  <c r="U21" i="2"/>
  <c r="U88" i="2"/>
  <c r="I87" i="2"/>
  <c r="J87" i="2" s="1"/>
  <c r="L87" i="2" s="1"/>
  <c r="K87" i="2" s="1"/>
  <c r="I81" i="2"/>
  <c r="J81" i="2" s="1"/>
  <c r="L81" i="2" s="1"/>
  <c r="K81" i="2" s="1"/>
  <c r="U82" i="2"/>
  <c r="I209" i="2"/>
  <c r="J209" i="2" s="1"/>
  <c r="L209" i="2" s="1"/>
  <c r="K209" i="2" s="1"/>
  <c r="U210" i="2"/>
  <c r="I109" i="2"/>
  <c r="J109" i="2" s="1"/>
  <c r="L109" i="2" s="1"/>
  <c r="K109" i="2" s="1"/>
  <c r="U110" i="2"/>
  <c r="U33" i="2"/>
  <c r="I32" i="2"/>
  <c r="J32" i="2" s="1"/>
  <c r="L32" i="2" s="1"/>
  <c r="K32" i="2" s="1"/>
  <c r="U336" i="2"/>
  <c r="I335" i="2"/>
  <c r="J335" i="2" s="1"/>
  <c r="L335" i="2" s="1"/>
  <c r="K335" i="2" s="1"/>
  <c r="I128" i="2"/>
  <c r="J128" i="2" s="1"/>
  <c r="L128" i="2" s="1"/>
  <c r="K128" i="2" s="1"/>
  <c r="U129" i="2"/>
  <c r="I318" i="2"/>
  <c r="J318" i="2" s="1"/>
  <c r="L318" i="2" s="1"/>
  <c r="K318" i="2" s="1"/>
  <c r="U319" i="2"/>
  <c r="I2" i="4"/>
  <c r="O142" i="2"/>
  <c r="H336" i="3" s="1"/>
  <c r="I336" i="3" s="1"/>
  <c r="J336" i="3" s="1"/>
  <c r="O25" i="2"/>
  <c r="H218" i="3" s="1"/>
  <c r="I218" i="3" s="1"/>
  <c r="J218" i="3" s="1"/>
  <c r="O110" i="2"/>
  <c r="H304" i="3" s="1"/>
  <c r="I304" i="3" s="1"/>
  <c r="J304" i="3" s="1"/>
  <c r="O122" i="2"/>
  <c r="H316" i="3" s="1"/>
  <c r="I316" i="3" s="1"/>
  <c r="J316" i="3" s="1"/>
  <c r="G51" i="2"/>
  <c r="H51" i="2" s="1"/>
  <c r="O51" i="2" s="1"/>
  <c r="H244" i="3" s="1"/>
  <c r="I244" i="3" s="1"/>
  <c r="J244" i="3" s="1"/>
  <c r="O141" i="2"/>
  <c r="H335" i="3" s="1"/>
  <c r="I335" i="3" s="1"/>
  <c r="J335" i="3" s="1"/>
  <c r="O334" i="2"/>
  <c r="H162" i="3" s="1"/>
  <c r="I162" i="3" s="1"/>
  <c r="J162" i="3" s="1"/>
  <c r="O187" i="2"/>
  <c r="H381" i="3" s="1"/>
  <c r="I381" i="3" s="1"/>
  <c r="J381" i="3" s="1"/>
  <c r="O367" i="2"/>
  <c r="H195" i="3" s="1"/>
  <c r="I195" i="3" s="1"/>
  <c r="J195" i="3" s="1"/>
  <c r="R5" i="4"/>
  <c r="A6" i="4"/>
  <c r="B5" i="4"/>
  <c r="U353" i="2"/>
  <c r="I352" i="2"/>
  <c r="J352" i="2" s="1"/>
  <c r="L352" i="2" s="1"/>
  <c r="K352" i="2" s="1"/>
  <c r="I96" i="2"/>
  <c r="J96" i="2" s="1"/>
  <c r="L96" i="2" s="1"/>
  <c r="K96" i="2" s="1"/>
  <c r="U97" i="2"/>
  <c r="I178" i="2"/>
  <c r="J178" i="2" s="1"/>
  <c r="L178" i="2" s="1"/>
  <c r="K178" i="2" s="1"/>
  <c r="U179" i="2"/>
  <c r="I224" i="2"/>
  <c r="J224" i="2" s="1"/>
  <c r="L224" i="2" s="1"/>
  <c r="K224" i="2" s="1"/>
  <c r="U225" i="2"/>
  <c r="U55" i="2"/>
  <c r="I54" i="2"/>
  <c r="J54" i="2" s="1"/>
  <c r="L54" i="2" s="1"/>
  <c r="K54" i="2" s="1"/>
  <c r="U94" i="2"/>
  <c r="I93" i="2"/>
  <c r="J93" i="2" s="1"/>
  <c r="L93" i="2" s="1"/>
  <c r="K93" i="2" s="1"/>
  <c r="U308" i="2"/>
  <c r="I307" i="2"/>
  <c r="J307" i="2" s="1"/>
  <c r="L307" i="2" s="1"/>
  <c r="K307" i="2" s="1"/>
  <c r="O153" i="2"/>
  <c r="H347" i="3" s="1"/>
  <c r="I347" i="3" s="1"/>
  <c r="J347" i="3" s="1"/>
  <c r="G148" i="2"/>
  <c r="H148" i="2" s="1"/>
  <c r="G309" i="2"/>
  <c r="H309" i="2" s="1"/>
  <c r="O309" i="2" s="1"/>
  <c r="H137" i="3" s="1"/>
  <c r="I137" i="3" s="1"/>
  <c r="J137" i="3" s="1"/>
  <c r="G203" i="2"/>
  <c r="H203" i="2" s="1"/>
  <c r="O203" i="2" s="1"/>
  <c r="H31" i="3" s="1"/>
  <c r="I31" i="3" s="1"/>
  <c r="J31" i="3" s="1"/>
  <c r="U371" i="2"/>
  <c r="I370" i="2"/>
  <c r="J370" i="2" s="1"/>
  <c r="L370" i="2" s="1"/>
  <c r="K370" i="2" s="1"/>
  <c r="I345" i="2"/>
  <c r="J345" i="2" s="1"/>
  <c r="L345" i="2" s="1"/>
  <c r="K345" i="2" s="1"/>
  <c r="U346" i="2"/>
  <c r="U43" i="2"/>
  <c r="I42" i="2"/>
  <c r="J42" i="2" s="1"/>
  <c r="L42" i="2" s="1"/>
  <c r="K42" i="2" s="1"/>
  <c r="I89" i="2"/>
  <c r="J89" i="2" s="1"/>
  <c r="L89" i="2" s="1"/>
  <c r="K89" i="2" s="1"/>
  <c r="U90" i="2"/>
  <c r="I28" i="2"/>
  <c r="J28" i="2" s="1"/>
  <c r="L28" i="2" s="1"/>
  <c r="K28" i="2" s="1"/>
  <c r="U29" i="2"/>
  <c r="I80" i="2"/>
  <c r="J80" i="2" s="1"/>
  <c r="L80" i="2" s="1"/>
  <c r="K80" i="2" s="1"/>
  <c r="U81" i="2"/>
  <c r="I279" i="2"/>
  <c r="J279" i="2" s="1"/>
  <c r="L279" i="2" s="1"/>
  <c r="K279" i="2" s="1"/>
  <c r="U280" i="2"/>
  <c r="U124" i="2"/>
  <c r="I123" i="2"/>
  <c r="J123" i="2" s="1"/>
  <c r="L123" i="2" s="1"/>
  <c r="K123" i="2" s="1"/>
  <c r="U160" i="2"/>
  <c r="I159" i="2"/>
  <c r="J159" i="2" s="1"/>
  <c r="L159" i="2" s="1"/>
  <c r="K159" i="2" s="1"/>
  <c r="I372" i="2"/>
  <c r="J372" i="2" s="1"/>
  <c r="L372" i="2" s="1"/>
  <c r="K372" i="2" s="1"/>
  <c r="U373" i="2"/>
  <c r="G179" i="2"/>
  <c r="H179" i="2" s="1"/>
  <c r="O179" i="2" s="1"/>
  <c r="H373" i="3" s="1"/>
  <c r="I373" i="3" s="1"/>
  <c r="J373" i="3" s="1"/>
  <c r="O191" i="2"/>
  <c r="H385" i="3" s="1"/>
  <c r="I385" i="3" s="1"/>
  <c r="J385" i="3" s="1"/>
  <c r="G306" i="2"/>
  <c r="H306" i="2" s="1"/>
  <c r="G101" i="2"/>
  <c r="H101" i="2" s="1"/>
  <c r="O101" i="2" s="1"/>
  <c r="H295" i="3" s="1"/>
  <c r="I295" i="3" s="1"/>
  <c r="J295" i="3" s="1"/>
  <c r="O321" i="2"/>
  <c r="H149" i="3" s="1"/>
  <c r="I149" i="3" s="1"/>
  <c r="J149" i="3" s="1"/>
  <c r="I360" i="2"/>
  <c r="J360" i="2" s="1"/>
  <c r="L360" i="2" s="1"/>
  <c r="K360" i="2" s="1"/>
  <c r="U361" i="2"/>
  <c r="I74" i="2"/>
  <c r="J74" i="2" s="1"/>
  <c r="L74" i="2" s="1"/>
  <c r="K74" i="2" s="1"/>
  <c r="U75" i="2"/>
  <c r="U146" i="2"/>
  <c r="I145" i="2"/>
  <c r="J145" i="2" s="1"/>
  <c r="L145" i="2" s="1"/>
  <c r="K145" i="2" s="1"/>
  <c r="I195" i="2"/>
  <c r="J195" i="2" s="1"/>
  <c r="L195" i="2" s="1"/>
  <c r="K195" i="2" s="1"/>
  <c r="U196" i="2"/>
  <c r="I295" i="2"/>
  <c r="J295" i="2" s="1"/>
  <c r="L295" i="2" s="1"/>
  <c r="K295" i="2" s="1"/>
  <c r="U296" i="2"/>
  <c r="I226" i="2"/>
  <c r="J226" i="2" s="1"/>
  <c r="L226" i="2" s="1"/>
  <c r="K226" i="2" s="1"/>
  <c r="U227" i="2"/>
  <c r="U158" i="2"/>
  <c r="I157" i="2"/>
  <c r="J157" i="2" s="1"/>
  <c r="L157" i="2" s="1"/>
  <c r="K157" i="2" s="1"/>
  <c r="O278" i="2"/>
  <c r="H106" i="3" s="1"/>
  <c r="I106" i="3" s="1"/>
  <c r="J106" i="3" s="1"/>
  <c r="G124" i="2"/>
  <c r="H124" i="2" s="1"/>
  <c r="O124" i="2" s="1"/>
  <c r="H318" i="3" s="1"/>
  <c r="I318" i="3" s="1"/>
  <c r="J318" i="3" s="1"/>
  <c r="G81" i="2"/>
  <c r="H81" i="2" s="1"/>
  <c r="O81" i="2" s="1"/>
  <c r="H275" i="3" s="1"/>
  <c r="I275" i="3" s="1"/>
  <c r="J275" i="3" s="1"/>
  <c r="O341" i="2"/>
  <c r="H169" i="3" s="1"/>
  <c r="I169" i="3" s="1"/>
  <c r="J169" i="3" s="1"/>
  <c r="G170" i="2"/>
  <c r="H170" i="2" s="1"/>
  <c r="O170" i="2" s="1"/>
  <c r="H364" i="3" s="1"/>
  <c r="I364" i="3" s="1"/>
  <c r="J364" i="3" s="1"/>
  <c r="O242" i="2"/>
  <c r="H70" i="3" s="1"/>
  <c r="I70" i="3" s="1"/>
  <c r="J70" i="3" s="1"/>
  <c r="G353" i="2"/>
  <c r="H353" i="2" s="1"/>
  <c r="O353" i="2" s="1"/>
  <c r="H181" i="3" s="1"/>
  <c r="I181" i="3" s="1"/>
  <c r="J181" i="3" s="1"/>
  <c r="G331" i="2"/>
  <c r="H331" i="2" s="1"/>
  <c r="O331" i="2" s="1"/>
  <c r="H159" i="3" s="1"/>
  <c r="I159" i="3" s="1"/>
  <c r="J159" i="3" s="1"/>
  <c r="G128" i="2"/>
  <c r="H128" i="2" s="1"/>
  <c r="O128" i="2" s="1"/>
  <c r="H322" i="3" s="1"/>
  <c r="I322" i="3" s="1"/>
  <c r="J322" i="3" s="1"/>
  <c r="G235" i="2"/>
  <c r="H235" i="2" s="1"/>
  <c r="U74" i="2"/>
  <c r="I73" i="2"/>
  <c r="J73" i="2" s="1"/>
  <c r="L73" i="2" s="1"/>
  <c r="K73" i="2" s="1"/>
  <c r="I69" i="2"/>
  <c r="J69" i="2" s="1"/>
  <c r="L69" i="2" s="1"/>
  <c r="K69" i="2" s="1"/>
  <c r="U70" i="2"/>
  <c r="U256" i="2"/>
  <c r="I255" i="2"/>
  <c r="J255" i="2" s="1"/>
  <c r="L255" i="2" s="1"/>
  <c r="K255" i="2" s="1"/>
  <c r="I100" i="2"/>
  <c r="J100" i="2" s="1"/>
  <c r="L100" i="2" s="1"/>
  <c r="K100" i="2" s="1"/>
  <c r="U101" i="2"/>
  <c r="I240" i="2"/>
  <c r="J240" i="2" s="1"/>
  <c r="L240" i="2" s="1"/>
  <c r="K240" i="2" s="1"/>
  <c r="U241" i="2"/>
  <c r="U297" i="2"/>
  <c r="I296" i="2"/>
  <c r="J296" i="2" s="1"/>
  <c r="L296" i="2" s="1"/>
  <c r="K296" i="2" s="1"/>
  <c r="U67" i="2"/>
  <c r="I66" i="2"/>
  <c r="J66" i="2" s="1"/>
  <c r="L66" i="2" s="1"/>
  <c r="K66" i="2" s="1"/>
  <c r="U202" i="2"/>
  <c r="I201" i="2"/>
  <c r="J201" i="2" s="1"/>
  <c r="L201" i="2" s="1"/>
  <c r="K201" i="2" s="1"/>
  <c r="P376" i="2"/>
  <c r="P360" i="2"/>
  <c r="P344" i="2"/>
  <c r="P328" i="2"/>
  <c r="P312" i="2"/>
  <c r="P375" i="2"/>
  <c r="P361" i="2"/>
  <c r="P352" i="2"/>
  <c r="P343" i="2"/>
  <c r="P359" i="2"/>
  <c r="P324" i="2"/>
  <c r="P315" i="2"/>
  <c r="P306" i="2"/>
  <c r="P369" i="2"/>
  <c r="P363" i="2"/>
  <c r="P350" i="2"/>
  <c r="P307" i="2"/>
  <c r="P305" i="2"/>
  <c r="P286" i="2"/>
  <c r="P270" i="2"/>
  <c r="P254" i="2"/>
  <c r="P238" i="2"/>
  <c r="P222" i="2"/>
  <c r="P206" i="2"/>
  <c r="P190" i="2"/>
  <c r="P174" i="2"/>
  <c r="P158" i="2"/>
  <c r="P142" i="2"/>
  <c r="P355" i="2"/>
  <c r="P303" i="2"/>
  <c r="P285" i="2"/>
  <c r="P269" i="2"/>
  <c r="P253" i="2"/>
  <c r="P237" i="2"/>
  <c r="P221" i="2"/>
  <c r="P205" i="2"/>
  <c r="P189" i="2"/>
  <c r="P173" i="2"/>
  <c r="P157" i="2"/>
  <c r="P338" i="2"/>
  <c r="P302" i="2"/>
  <c r="P297" i="2"/>
  <c r="P296" i="2"/>
  <c r="P295" i="2"/>
  <c r="P271" i="2"/>
  <c r="P245" i="2"/>
  <c r="P219" i="2"/>
  <c r="P193" i="2"/>
  <c r="P169" i="2"/>
  <c r="P168" i="2"/>
  <c r="P167" i="2"/>
  <c r="P143" i="2"/>
  <c r="P131" i="2"/>
  <c r="P115" i="2"/>
  <c r="P339" i="2"/>
  <c r="P317" i="2"/>
  <c r="P292" i="2"/>
  <c r="P291" i="2"/>
  <c r="P290" i="2"/>
  <c r="P266" i="2"/>
  <c r="P240" i="2"/>
  <c r="P214" i="2"/>
  <c r="P188" i="2"/>
  <c r="P164" i="2"/>
  <c r="P163" i="2"/>
  <c r="P162" i="2"/>
  <c r="P130" i="2"/>
  <c r="P114" i="2"/>
  <c r="P370" i="2"/>
  <c r="P332" i="2"/>
  <c r="P287" i="2"/>
  <c r="P265" i="2"/>
  <c r="P243" i="2"/>
  <c r="P232" i="2"/>
  <c r="P199" i="2"/>
  <c r="P177" i="2"/>
  <c r="P166" i="2"/>
  <c r="P155" i="2"/>
  <c r="P137" i="2"/>
  <c r="P136" i="2"/>
  <c r="P135" i="2"/>
  <c r="P111" i="2"/>
  <c r="P95" i="2"/>
  <c r="P79" i="2"/>
  <c r="P63" i="2"/>
  <c r="P47" i="2"/>
  <c r="P31" i="2"/>
  <c r="P15" i="2"/>
  <c r="I12" i="2"/>
  <c r="J12" i="2" s="1"/>
  <c r="L12" i="2" s="1"/>
  <c r="P340" i="2"/>
  <c r="P320" i="2"/>
  <c r="P298" i="2"/>
  <c r="P288" i="2"/>
  <c r="P276" i="2"/>
  <c r="P211" i="2"/>
  <c r="P178" i="2"/>
  <c r="P156" i="2"/>
  <c r="P144" i="2"/>
  <c r="P134" i="2"/>
  <c r="P356" i="2"/>
  <c r="P299" i="2"/>
  <c r="P278" i="2"/>
  <c r="P267" i="2"/>
  <c r="P256" i="2"/>
  <c r="P234" i="2"/>
  <c r="P212" i="2"/>
  <c r="P179" i="2"/>
  <c r="P146" i="2"/>
  <c r="P132" i="2"/>
  <c r="P94" i="2"/>
  <c r="P78" i="2"/>
  <c r="P62" i="2"/>
  <c r="P46" i="2"/>
  <c r="P30" i="2"/>
  <c r="P14" i="2"/>
  <c r="P373" i="2"/>
  <c r="P368" i="2"/>
  <c r="P333" i="2"/>
  <c r="P325" i="2"/>
  <c r="P321" i="2"/>
  <c r="P279" i="2"/>
  <c r="P268" i="2"/>
  <c r="P257" i="2"/>
  <c r="P235" i="2"/>
  <c r="P223" i="2"/>
  <c r="P213" i="2"/>
  <c r="P201" i="2"/>
  <c r="P129" i="2"/>
  <c r="P331" i="2"/>
  <c r="P329" i="2"/>
  <c r="P293" i="2"/>
  <c r="P274" i="2"/>
  <c r="P252" i="2"/>
  <c r="P246" i="2"/>
  <c r="P230" i="2"/>
  <c r="P227" i="2"/>
  <c r="P224" i="2"/>
  <c r="P208" i="2"/>
  <c r="P202" i="2"/>
  <c r="P186" i="2"/>
  <c r="P180" i="2"/>
  <c r="P128" i="2"/>
  <c r="P92" i="2"/>
  <c r="P66" i="2"/>
  <c r="P42" i="2"/>
  <c r="P41" i="2"/>
  <c r="P40" i="2"/>
  <c r="P354" i="2"/>
  <c r="P347" i="2"/>
  <c r="P249" i="2"/>
  <c r="P121" i="2"/>
  <c r="P110" i="2"/>
  <c r="P91" i="2"/>
  <c r="P65" i="2"/>
  <c r="P39" i="2"/>
  <c r="P18" i="2"/>
  <c r="U13" i="2"/>
  <c r="P345" i="2"/>
  <c r="P284" i="2"/>
  <c r="P262" i="2"/>
  <c r="P259" i="2"/>
  <c r="P215" i="2"/>
  <c r="P336" i="2"/>
  <c r="P327" i="2"/>
  <c r="P310" i="2"/>
  <c r="P281" i="2"/>
  <c r="P218" i="2"/>
  <c r="P171" i="2"/>
  <c r="P152" i="2"/>
  <c r="P149" i="2"/>
  <c r="P87" i="2"/>
  <c r="P61" i="2"/>
  <c r="P37" i="2"/>
  <c r="P36" i="2"/>
  <c r="P35" i="2"/>
  <c r="P17" i="2"/>
  <c r="P341" i="2"/>
  <c r="P334" i="2"/>
  <c r="P300" i="2"/>
  <c r="P196" i="2"/>
  <c r="P123" i="2"/>
  <c r="P112" i="2"/>
  <c r="P86" i="2"/>
  <c r="P60" i="2"/>
  <c r="P16" i="2"/>
  <c r="P294" i="2"/>
  <c r="P275" i="2"/>
  <c r="P273" i="2"/>
  <c r="P260" i="2"/>
  <c r="P247" i="2"/>
  <c r="P228" i="2"/>
  <c r="P192" i="2"/>
  <c r="P184" i="2"/>
  <c r="P153" i="2"/>
  <c r="P151" i="2"/>
  <c r="P77" i="2"/>
  <c r="P59" i="2"/>
  <c r="P45" i="2"/>
  <c r="P20" i="2"/>
  <c r="P374" i="2"/>
  <c r="P330" i="2"/>
  <c r="P182" i="2"/>
  <c r="P82" i="2"/>
  <c r="P50" i="2"/>
  <c r="P25" i="2"/>
  <c r="P371" i="2"/>
  <c r="P362" i="2"/>
  <c r="P348" i="2"/>
  <c r="P200" i="2"/>
  <c r="P145" i="2"/>
  <c r="P120" i="2"/>
  <c r="P117" i="2"/>
  <c r="P104" i="2"/>
  <c r="P100" i="2"/>
  <c r="P68" i="2"/>
  <c r="P55" i="2"/>
  <c r="P353" i="2"/>
  <c r="P351" i="2"/>
  <c r="P322" i="2"/>
  <c r="P277" i="2"/>
  <c r="P172" i="2"/>
  <c r="P141" i="2"/>
  <c r="P126" i="2"/>
  <c r="P73" i="2"/>
  <c r="P64" i="2"/>
  <c r="P264" i="2"/>
  <c r="P236" i="2"/>
  <c r="P204" i="2"/>
  <c r="P198" i="2"/>
  <c r="P139" i="2"/>
  <c r="P108" i="2"/>
  <c r="P83" i="2"/>
  <c r="P51" i="2"/>
  <c r="P21" i="2"/>
  <c r="P367" i="2"/>
  <c r="P335" i="2"/>
  <c r="P283" i="2"/>
  <c r="P251" i="2"/>
  <c r="P225" i="2"/>
  <c r="P217" i="2"/>
  <c r="P176" i="2"/>
  <c r="P170" i="2"/>
  <c r="P160" i="2"/>
  <c r="P124" i="2"/>
  <c r="P96" i="2"/>
  <c r="P56" i="2"/>
  <c r="P32" i="2"/>
  <c r="P26" i="2"/>
  <c r="P337" i="2"/>
  <c r="P272" i="2"/>
  <c r="P105" i="2"/>
  <c r="P101" i="2"/>
  <c r="P69" i="2"/>
  <c r="P12" i="2"/>
  <c r="P364" i="2"/>
  <c r="P289" i="2"/>
  <c r="P191" i="2"/>
  <c r="P150" i="2"/>
  <c r="P118" i="2"/>
  <c r="P88" i="2"/>
  <c r="P74" i="2"/>
  <c r="P38" i="2"/>
  <c r="P33" i="2"/>
  <c r="P22" i="2"/>
  <c r="P13" i="2"/>
  <c r="P358" i="2"/>
  <c r="P319" i="2"/>
  <c r="P255" i="2"/>
  <c r="P244" i="2"/>
  <c r="P210" i="2"/>
  <c r="P187" i="2"/>
  <c r="P181" i="2"/>
  <c r="P97" i="2"/>
  <c r="P84" i="2"/>
  <c r="P52" i="2"/>
  <c r="P34" i="2"/>
  <c r="P309" i="2"/>
  <c r="P106" i="2"/>
  <c r="P314" i="2"/>
  <c r="P263" i="2"/>
  <c r="P103" i="2"/>
  <c r="P19" i="2"/>
  <c r="P349" i="2"/>
  <c r="P229" i="2"/>
  <c r="P195" i="2"/>
  <c r="P159" i="2"/>
  <c r="P138" i="2"/>
  <c r="P116" i="2"/>
  <c r="P109" i="2"/>
  <c r="P85" i="2"/>
  <c r="P53" i="2"/>
  <c r="P342" i="2"/>
  <c r="P220" i="2"/>
  <c r="P119" i="2"/>
  <c r="P70" i="2"/>
  <c r="P282" i="2"/>
  <c r="P248" i="2"/>
  <c r="P239" i="2"/>
  <c r="P76" i="2"/>
  <c r="P28" i="2"/>
  <c r="P308" i="2"/>
  <c r="P154" i="2"/>
  <c r="P122" i="2"/>
  <c r="P102" i="2"/>
  <c r="P44" i="2"/>
  <c r="P318" i="2"/>
  <c r="P313" i="2"/>
  <c r="P258" i="2"/>
  <c r="P209" i="2"/>
  <c r="P185" i="2"/>
  <c r="P23" i="2"/>
  <c r="P326" i="2"/>
  <c r="P54" i="2"/>
  <c r="P346" i="2"/>
  <c r="P250" i="2"/>
  <c r="P81" i="2"/>
  <c r="P72" i="2"/>
  <c r="P67" i="2"/>
  <c r="P365" i="2"/>
  <c r="P311" i="2"/>
  <c r="P241" i="2"/>
  <c r="P93" i="2"/>
  <c r="P261" i="2"/>
  <c r="P366" i="2"/>
  <c r="P323" i="2"/>
  <c r="P57" i="2"/>
  <c r="P43" i="2"/>
  <c r="P99" i="2"/>
  <c r="P90" i="2"/>
  <c r="P48" i="2"/>
  <c r="P71" i="2"/>
  <c r="P24" i="2"/>
  <c r="P301" i="2"/>
  <c r="P280" i="2"/>
  <c r="P233" i="2"/>
  <c r="P194" i="2"/>
  <c r="P125" i="2"/>
  <c r="P304" i="2"/>
  <c r="P226" i="2"/>
  <c r="P75" i="2"/>
  <c r="P80" i="2"/>
  <c r="P231" i="2"/>
  <c r="P216" i="2"/>
  <c r="P165" i="2"/>
  <c r="P89" i="2"/>
  <c r="P27" i="2"/>
  <c r="P98" i="2"/>
  <c r="P148" i="2"/>
  <c r="P357" i="2"/>
  <c r="P203" i="2"/>
  <c r="P207" i="2"/>
  <c r="P133" i="2"/>
  <c r="P147" i="2"/>
  <c r="P58" i="2"/>
  <c r="P242" i="2"/>
  <c r="P183" i="2"/>
  <c r="P107" i="2"/>
  <c r="P197" i="2"/>
  <c r="P29" i="2"/>
  <c r="P372" i="2"/>
  <c r="P316" i="2"/>
  <c r="P140" i="2"/>
  <c r="P127" i="2"/>
  <c r="P113" i="2"/>
  <c r="P175" i="2"/>
  <c r="P49" i="2"/>
  <c r="P161" i="2"/>
  <c r="E12" i="2"/>
  <c r="U217" i="2"/>
  <c r="I216" i="2"/>
  <c r="J216" i="2" s="1"/>
  <c r="L216" i="2" s="1"/>
  <c r="K216" i="2" s="1"/>
  <c r="U282" i="2"/>
  <c r="I281" i="2"/>
  <c r="J281" i="2" s="1"/>
  <c r="L281" i="2" s="1"/>
  <c r="K281" i="2" s="1"/>
  <c r="I283" i="2"/>
  <c r="J283" i="2" s="1"/>
  <c r="L283" i="2" s="1"/>
  <c r="K283" i="2" s="1"/>
  <c r="U284" i="2"/>
  <c r="I173" i="2"/>
  <c r="J173" i="2" s="1"/>
  <c r="L173" i="2" s="1"/>
  <c r="K173" i="2" s="1"/>
  <c r="U174" i="2"/>
  <c r="I332" i="2"/>
  <c r="J332" i="2" s="1"/>
  <c r="L332" i="2" s="1"/>
  <c r="K332" i="2" s="1"/>
  <c r="U333" i="2"/>
  <c r="G287" i="2"/>
  <c r="H287" i="2" s="1"/>
  <c r="O287" i="2" s="1"/>
  <c r="H115" i="3" s="1"/>
  <c r="I115" i="3" s="1"/>
  <c r="J115" i="3" s="1"/>
  <c r="G95" i="2"/>
  <c r="H95" i="2" s="1"/>
  <c r="O95" i="2" s="1"/>
  <c r="H289" i="3" s="1"/>
  <c r="I289" i="3" s="1"/>
  <c r="J289" i="3" s="1"/>
  <c r="O365" i="2"/>
  <c r="H193" i="3" s="1"/>
  <c r="I193" i="3" s="1"/>
  <c r="J193" i="3" s="1"/>
  <c r="O118" i="2"/>
  <c r="H312" i="3" s="1"/>
  <c r="I312" i="3" s="1"/>
  <c r="J312" i="3" s="1"/>
  <c r="G181" i="2"/>
  <c r="H181" i="2" s="1"/>
  <c r="U65" i="2"/>
  <c r="I64" i="2"/>
  <c r="J64" i="2" s="1"/>
  <c r="L64" i="2" s="1"/>
  <c r="K64" i="2" s="1"/>
  <c r="U169" i="2"/>
  <c r="I168" i="2"/>
  <c r="J168" i="2" s="1"/>
  <c r="L168" i="2" s="1"/>
  <c r="K168" i="2" s="1"/>
  <c r="U26" i="2"/>
  <c r="I25" i="2"/>
  <c r="J25" i="2" s="1"/>
  <c r="L25" i="2" s="1"/>
  <c r="K25" i="2" s="1"/>
  <c r="I127" i="2"/>
  <c r="J127" i="2" s="1"/>
  <c r="L127" i="2" s="1"/>
  <c r="K127" i="2" s="1"/>
  <c r="U128" i="2"/>
  <c r="I340" i="2"/>
  <c r="J340" i="2" s="1"/>
  <c r="L340" i="2" s="1"/>
  <c r="K340" i="2" s="1"/>
  <c r="U341" i="2"/>
  <c r="I196" i="2"/>
  <c r="J196" i="2" s="1"/>
  <c r="L196" i="2" s="1"/>
  <c r="K196" i="2" s="1"/>
  <c r="U197" i="2"/>
  <c r="I98" i="2"/>
  <c r="J98" i="2" s="1"/>
  <c r="L98" i="2" s="1"/>
  <c r="K98" i="2" s="1"/>
  <c r="U99" i="2"/>
  <c r="U53" i="2"/>
  <c r="I52" i="2"/>
  <c r="J52" i="2" s="1"/>
  <c r="L52" i="2" s="1"/>
  <c r="K52" i="2" s="1"/>
  <c r="I217" i="2"/>
  <c r="J217" i="2" s="1"/>
  <c r="L217" i="2" s="1"/>
  <c r="K217" i="2" s="1"/>
  <c r="U218" i="2"/>
  <c r="U35" i="2"/>
  <c r="I34" i="2"/>
  <c r="J34" i="2" s="1"/>
  <c r="L34" i="2" s="1"/>
  <c r="K34" i="2" s="1"/>
  <c r="I344" i="2"/>
  <c r="J344" i="2" s="1"/>
  <c r="L344" i="2" s="1"/>
  <c r="K344" i="2" s="1"/>
  <c r="U345" i="2"/>
  <c r="I228" i="2"/>
  <c r="J228" i="2" s="1"/>
  <c r="L228" i="2" s="1"/>
  <c r="K228" i="2" s="1"/>
  <c r="U229" i="2"/>
  <c r="U292" i="2"/>
  <c r="I291" i="2"/>
  <c r="J291" i="2" s="1"/>
  <c r="L291" i="2" s="1"/>
  <c r="K291" i="2" s="1"/>
  <c r="I310" i="2"/>
  <c r="J310" i="2" s="1"/>
  <c r="L310" i="2" s="1"/>
  <c r="K310" i="2" s="1"/>
  <c r="U311" i="2"/>
  <c r="U190" i="2"/>
  <c r="I189" i="2"/>
  <c r="J189" i="2" s="1"/>
  <c r="L189" i="2" s="1"/>
  <c r="K189" i="2" s="1"/>
  <c r="I341" i="2"/>
  <c r="J341" i="2" s="1"/>
  <c r="L341" i="2" s="1"/>
  <c r="K341" i="2" s="1"/>
  <c r="U342" i="2"/>
  <c r="G96" i="2"/>
  <c r="H96" i="2" s="1"/>
  <c r="O68" i="2"/>
  <c r="H261" i="3" s="1"/>
  <c r="I261" i="3" s="1"/>
  <c r="J261" i="3" s="1"/>
  <c r="O243" i="2"/>
  <c r="H71" i="3" s="1"/>
  <c r="I71" i="3" s="1"/>
  <c r="J71" i="3" s="1"/>
  <c r="O311" i="2"/>
  <c r="H139" i="3" s="1"/>
  <c r="I139" i="3" s="1"/>
  <c r="J139" i="3" s="1"/>
  <c r="O245" i="2"/>
  <c r="H73" i="3" s="1"/>
  <c r="I73" i="3" s="1"/>
  <c r="J73" i="3" s="1"/>
  <c r="G161" i="2"/>
  <c r="H161" i="2" s="1"/>
  <c r="O176" i="2"/>
  <c r="H370" i="3" s="1"/>
  <c r="I370" i="3" s="1"/>
  <c r="J370" i="3" s="1"/>
  <c r="O267" i="2"/>
  <c r="H95" i="3" s="1"/>
  <c r="I95" i="3" s="1"/>
  <c r="J95" i="3" s="1"/>
  <c r="G310" i="2"/>
  <c r="H310" i="2" s="1"/>
  <c r="O310" i="2" s="1"/>
  <c r="H138" i="3" s="1"/>
  <c r="I138" i="3" s="1"/>
  <c r="J138" i="3" s="1"/>
  <c r="U247" i="2"/>
  <c r="I246" i="2"/>
  <c r="J246" i="2" s="1"/>
  <c r="L246" i="2" s="1"/>
  <c r="K246" i="2" s="1"/>
  <c r="U122" i="2"/>
  <c r="I121" i="2"/>
  <c r="J121" i="2" s="1"/>
  <c r="L121" i="2" s="1"/>
  <c r="K121" i="2" s="1"/>
  <c r="I187" i="2"/>
  <c r="J187" i="2" s="1"/>
  <c r="L187" i="2" s="1"/>
  <c r="K187" i="2" s="1"/>
  <c r="U188" i="2"/>
  <c r="I50" i="2"/>
  <c r="J50" i="2" s="1"/>
  <c r="L50" i="2" s="1"/>
  <c r="K50" i="2" s="1"/>
  <c r="U51" i="2"/>
  <c r="U212" i="2"/>
  <c r="I211" i="2"/>
  <c r="J211" i="2" s="1"/>
  <c r="L211" i="2" s="1"/>
  <c r="K211" i="2" s="1"/>
  <c r="U366" i="2"/>
  <c r="I365" i="2"/>
  <c r="J365" i="2" s="1"/>
  <c r="L365" i="2" s="1"/>
  <c r="K365" i="2" s="1"/>
  <c r="U71" i="2"/>
  <c r="I70" i="2"/>
  <c r="J70" i="2" s="1"/>
  <c r="L70" i="2" s="1"/>
  <c r="K70" i="2" s="1"/>
  <c r="I154" i="2"/>
  <c r="J154" i="2" s="1"/>
  <c r="L154" i="2" s="1"/>
  <c r="K154" i="2" s="1"/>
  <c r="U155" i="2"/>
  <c r="U16" i="2"/>
  <c r="I15" i="2"/>
  <c r="J15" i="2" s="1"/>
  <c r="L15" i="2" s="1"/>
  <c r="K15" i="2" s="1"/>
  <c r="I250" i="2"/>
  <c r="J250" i="2" s="1"/>
  <c r="L250" i="2" s="1"/>
  <c r="K250" i="2" s="1"/>
  <c r="U251" i="2"/>
  <c r="U318" i="2"/>
  <c r="I317" i="2"/>
  <c r="J317" i="2" s="1"/>
  <c r="L317" i="2" s="1"/>
  <c r="K317" i="2" s="1"/>
  <c r="I342" i="2"/>
  <c r="J342" i="2" s="1"/>
  <c r="L342" i="2" s="1"/>
  <c r="K342" i="2" s="1"/>
  <c r="U343" i="2"/>
  <c r="U157" i="2"/>
  <c r="I156" i="2"/>
  <c r="J156" i="2" s="1"/>
  <c r="L156" i="2" s="1"/>
  <c r="K156" i="2" s="1"/>
  <c r="U206" i="2"/>
  <c r="I205" i="2"/>
  <c r="J205" i="2" s="1"/>
  <c r="L205" i="2" s="1"/>
  <c r="K205" i="2" s="1"/>
  <c r="O59" i="2"/>
  <c r="H252" i="3" s="1"/>
  <c r="I252" i="3" s="1"/>
  <c r="J252" i="3" s="1"/>
  <c r="G143" i="2"/>
  <c r="H143" i="2" s="1"/>
  <c r="O143" i="2" s="1"/>
  <c r="H337" i="3" s="1"/>
  <c r="I337" i="3" s="1"/>
  <c r="J337" i="3" s="1"/>
  <c r="O39" i="2"/>
  <c r="H232" i="3" s="1"/>
  <c r="I232" i="3" s="1"/>
  <c r="J232" i="3" s="1"/>
  <c r="O208" i="2"/>
  <c r="H36" i="3" s="1"/>
  <c r="I36" i="3" s="1"/>
  <c r="J36" i="3" s="1"/>
  <c r="G93" i="2"/>
  <c r="H93" i="2" s="1"/>
  <c r="G183" i="2"/>
  <c r="H183" i="2" s="1"/>
  <c r="O330" i="2"/>
  <c r="H158" i="3" s="1"/>
  <c r="I158" i="3" s="1"/>
  <c r="J158" i="3" s="1"/>
  <c r="I26" i="2"/>
  <c r="J26" i="2" s="1"/>
  <c r="L26" i="2" s="1"/>
  <c r="K26" i="2" s="1"/>
  <c r="U27" i="2"/>
  <c r="U64" i="2"/>
  <c r="I63" i="2"/>
  <c r="J63" i="2" s="1"/>
  <c r="L63" i="2" s="1"/>
  <c r="K63" i="2" s="1"/>
  <c r="I126" i="2"/>
  <c r="J126" i="2" s="1"/>
  <c r="L126" i="2" s="1"/>
  <c r="K126" i="2" s="1"/>
  <c r="U127" i="2"/>
  <c r="I99" i="2"/>
  <c r="J99" i="2" s="1"/>
  <c r="L99" i="2" s="1"/>
  <c r="K99" i="2" s="1"/>
  <c r="U100" i="2"/>
  <c r="U223" i="2"/>
  <c r="I222" i="2"/>
  <c r="J222" i="2" s="1"/>
  <c r="L222" i="2" s="1"/>
  <c r="K222" i="2" s="1"/>
  <c r="U123" i="2"/>
  <c r="I122" i="2"/>
  <c r="J122" i="2" s="1"/>
  <c r="L122" i="2" s="1"/>
  <c r="K122" i="2" s="1"/>
  <c r="I102" i="2"/>
  <c r="J102" i="2" s="1"/>
  <c r="L102" i="2" s="1"/>
  <c r="K102" i="2" s="1"/>
  <c r="U103" i="2"/>
  <c r="I176" i="2"/>
  <c r="J176" i="2" s="1"/>
  <c r="L176" i="2" s="1"/>
  <c r="K176" i="2" s="1"/>
  <c r="U177" i="2"/>
  <c r="U83" i="2"/>
  <c r="I82" i="2"/>
  <c r="J82" i="2" s="1"/>
  <c r="L82" i="2" s="1"/>
  <c r="K82" i="2" s="1"/>
  <c r="U262" i="2"/>
  <c r="I261" i="2"/>
  <c r="J261" i="2" s="1"/>
  <c r="L261" i="2" s="1"/>
  <c r="K261" i="2" s="1"/>
  <c r="I194" i="2"/>
  <c r="J194" i="2" s="1"/>
  <c r="L194" i="2" s="1"/>
  <c r="K194" i="2" s="1"/>
  <c r="U195" i="2"/>
  <c r="I280" i="2"/>
  <c r="J280" i="2" s="1"/>
  <c r="L280" i="2" s="1"/>
  <c r="K280" i="2" s="1"/>
  <c r="U281" i="2"/>
  <c r="U115" i="2"/>
  <c r="I114" i="2"/>
  <c r="J114" i="2" s="1"/>
  <c r="L114" i="2" s="1"/>
  <c r="K114" i="2" s="1"/>
  <c r="I172" i="2"/>
  <c r="J172" i="2" s="1"/>
  <c r="L172" i="2" s="1"/>
  <c r="K172" i="2" s="1"/>
  <c r="U173" i="2"/>
  <c r="U375" i="2"/>
  <c r="I374" i="2"/>
  <c r="J374" i="2" s="1"/>
  <c r="L374" i="2" s="1"/>
  <c r="K374" i="2" s="1"/>
  <c r="G257" i="2"/>
  <c r="H257" i="2" s="1"/>
  <c r="G121" i="2"/>
  <c r="H121" i="2" s="1"/>
  <c r="O121" i="2" s="1"/>
  <c r="H315" i="3" s="1"/>
  <c r="I315" i="3" s="1"/>
  <c r="J315" i="3" s="1"/>
  <c r="G73" i="2"/>
  <c r="H73" i="2" s="1"/>
  <c r="O73" i="2" s="1"/>
  <c r="H267" i="3" s="1"/>
  <c r="I267" i="3" s="1"/>
  <c r="J267" i="3" s="1"/>
  <c r="G149" i="2"/>
  <c r="H149" i="2" s="1"/>
  <c r="O149" i="2" s="1"/>
  <c r="H343" i="3" s="1"/>
  <c r="I343" i="3" s="1"/>
  <c r="J343" i="3" s="1"/>
  <c r="G230" i="2"/>
  <c r="H230" i="2" s="1"/>
  <c r="G32" i="2"/>
  <c r="H32" i="2" s="1"/>
  <c r="G205" i="2"/>
  <c r="H205" i="2" s="1"/>
  <c r="O205" i="2" s="1"/>
  <c r="H33" i="3" s="1"/>
  <c r="I33" i="3" s="1"/>
  <c r="J33" i="3" s="1"/>
  <c r="O299" i="2"/>
  <c r="H127" i="3" s="1"/>
  <c r="I127" i="3" s="1"/>
  <c r="J127" i="3" s="1"/>
  <c r="U57" i="2"/>
  <c r="I56" i="2"/>
  <c r="J56" i="2" s="1"/>
  <c r="L56" i="2" s="1"/>
  <c r="K56" i="2" s="1"/>
  <c r="I142" i="2"/>
  <c r="J142" i="2" s="1"/>
  <c r="L142" i="2" s="1"/>
  <c r="K142" i="2" s="1"/>
  <c r="U143" i="2"/>
  <c r="U135" i="2"/>
  <c r="I134" i="2"/>
  <c r="J134" i="2" s="1"/>
  <c r="L134" i="2" s="1"/>
  <c r="K134" i="2" s="1"/>
  <c r="I104" i="2"/>
  <c r="J104" i="2" s="1"/>
  <c r="L104" i="2" s="1"/>
  <c r="K104" i="2" s="1"/>
  <c r="U105" i="2"/>
  <c r="I241" i="2"/>
  <c r="J241" i="2" s="1"/>
  <c r="L241" i="2" s="1"/>
  <c r="K241" i="2" s="1"/>
  <c r="U242" i="2"/>
  <c r="U58" i="2"/>
  <c r="I57" i="2"/>
  <c r="J57" i="2" s="1"/>
  <c r="L57" i="2" s="1"/>
  <c r="K57" i="2" s="1"/>
  <c r="I112" i="2"/>
  <c r="J112" i="2" s="1"/>
  <c r="L112" i="2" s="1"/>
  <c r="K112" i="2" s="1"/>
  <c r="U113" i="2"/>
  <c r="U199" i="2"/>
  <c r="I198" i="2"/>
  <c r="J198" i="2" s="1"/>
  <c r="L198" i="2" s="1"/>
  <c r="K198" i="2" s="1"/>
  <c r="U84" i="2"/>
  <c r="I83" i="2"/>
  <c r="J83" i="2" s="1"/>
  <c r="L83" i="2" s="1"/>
  <c r="K83" i="2" s="1"/>
  <c r="U273" i="2"/>
  <c r="I272" i="2"/>
  <c r="J272" i="2" s="1"/>
  <c r="L272" i="2" s="1"/>
  <c r="K272" i="2" s="1"/>
  <c r="I338" i="2"/>
  <c r="J338" i="2" s="1"/>
  <c r="L338" i="2" s="1"/>
  <c r="K338" i="2" s="1"/>
  <c r="U339" i="2"/>
  <c r="U238" i="2"/>
  <c r="I237" i="2"/>
  <c r="J237" i="2" s="1"/>
  <c r="L237" i="2" s="1"/>
  <c r="K237" i="2" s="1"/>
  <c r="H4" i="4"/>
  <c r="I199" i="2"/>
  <c r="J199" i="2" s="1"/>
  <c r="L199" i="2" s="1"/>
  <c r="K199" i="2" s="1"/>
  <c r="U200" i="2"/>
  <c r="U159" i="2"/>
  <c r="I158" i="2"/>
  <c r="J158" i="2" s="1"/>
  <c r="L158" i="2" s="1"/>
  <c r="K158" i="2" s="1"/>
  <c r="U37" i="2"/>
  <c r="I36" i="2"/>
  <c r="J36" i="2" s="1"/>
  <c r="L36" i="2" s="1"/>
  <c r="K36" i="2" s="1"/>
  <c r="I60" i="2"/>
  <c r="J60" i="2" s="1"/>
  <c r="L60" i="2" s="1"/>
  <c r="K60" i="2" s="1"/>
  <c r="U61" i="2"/>
  <c r="U191" i="2"/>
  <c r="I190" i="2"/>
  <c r="J190" i="2" s="1"/>
  <c r="L190" i="2" s="1"/>
  <c r="K190" i="2" s="1"/>
  <c r="I275" i="2"/>
  <c r="J275" i="2" s="1"/>
  <c r="L275" i="2" s="1"/>
  <c r="K275" i="2" s="1"/>
  <c r="U276" i="2"/>
  <c r="I346" i="2"/>
  <c r="J346" i="2" s="1"/>
  <c r="L346" i="2" s="1"/>
  <c r="K346" i="2" s="1"/>
  <c r="U347" i="2"/>
  <c r="I163" i="2"/>
  <c r="J163" i="2" s="1"/>
  <c r="L163" i="2" s="1"/>
  <c r="K163" i="2" s="1"/>
  <c r="U164" i="2"/>
  <c r="U66" i="2"/>
  <c r="I65" i="2"/>
  <c r="J65" i="2" s="1"/>
  <c r="L65" i="2" s="1"/>
  <c r="K65" i="2" s="1"/>
  <c r="I137" i="2"/>
  <c r="J137" i="2" s="1"/>
  <c r="L137" i="2" s="1"/>
  <c r="K137" i="2" s="1"/>
  <c r="U138" i="2"/>
  <c r="I115" i="2"/>
  <c r="J115" i="2" s="1"/>
  <c r="L115" i="2" s="1"/>
  <c r="K115" i="2" s="1"/>
  <c r="U116" i="2"/>
  <c r="I225" i="2"/>
  <c r="J225" i="2" s="1"/>
  <c r="L225" i="2" s="1"/>
  <c r="K225" i="2" s="1"/>
  <c r="U226" i="2"/>
  <c r="I363" i="2"/>
  <c r="J363" i="2" s="1"/>
  <c r="L363" i="2" s="1"/>
  <c r="K363" i="2" s="1"/>
  <c r="U364" i="2"/>
  <c r="I305" i="2"/>
  <c r="J305" i="2" s="1"/>
  <c r="L305" i="2" s="1"/>
  <c r="K305" i="2" s="1"/>
  <c r="U306" i="2"/>
  <c r="I303" i="2"/>
  <c r="J303" i="2" s="1"/>
  <c r="L303" i="2" s="1"/>
  <c r="K303" i="2" s="1"/>
  <c r="U304" i="2"/>
  <c r="I76" i="2"/>
  <c r="J76" i="2" s="1"/>
  <c r="L76" i="2" s="1"/>
  <c r="K76" i="2" s="1"/>
  <c r="U77" i="2"/>
  <c r="U170" i="2"/>
  <c r="I169" i="2"/>
  <c r="J169" i="2" s="1"/>
  <c r="L169" i="2" s="1"/>
  <c r="K169" i="2" s="1"/>
  <c r="I43" i="2"/>
  <c r="J43" i="2" s="1"/>
  <c r="L43" i="2" s="1"/>
  <c r="K43" i="2" s="1"/>
  <c r="U44" i="2"/>
  <c r="U32" i="2"/>
  <c r="I31" i="2"/>
  <c r="J31" i="2" s="1"/>
  <c r="L31" i="2" s="1"/>
  <c r="K31" i="2" s="1"/>
  <c r="I324" i="2"/>
  <c r="J324" i="2" s="1"/>
  <c r="L324" i="2" s="1"/>
  <c r="K324" i="2" s="1"/>
  <c r="U325" i="2"/>
  <c r="I362" i="2"/>
  <c r="J362" i="2" s="1"/>
  <c r="L362" i="2" s="1"/>
  <c r="K362" i="2" s="1"/>
  <c r="U363" i="2"/>
  <c r="U211" i="2"/>
  <c r="I210" i="2"/>
  <c r="J210" i="2" s="1"/>
  <c r="L210" i="2" s="1"/>
  <c r="K210" i="2" s="1"/>
  <c r="I273" i="2"/>
  <c r="J273" i="2" s="1"/>
  <c r="L273" i="2" s="1"/>
  <c r="K273" i="2" s="1"/>
  <c r="U274" i="2"/>
  <c r="I29" i="2"/>
  <c r="J29" i="2" s="1"/>
  <c r="L29" i="2" s="1"/>
  <c r="K29" i="2" s="1"/>
  <c r="U30" i="2"/>
  <c r="U303" i="2"/>
  <c r="I302" i="2"/>
  <c r="J302" i="2" s="1"/>
  <c r="L302" i="2" s="1"/>
  <c r="K302" i="2" s="1"/>
  <c r="U79" i="2"/>
  <c r="I78" i="2"/>
  <c r="J78" i="2" s="1"/>
  <c r="L78" i="2" s="1"/>
  <c r="K78" i="2" s="1"/>
  <c r="I155" i="2"/>
  <c r="J155" i="2" s="1"/>
  <c r="L155" i="2" s="1"/>
  <c r="K155" i="2" s="1"/>
  <c r="U156" i="2"/>
  <c r="U263" i="2"/>
  <c r="I262" i="2"/>
  <c r="J262" i="2" s="1"/>
  <c r="L262" i="2" s="1"/>
  <c r="K262" i="2" s="1"/>
  <c r="U269" i="2"/>
  <c r="I268" i="2"/>
  <c r="J268" i="2" s="1"/>
  <c r="L268" i="2" s="1"/>
  <c r="K268" i="2" s="1"/>
  <c r="I323" i="2"/>
  <c r="J323" i="2" s="1"/>
  <c r="L323" i="2" s="1"/>
  <c r="K323" i="2" s="1"/>
  <c r="U324" i="2"/>
  <c r="G23" i="2"/>
  <c r="H23" i="2" s="1"/>
  <c r="O23" i="2" s="1"/>
  <c r="H216" i="3" s="1"/>
  <c r="I216" i="3" s="1"/>
  <c r="J216" i="3" s="1"/>
  <c r="G38" i="2"/>
  <c r="H38" i="2" s="1"/>
  <c r="O38" i="2" s="1"/>
  <c r="H231" i="3" s="1"/>
  <c r="I231" i="3" s="1"/>
  <c r="J231" i="3" s="1"/>
  <c r="G132" i="2"/>
  <c r="H132" i="2" s="1"/>
  <c r="G82" i="2"/>
  <c r="H82" i="2" s="1"/>
  <c r="O82" i="2" s="1"/>
  <c r="H276" i="3" s="1"/>
  <c r="I276" i="3" s="1"/>
  <c r="J276" i="3" s="1"/>
  <c r="G355" i="2"/>
  <c r="H355" i="2" s="1"/>
  <c r="O355" i="2" s="1"/>
  <c r="H183" i="3" s="1"/>
  <c r="I183" i="3" s="1"/>
  <c r="J183" i="3" s="1"/>
  <c r="G234" i="2"/>
  <c r="H234" i="2" s="1"/>
  <c r="G348" i="2"/>
  <c r="H348" i="2" s="1"/>
  <c r="O348" i="2" s="1"/>
  <c r="H176" i="3" s="1"/>
  <c r="I176" i="3" s="1"/>
  <c r="J176" i="3" s="1"/>
  <c r="G72" i="2"/>
  <c r="H72" i="2" s="1"/>
  <c r="O72" i="2" s="1"/>
  <c r="H266" i="3" s="1"/>
  <c r="I266" i="3" s="1"/>
  <c r="J266" i="3" s="1"/>
  <c r="G24" i="2"/>
  <c r="H24" i="2" s="1"/>
  <c r="O24" i="2" s="1"/>
  <c r="H217" i="3" s="1"/>
  <c r="I217" i="3" s="1"/>
  <c r="J217" i="3" s="1"/>
  <c r="G57" i="2"/>
  <c r="H57" i="2" s="1"/>
  <c r="O57" i="2" s="1"/>
  <c r="H250" i="3" s="1"/>
  <c r="I250" i="3" s="1"/>
  <c r="J250" i="3" s="1"/>
  <c r="G66" i="2"/>
  <c r="H66" i="2" s="1"/>
  <c r="G105" i="2"/>
  <c r="H105" i="2" s="1"/>
  <c r="G27" i="2"/>
  <c r="H27" i="2" s="1"/>
  <c r="G333" i="2"/>
  <c r="H333" i="2" s="1"/>
  <c r="G53" i="2"/>
  <c r="H53" i="2" s="1"/>
  <c r="G131" i="2"/>
  <c r="H131" i="2" s="1"/>
  <c r="G347" i="2"/>
  <c r="H347" i="2" s="1"/>
  <c r="G218" i="2"/>
  <c r="H218" i="2" s="1"/>
  <c r="O218" i="2" s="1"/>
  <c r="H46" i="3" s="1"/>
  <c r="I46" i="3" s="1"/>
  <c r="J46" i="3" s="1"/>
  <c r="G302" i="2"/>
  <c r="H302" i="2" s="1"/>
  <c r="G271" i="2"/>
  <c r="H271" i="2" s="1"/>
  <c r="O271" i="2" s="1"/>
  <c r="H99" i="3" s="1"/>
  <c r="I99" i="3" s="1"/>
  <c r="J99" i="3" s="1"/>
  <c r="G343" i="2"/>
  <c r="H343" i="2" s="1"/>
  <c r="O343" i="2" s="1"/>
  <c r="H171" i="3" s="1"/>
  <c r="I171" i="3" s="1"/>
  <c r="J171" i="3" s="1"/>
  <c r="G360" i="2"/>
  <c r="H360" i="2" s="1"/>
  <c r="O360" i="2" s="1"/>
  <c r="H188" i="3" s="1"/>
  <c r="I188" i="3" s="1"/>
  <c r="J188" i="3" s="1"/>
  <c r="G188" i="2"/>
  <c r="H188" i="2" s="1"/>
  <c r="O188" i="2" s="1"/>
  <c r="H382" i="3" s="1"/>
  <c r="I382" i="3" s="1"/>
  <c r="J382" i="3" s="1"/>
  <c r="G320" i="2"/>
  <c r="H320" i="2" s="1"/>
  <c r="O320" i="2" s="1"/>
  <c r="H148" i="3" s="1"/>
  <c r="I148" i="3" s="1"/>
  <c r="J148" i="3" s="1"/>
  <c r="S365" i="2" l="1"/>
  <c r="R365" i="2"/>
  <c r="Q365" i="2"/>
  <c r="T365" i="2" s="1"/>
  <c r="S187" i="2"/>
  <c r="Q187" i="2"/>
  <c r="R187" i="2"/>
  <c r="S362" i="2"/>
  <c r="Q362" i="2"/>
  <c r="R362" i="2"/>
  <c r="S284" i="2"/>
  <c r="Q284" i="2"/>
  <c r="R284" i="2"/>
  <c r="S201" i="2"/>
  <c r="R201" i="2"/>
  <c r="Q201" i="2"/>
  <c r="T201" i="2" s="1"/>
  <c r="S211" i="2"/>
  <c r="Q211" i="2"/>
  <c r="R211" i="2"/>
  <c r="S188" i="2"/>
  <c r="Q188" i="2"/>
  <c r="R188" i="2"/>
  <c r="S219" i="2"/>
  <c r="Q219" i="2"/>
  <c r="R219" i="2"/>
  <c r="O172" i="2"/>
  <c r="H366" i="3" s="1"/>
  <c r="I366" i="3" s="1"/>
  <c r="J366" i="3" s="1"/>
  <c r="S203" i="2"/>
  <c r="R203" i="2"/>
  <c r="Q203" i="2"/>
  <c r="T203" i="2" s="1"/>
  <c r="S159" i="2"/>
  <c r="R159" i="2"/>
  <c r="Q159" i="2"/>
  <c r="T159" i="2" s="1"/>
  <c r="S141" i="2"/>
  <c r="Q141" i="2"/>
  <c r="R141" i="2"/>
  <c r="S345" i="2"/>
  <c r="Q345" i="2"/>
  <c r="R345" i="2"/>
  <c r="S276" i="2"/>
  <c r="R276" i="2"/>
  <c r="Q276" i="2"/>
  <c r="T276" i="2" s="1"/>
  <c r="S303" i="2"/>
  <c r="R303" i="2"/>
  <c r="Q303" i="2"/>
  <c r="T303" i="2" s="1"/>
  <c r="H263" i="3"/>
  <c r="I263" i="3" s="1"/>
  <c r="J263" i="3" s="1"/>
  <c r="H264" i="3"/>
  <c r="I264" i="3" s="1"/>
  <c r="J264" i="3" s="1"/>
  <c r="S357" i="2"/>
  <c r="Q357" i="2"/>
  <c r="R357" i="2"/>
  <c r="S308" i="2"/>
  <c r="R308" i="2"/>
  <c r="Q308" i="2"/>
  <c r="T308" i="2" s="1"/>
  <c r="S283" i="2"/>
  <c r="R283" i="2"/>
  <c r="Q283" i="2"/>
  <c r="T283" i="2" s="1"/>
  <c r="S260" i="2"/>
  <c r="R260" i="2"/>
  <c r="Q260" i="2"/>
  <c r="T260" i="2" s="1"/>
  <c r="S37" i="2"/>
  <c r="Q37" i="2"/>
  <c r="R37" i="2"/>
  <c r="S180" i="2"/>
  <c r="Q180" i="2"/>
  <c r="R180" i="2"/>
  <c r="S288" i="2"/>
  <c r="R288" i="2"/>
  <c r="Q288" i="2"/>
  <c r="S240" i="2"/>
  <c r="Q240" i="2"/>
  <c r="R240" i="2"/>
  <c r="S306" i="2"/>
  <c r="Q306" i="2"/>
  <c r="R306" i="2"/>
  <c r="O200" i="2"/>
  <c r="H28" i="3" s="1"/>
  <c r="I28" i="3" s="1"/>
  <c r="J28" i="3" s="1"/>
  <c r="S81" i="2"/>
  <c r="R81" i="2"/>
  <c r="Q81" i="2"/>
  <c r="T81" i="2" s="1"/>
  <c r="S255" i="2"/>
  <c r="R255" i="2"/>
  <c r="Q255" i="2"/>
  <c r="T255" i="2" s="1"/>
  <c r="S277" i="2"/>
  <c r="R277" i="2"/>
  <c r="Q277" i="2"/>
  <c r="S61" i="2"/>
  <c r="Q61" i="2"/>
  <c r="R61" i="2"/>
  <c r="S235" i="2"/>
  <c r="R235" i="2"/>
  <c r="Q235" i="2"/>
  <c r="T235" i="2" s="1"/>
  <c r="S177" i="2"/>
  <c r="R177" i="2"/>
  <c r="Q177" i="2"/>
  <c r="T177" i="2" s="1"/>
  <c r="S266" i="2"/>
  <c r="R266" i="2"/>
  <c r="Q266" i="2"/>
  <c r="T266" i="2" s="1"/>
  <c r="S142" i="2"/>
  <c r="R142" i="2"/>
  <c r="Q142" i="2"/>
  <c r="O162" i="2"/>
  <c r="H356" i="3" s="1"/>
  <c r="I356" i="3" s="1"/>
  <c r="J356" i="3" s="1"/>
  <c r="O132" i="2"/>
  <c r="H326" i="3" s="1"/>
  <c r="I326" i="3" s="1"/>
  <c r="J326" i="3" s="1"/>
  <c r="S326" i="2"/>
  <c r="R326" i="2"/>
  <c r="Q326" i="2"/>
  <c r="T326" i="2" s="1"/>
  <c r="S374" i="2"/>
  <c r="R374" i="2"/>
  <c r="Q374" i="2"/>
  <c r="T374" i="2" s="1"/>
  <c r="S110" i="2"/>
  <c r="Q110" i="2"/>
  <c r="R110" i="2"/>
  <c r="S256" i="2"/>
  <c r="R256" i="2"/>
  <c r="Q256" i="2"/>
  <c r="T256" i="2" s="1"/>
  <c r="S317" i="2"/>
  <c r="R317" i="2"/>
  <c r="Q317" i="2"/>
  <c r="S206" i="2"/>
  <c r="Q206" i="2"/>
  <c r="R206" i="2"/>
  <c r="O107" i="2"/>
  <c r="H301" i="3" s="1"/>
  <c r="I301" i="3" s="1"/>
  <c r="J301" i="3" s="1"/>
  <c r="O285" i="2"/>
  <c r="H113" i="3" s="1"/>
  <c r="I113" i="3" s="1"/>
  <c r="J113" i="3" s="1"/>
  <c r="O236" i="2"/>
  <c r="H64" i="3" s="1"/>
  <c r="I64" i="3" s="1"/>
  <c r="J64" i="3" s="1"/>
  <c r="O294" i="2"/>
  <c r="H122" i="3" s="1"/>
  <c r="I122" i="3" s="1"/>
  <c r="J122" i="3" s="1"/>
  <c r="S43" i="2"/>
  <c r="R43" i="2"/>
  <c r="Q43" i="2"/>
  <c r="T43" i="2" s="1"/>
  <c r="S70" i="2"/>
  <c r="R70" i="2"/>
  <c r="Q70" i="2"/>
  <c r="T70" i="2" s="1"/>
  <c r="S33" i="2"/>
  <c r="Q33" i="2"/>
  <c r="R33" i="2"/>
  <c r="S20" i="2"/>
  <c r="R20" i="2"/>
  <c r="Q20" i="2"/>
  <c r="T20" i="2" s="1"/>
  <c r="S325" i="2"/>
  <c r="Q325" i="2"/>
  <c r="R325" i="2"/>
  <c r="S339" i="2"/>
  <c r="R339" i="2"/>
  <c r="Q339" i="2"/>
  <c r="T339" i="2" s="1"/>
  <c r="O286" i="2"/>
  <c r="H114" i="3" s="1"/>
  <c r="I114" i="3" s="1"/>
  <c r="J114" i="3" s="1"/>
  <c r="O83" i="2"/>
  <c r="H277" i="3" s="1"/>
  <c r="I277" i="3" s="1"/>
  <c r="J277" i="3" s="1"/>
  <c r="O84" i="2"/>
  <c r="H278" i="3" s="1"/>
  <c r="I278" i="3" s="1"/>
  <c r="J278" i="3" s="1"/>
  <c r="S231" i="2"/>
  <c r="Q231" i="2"/>
  <c r="T231" i="2" s="1"/>
  <c r="R231" i="2"/>
  <c r="S119" i="2"/>
  <c r="R119" i="2"/>
  <c r="Q119" i="2"/>
  <c r="S38" i="2"/>
  <c r="Q38" i="2"/>
  <c r="R38" i="2"/>
  <c r="S100" i="2"/>
  <c r="R100" i="2"/>
  <c r="Q100" i="2"/>
  <c r="T100" i="2" s="1"/>
  <c r="S281" i="2"/>
  <c r="R281" i="2"/>
  <c r="Q281" i="2"/>
  <c r="T281" i="2" s="1"/>
  <c r="S333" i="2"/>
  <c r="R333" i="2"/>
  <c r="Q333" i="2"/>
  <c r="T333" i="2" s="1"/>
  <c r="S332" i="2"/>
  <c r="Q332" i="2"/>
  <c r="R332" i="2"/>
  <c r="S238" i="2"/>
  <c r="R238" i="2"/>
  <c r="Q238" i="2"/>
  <c r="T238" i="2" s="1"/>
  <c r="O219" i="2"/>
  <c r="H47" i="3" s="1"/>
  <c r="I47" i="3" s="1"/>
  <c r="J47" i="3" s="1"/>
  <c r="O193" i="2"/>
  <c r="H21" i="3" s="1"/>
  <c r="I21" i="3" s="1"/>
  <c r="J21" i="3" s="1"/>
  <c r="K22" i="3" s="1"/>
  <c r="O62" i="2"/>
  <c r="H255" i="3" s="1"/>
  <c r="I255" i="3" s="1"/>
  <c r="J255" i="3" s="1"/>
  <c r="O277" i="2"/>
  <c r="H105" i="3" s="1"/>
  <c r="I105" i="3" s="1"/>
  <c r="J105" i="3" s="1"/>
  <c r="O328" i="2"/>
  <c r="H156" i="3" s="1"/>
  <c r="I156" i="3" s="1"/>
  <c r="J156" i="3" s="1"/>
  <c r="O227" i="2"/>
  <c r="H55" i="3" s="1"/>
  <c r="I55" i="3" s="1"/>
  <c r="J55" i="3" s="1"/>
  <c r="O297" i="2"/>
  <c r="H125" i="3" s="1"/>
  <c r="I125" i="3" s="1"/>
  <c r="J125" i="3" s="1"/>
  <c r="S107" i="2"/>
  <c r="Q107" i="2"/>
  <c r="R107" i="2"/>
  <c r="S209" i="2"/>
  <c r="Q209" i="2"/>
  <c r="R209" i="2"/>
  <c r="S74" i="2"/>
  <c r="Q74" i="2"/>
  <c r="R74" i="2"/>
  <c r="S104" i="2"/>
  <c r="Q104" i="2"/>
  <c r="R104" i="2"/>
  <c r="S310" i="2"/>
  <c r="Q310" i="2"/>
  <c r="R310" i="2"/>
  <c r="S368" i="2"/>
  <c r="Q368" i="2"/>
  <c r="R368" i="2"/>
  <c r="S131" i="2"/>
  <c r="R131" i="2"/>
  <c r="Q131" i="2"/>
  <c r="S312" i="2"/>
  <c r="R312" i="2"/>
  <c r="Q312" i="2"/>
  <c r="T312" i="2" s="1"/>
  <c r="O29" i="2"/>
  <c r="H222" i="3" s="1"/>
  <c r="I222" i="3" s="1"/>
  <c r="J222" i="3" s="1"/>
  <c r="O231" i="2"/>
  <c r="H59" i="3" s="1"/>
  <c r="I59" i="3" s="1"/>
  <c r="J59" i="3" s="1"/>
  <c r="O247" i="2"/>
  <c r="H75" i="3" s="1"/>
  <c r="I75" i="3" s="1"/>
  <c r="J75" i="3" s="1"/>
  <c r="O370" i="2"/>
  <c r="H198" i="3" s="1"/>
  <c r="I198" i="3" s="1"/>
  <c r="J198" i="3" s="1"/>
  <c r="O280" i="2"/>
  <c r="H108" i="3" s="1"/>
  <c r="I108" i="3" s="1"/>
  <c r="J108" i="3" s="1"/>
  <c r="O256" i="2"/>
  <c r="H84" i="3" s="1"/>
  <c r="I84" i="3" s="1"/>
  <c r="J84" i="3" s="1"/>
  <c r="O43" i="2"/>
  <c r="H236" i="3" s="1"/>
  <c r="I236" i="3" s="1"/>
  <c r="J236" i="3" s="1"/>
  <c r="O120" i="2"/>
  <c r="H314" i="3" s="1"/>
  <c r="I314" i="3" s="1"/>
  <c r="J314" i="3" s="1"/>
  <c r="O372" i="2"/>
  <c r="H200" i="3" s="1"/>
  <c r="I200" i="3" s="1"/>
  <c r="J200" i="3" s="1"/>
  <c r="O257" i="2"/>
  <c r="H85" i="3" s="1"/>
  <c r="I85" i="3" s="1"/>
  <c r="J85" i="3" s="1"/>
  <c r="O144" i="2"/>
  <c r="H338" i="3" s="1"/>
  <c r="I338" i="3" s="1"/>
  <c r="J338" i="3" s="1"/>
  <c r="S183" i="2"/>
  <c r="Q183" i="2"/>
  <c r="R183" i="2"/>
  <c r="S75" i="2"/>
  <c r="R75" i="2"/>
  <c r="Q75" i="2"/>
  <c r="T75" i="2" s="1"/>
  <c r="S258" i="2"/>
  <c r="Q258" i="2"/>
  <c r="R258" i="2"/>
  <c r="S34" i="2"/>
  <c r="Q34" i="2"/>
  <c r="R34" i="2"/>
  <c r="S124" i="2"/>
  <c r="Q124" i="2"/>
  <c r="R124" i="2"/>
  <c r="S117" i="2"/>
  <c r="Q117" i="2"/>
  <c r="R117" i="2"/>
  <c r="S327" i="2"/>
  <c r="R327" i="2"/>
  <c r="Q327" i="2"/>
  <c r="T327" i="2" s="1"/>
  <c r="S356" i="2"/>
  <c r="R356" i="2"/>
  <c r="Q356" i="2"/>
  <c r="T356" i="2" s="1"/>
  <c r="S143" i="2"/>
  <c r="Q143" i="2"/>
  <c r="R143" i="2"/>
  <c r="S328" i="2"/>
  <c r="R328" i="2"/>
  <c r="Q328" i="2"/>
  <c r="T328" i="2" s="1"/>
  <c r="O199" i="2"/>
  <c r="H27" i="3" s="1"/>
  <c r="I27" i="3" s="1"/>
  <c r="J27" i="3" s="1"/>
  <c r="O100" i="2"/>
  <c r="H294" i="3" s="1"/>
  <c r="I294" i="3" s="1"/>
  <c r="J294" i="3" s="1"/>
  <c r="O291" i="2"/>
  <c r="H119" i="3" s="1"/>
  <c r="I119" i="3" s="1"/>
  <c r="J119" i="3" s="1"/>
  <c r="O288" i="2"/>
  <c r="H116" i="3" s="1"/>
  <c r="I116" i="3" s="1"/>
  <c r="J116" i="3" s="1"/>
  <c r="O125" i="2"/>
  <c r="H319" i="3" s="1"/>
  <c r="I319" i="3" s="1"/>
  <c r="J319" i="3" s="1"/>
  <c r="O364" i="2"/>
  <c r="H192" i="3" s="1"/>
  <c r="I192" i="3" s="1"/>
  <c r="J192" i="3" s="1"/>
  <c r="O333" i="2"/>
  <c r="H161" i="3" s="1"/>
  <c r="I161" i="3" s="1"/>
  <c r="J161" i="3" s="1"/>
  <c r="S242" i="2"/>
  <c r="Q242" i="2"/>
  <c r="R242" i="2"/>
  <c r="S313" i="2"/>
  <c r="R313" i="2"/>
  <c r="Q313" i="2"/>
  <c r="T313" i="2" s="1"/>
  <c r="S52" i="2"/>
  <c r="R52" i="2"/>
  <c r="Q52" i="2"/>
  <c r="T52" i="2" s="1"/>
  <c r="S236" i="2"/>
  <c r="Q236" i="2"/>
  <c r="T236" i="2" s="1"/>
  <c r="R236" i="2"/>
  <c r="S151" i="2"/>
  <c r="R151" i="2"/>
  <c r="Q151" i="2"/>
  <c r="S293" i="2"/>
  <c r="R293" i="2"/>
  <c r="Q293" i="2"/>
  <c r="T293" i="2" s="1"/>
  <c r="S134" i="2"/>
  <c r="Q134" i="2"/>
  <c r="R134" i="2"/>
  <c r="S167" i="2"/>
  <c r="R167" i="2"/>
  <c r="Q167" i="2"/>
  <c r="T167" i="2" s="1"/>
  <c r="R286" i="2"/>
  <c r="S286" i="2"/>
  <c r="Q286" i="2"/>
  <c r="T286" i="2" s="1"/>
  <c r="O224" i="2"/>
  <c r="H52" i="3" s="1"/>
  <c r="I52" i="3" s="1"/>
  <c r="J52" i="3" s="1"/>
  <c r="O69" i="2"/>
  <c r="H262" i="3" s="1"/>
  <c r="I262" i="3" s="1"/>
  <c r="J262" i="3" s="1"/>
  <c r="O283" i="2"/>
  <c r="H111" i="3" s="1"/>
  <c r="I111" i="3" s="1"/>
  <c r="J111" i="3" s="1"/>
  <c r="O290" i="2"/>
  <c r="H118" i="3" s="1"/>
  <c r="I118" i="3" s="1"/>
  <c r="J118" i="3" s="1"/>
  <c r="O54" i="2"/>
  <c r="H247" i="3" s="1"/>
  <c r="I247" i="3" s="1"/>
  <c r="J247" i="3" s="1"/>
  <c r="O175" i="2"/>
  <c r="H369" i="3" s="1"/>
  <c r="I369" i="3" s="1"/>
  <c r="J369" i="3" s="1"/>
  <c r="O34" i="2"/>
  <c r="H227" i="3" s="1"/>
  <c r="I227" i="3" s="1"/>
  <c r="J227" i="3" s="1"/>
  <c r="O251" i="2"/>
  <c r="H79" i="3" s="1"/>
  <c r="I79" i="3" s="1"/>
  <c r="J79" i="3" s="1"/>
  <c r="O157" i="2"/>
  <c r="H351" i="3" s="1"/>
  <c r="I351" i="3" s="1"/>
  <c r="J351" i="3" s="1"/>
  <c r="S58" i="2"/>
  <c r="Q58" i="2"/>
  <c r="R58" i="2"/>
  <c r="S304" i="2"/>
  <c r="Q304" i="2"/>
  <c r="R304" i="2"/>
  <c r="S93" i="2"/>
  <c r="R93" i="2"/>
  <c r="Q93" i="2"/>
  <c r="S318" i="2"/>
  <c r="Q318" i="2"/>
  <c r="R318" i="2"/>
  <c r="S85" i="2"/>
  <c r="R85" i="2"/>
  <c r="Q85" i="2"/>
  <c r="T85" i="2" s="1"/>
  <c r="S84" i="2"/>
  <c r="R84" i="2"/>
  <c r="Q84" i="2"/>
  <c r="T84" i="2" s="1"/>
  <c r="S150" i="2"/>
  <c r="Q150" i="2"/>
  <c r="R150" i="2"/>
  <c r="S170" i="2"/>
  <c r="R170" i="2"/>
  <c r="Q170" i="2"/>
  <c r="S264" i="2"/>
  <c r="Q264" i="2"/>
  <c r="T264" i="2" s="1"/>
  <c r="R264" i="2"/>
  <c r="S145" i="2"/>
  <c r="Q145" i="2"/>
  <c r="R145" i="2"/>
  <c r="R153" i="2"/>
  <c r="S153" i="2"/>
  <c r="Q153" i="2"/>
  <c r="T153" i="2" s="1"/>
  <c r="S334" i="2"/>
  <c r="Q334" i="2"/>
  <c r="R334" i="2"/>
  <c r="S215" i="2"/>
  <c r="Q215" i="2"/>
  <c r="R215" i="2"/>
  <c r="S41" i="2"/>
  <c r="Q41" i="2"/>
  <c r="R41" i="2"/>
  <c r="S329" i="2"/>
  <c r="Q329" i="2"/>
  <c r="R329" i="2"/>
  <c r="S30" i="2"/>
  <c r="R30" i="2"/>
  <c r="Q30" i="2"/>
  <c r="T30" i="2" s="1"/>
  <c r="S144" i="2"/>
  <c r="R144" i="2"/>
  <c r="Q144" i="2"/>
  <c r="T144" i="2" s="1"/>
  <c r="S111" i="2"/>
  <c r="R111" i="2"/>
  <c r="Q111" i="2"/>
  <c r="T111" i="2" s="1"/>
  <c r="S162" i="2"/>
  <c r="Q162" i="2"/>
  <c r="R162" i="2"/>
  <c r="S168" i="2"/>
  <c r="Q168" i="2"/>
  <c r="R168" i="2"/>
  <c r="S237" i="2"/>
  <c r="R237" i="2"/>
  <c r="Q237" i="2"/>
  <c r="T237" i="2" s="1"/>
  <c r="S305" i="2"/>
  <c r="R305" i="2"/>
  <c r="Q305" i="2"/>
  <c r="T305" i="2" s="1"/>
  <c r="S360" i="2"/>
  <c r="Q360" i="2"/>
  <c r="R360" i="2"/>
  <c r="O306" i="2"/>
  <c r="H134" i="3" s="1"/>
  <c r="I134" i="3" s="1"/>
  <c r="J134" i="3" s="1"/>
  <c r="O332" i="2"/>
  <c r="H160" i="3" s="1"/>
  <c r="I160" i="3" s="1"/>
  <c r="J160" i="3" s="1"/>
  <c r="C5" i="4"/>
  <c r="D5" i="4" s="1"/>
  <c r="G5" i="4"/>
  <c r="F5" i="4"/>
  <c r="I5" i="4" s="1"/>
  <c r="H5" i="4"/>
  <c r="O19" i="2"/>
  <c r="H212" i="3" s="1"/>
  <c r="I212" i="3" s="1"/>
  <c r="J212" i="3" s="1"/>
  <c r="O184" i="2"/>
  <c r="H378" i="3" s="1"/>
  <c r="I378" i="3" s="1"/>
  <c r="J378" i="3" s="1"/>
  <c r="O305" i="2"/>
  <c r="H133" i="3" s="1"/>
  <c r="I133" i="3" s="1"/>
  <c r="J133" i="3" s="1"/>
  <c r="O152" i="2"/>
  <c r="H346" i="3" s="1"/>
  <c r="I346" i="3" s="1"/>
  <c r="J346" i="3" s="1"/>
  <c r="O268" i="2"/>
  <c r="H96" i="3" s="1"/>
  <c r="I96" i="3" s="1"/>
  <c r="J96" i="3" s="1"/>
  <c r="O16" i="2"/>
  <c r="H209" i="3" s="1"/>
  <c r="I209" i="3" s="1"/>
  <c r="J209" i="3" s="1"/>
  <c r="O204" i="2"/>
  <c r="H32" i="3" s="1"/>
  <c r="I32" i="3" s="1"/>
  <c r="J32" i="3" s="1"/>
  <c r="O56" i="2"/>
  <c r="H249" i="3" s="1"/>
  <c r="I249" i="3" s="1"/>
  <c r="J249" i="3" s="1"/>
  <c r="O366" i="2"/>
  <c r="H194" i="3" s="1"/>
  <c r="I194" i="3" s="1"/>
  <c r="J194" i="3" s="1"/>
  <c r="O371" i="2"/>
  <c r="H199" i="3" s="1"/>
  <c r="I199" i="3" s="1"/>
  <c r="J199" i="3" s="1"/>
  <c r="O289" i="2"/>
  <c r="H117" i="3" s="1"/>
  <c r="I117" i="3" s="1"/>
  <c r="J117" i="3" s="1"/>
  <c r="O173" i="2"/>
  <c r="H367" i="3" s="1"/>
  <c r="I367" i="3" s="1"/>
  <c r="J367" i="3" s="1"/>
  <c r="O147" i="2"/>
  <c r="H341" i="3" s="1"/>
  <c r="I341" i="3" s="1"/>
  <c r="J341" i="3" s="1"/>
  <c r="O248" i="2"/>
  <c r="H76" i="3" s="1"/>
  <c r="I76" i="3" s="1"/>
  <c r="J76" i="3" s="1"/>
  <c r="O45" i="2"/>
  <c r="H238" i="3" s="1"/>
  <c r="I238" i="3" s="1"/>
  <c r="J238" i="3" s="1"/>
  <c r="O226" i="2"/>
  <c r="H54" i="3" s="1"/>
  <c r="I54" i="3" s="1"/>
  <c r="J54" i="3" s="1"/>
  <c r="O113" i="2"/>
  <c r="H307" i="3" s="1"/>
  <c r="I307" i="3" s="1"/>
  <c r="J307" i="3" s="1"/>
  <c r="O266" i="2"/>
  <c r="H94" i="3" s="1"/>
  <c r="I94" i="3" s="1"/>
  <c r="J94" i="3" s="1"/>
  <c r="O190" i="2"/>
  <c r="H384" i="3" s="1"/>
  <c r="I384" i="3" s="1"/>
  <c r="J384" i="3" s="1"/>
  <c r="S207" i="2"/>
  <c r="R207" i="2"/>
  <c r="Q207" i="2"/>
  <c r="T207" i="2" s="1"/>
  <c r="S233" i="2"/>
  <c r="Q233" i="2"/>
  <c r="R233" i="2"/>
  <c r="S122" i="2"/>
  <c r="Q122" i="2"/>
  <c r="R122" i="2"/>
  <c r="S138" i="2"/>
  <c r="Q138" i="2"/>
  <c r="R138" i="2"/>
  <c r="S364" i="2"/>
  <c r="R364" i="2"/>
  <c r="Q364" i="2"/>
  <c r="T364" i="2" s="1"/>
  <c r="S126" i="2"/>
  <c r="R126" i="2"/>
  <c r="Q126" i="2"/>
  <c r="T126" i="2" s="1"/>
  <c r="S228" i="2"/>
  <c r="Q228" i="2"/>
  <c r="R228" i="2"/>
  <c r="S35" i="2"/>
  <c r="R35" i="2"/>
  <c r="Q35" i="2"/>
  <c r="T35" i="2" s="1"/>
  <c r="S92" i="2"/>
  <c r="R92" i="2"/>
  <c r="Q92" i="2"/>
  <c r="S78" i="2"/>
  <c r="R78" i="2"/>
  <c r="Q78" i="2"/>
  <c r="T78" i="2" s="1"/>
  <c r="S137" i="2"/>
  <c r="R137" i="2"/>
  <c r="Q137" i="2"/>
  <c r="T137" i="2" s="1"/>
  <c r="S285" i="2"/>
  <c r="R285" i="2"/>
  <c r="Q285" i="2"/>
  <c r="T285" i="2" s="1"/>
  <c r="S49" i="2"/>
  <c r="Q49" i="2"/>
  <c r="R49" i="2"/>
  <c r="S67" i="2"/>
  <c r="R67" i="2"/>
  <c r="Q67" i="2"/>
  <c r="S210" i="2"/>
  <c r="R210" i="2"/>
  <c r="Q210" i="2"/>
  <c r="S12" i="2"/>
  <c r="R12" i="2"/>
  <c r="Q12" i="2"/>
  <c r="S371" i="2"/>
  <c r="R371" i="2"/>
  <c r="Q371" i="2"/>
  <c r="T371" i="2" s="1"/>
  <c r="S36" i="2"/>
  <c r="R36" i="2"/>
  <c r="Q36" i="2"/>
  <c r="T36" i="2" s="1"/>
  <c r="S128" i="2"/>
  <c r="R128" i="2"/>
  <c r="Q128" i="2"/>
  <c r="T128" i="2" s="1"/>
  <c r="S94" i="2"/>
  <c r="R94" i="2"/>
  <c r="Q94" i="2"/>
  <c r="T94" i="2" s="1"/>
  <c r="S155" i="2"/>
  <c r="Q155" i="2"/>
  <c r="R155" i="2"/>
  <c r="S245" i="2"/>
  <c r="R245" i="2"/>
  <c r="Q245" i="2"/>
  <c r="T245" i="2" s="1"/>
  <c r="O335" i="2"/>
  <c r="H163" i="3" s="1"/>
  <c r="I163" i="3" s="1"/>
  <c r="J163" i="3" s="1"/>
  <c r="R175" i="2"/>
  <c r="S175" i="2"/>
  <c r="Q175" i="2"/>
  <c r="T175" i="2" s="1"/>
  <c r="R301" i="2"/>
  <c r="S301" i="2"/>
  <c r="Q301" i="2"/>
  <c r="T301" i="2" s="1"/>
  <c r="S72" i="2"/>
  <c r="Q72" i="2"/>
  <c r="R72" i="2"/>
  <c r="S195" i="2"/>
  <c r="R195" i="2"/>
  <c r="Q195" i="2"/>
  <c r="T195" i="2" s="1"/>
  <c r="S69" i="2"/>
  <c r="Q69" i="2"/>
  <c r="R69" i="2"/>
  <c r="S172" i="2"/>
  <c r="Q172" i="2"/>
  <c r="R172" i="2"/>
  <c r="S25" i="2"/>
  <c r="Q25" i="2"/>
  <c r="R25" i="2"/>
  <c r="V7" i="2"/>
  <c r="S223" i="2"/>
  <c r="R223" i="2"/>
  <c r="Q223" i="2"/>
  <c r="T223" i="2" s="1"/>
  <c r="S132" i="2"/>
  <c r="R132" i="2"/>
  <c r="Q132" i="2"/>
  <c r="T132" i="2" s="1"/>
  <c r="S166" i="2"/>
  <c r="Q166" i="2"/>
  <c r="R166" i="2"/>
  <c r="S355" i="2"/>
  <c r="R355" i="2"/>
  <c r="Q355" i="2"/>
  <c r="T355" i="2" s="1"/>
  <c r="O18" i="2"/>
  <c r="H211" i="3" s="1"/>
  <c r="I211" i="3" s="1"/>
  <c r="J211" i="3" s="1"/>
  <c r="S113" i="2"/>
  <c r="Q113" i="2"/>
  <c r="R113" i="2"/>
  <c r="S229" i="2"/>
  <c r="R229" i="2"/>
  <c r="Q229" i="2"/>
  <c r="T229" i="2" s="1"/>
  <c r="S335" i="2"/>
  <c r="Q335" i="2"/>
  <c r="R335" i="2"/>
  <c r="S50" i="2"/>
  <c r="R50" i="2"/>
  <c r="Q50" i="2"/>
  <c r="T50" i="2" s="1"/>
  <c r="S18" i="2"/>
  <c r="R18" i="2"/>
  <c r="Q18" i="2"/>
  <c r="T18" i="2" s="1"/>
  <c r="S298" i="2"/>
  <c r="Q298" i="2"/>
  <c r="R298" i="2"/>
  <c r="S315" i="2"/>
  <c r="Q315" i="2"/>
  <c r="R315" i="2"/>
  <c r="O167" i="2"/>
  <c r="H361" i="3" s="1"/>
  <c r="I361" i="3" s="1"/>
  <c r="J361" i="3" s="1"/>
  <c r="O158" i="2"/>
  <c r="H352" i="3" s="1"/>
  <c r="I352" i="3" s="1"/>
  <c r="J352" i="3" s="1"/>
  <c r="S127" i="2"/>
  <c r="Q127" i="2"/>
  <c r="R127" i="2"/>
  <c r="S250" i="2"/>
  <c r="R250" i="2"/>
  <c r="Q250" i="2"/>
  <c r="T250" i="2" s="1"/>
  <c r="S76" i="2"/>
  <c r="R76" i="2"/>
  <c r="Q76" i="2"/>
  <c r="T76" i="2" s="1"/>
  <c r="S319" i="2"/>
  <c r="R319" i="2"/>
  <c r="Q319" i="2"/>
  <c r="T319" i="2" s="1"/>
  <c r="S105" i="2"/>
  <c r="Q105" i="2"/>
  <c r="R105" i="2"/>
  <c r="S322" i="2"/>
  <c r="R322" i="2"/>
  <c r="Q322" i="2"/>
  <c r="T322" i="2" s="1"/>
  <c r="S82" i="2"/>
  <c r="R82" i="2"/>
  <c r="Q82" i="2"/>
  <c r="T82" i="2" s="1"/>
  <c r="S87" i="2"/>
  <c r="R87" i="2"/>
  <c r="Q87" i="2"/>
  <c r="T87" i="2" s="1"/>
  <c r="S39" i="2"/>
  <c r="R39" i="2"/>
  <c r="Q39" i="2"/>
  <c r="T39" i="2" s="1"/>
  <c r="S257" i="2"/>
  <c r="Q257" i="2"/>
  <c r="R257" i="2"/>
  <c r="S179" i="2"/>
  <c r="R179" i="2"/>
  <c r="Q179" i="2"/>
  <c r="T179" i="2" s="1"/>
  <c r="S199" i="2"/>
  <c r="Q199" i="2"/>
  <c r="R199" i="2"/>
  <c r="S296" i="2"/>
  <c r="Q296" i="2"/>
  <c r="R296" i="2"/>
  <c r="S158" i="2"/>
  <c r="Q158" i="2"/>
  <c r="R158" i="2"/>
  <c r="O230" i="2"/>
  <c r="H58" i="3" s="1"/>
  <c r="I58" i="3" s="1"/>
  <c r="J58" i="3" s="1"/>
  <c r="O161" i="2"/>
  <c r="H355" i="3" s="1"/>
  <c r="I355" i="3" s="1"/>
  <c r="J355" i="3" s="1"/>
  <c r="S140" i="2"/>
  <c r="Q140" i="2"/>
  <c r="R140" i="2"/>
  <c r="S48" i="2"/>
  <c r="R48" i="2"/>
  <c r="Q48" i="2"/>
  <c r="T48" i="2" s="1"/>
  <c r="R346" i="2"/>
  <c r="S346" i="2"/>
  <c r="Q346" i="2"/>
  <c r="T346" i="2" s="1"/>
  <c r="S239" i="2"/>
  <c r="R239" i="2"/>
  <c r="Q239" i="2"/>
  <c r="T239" i="2" s="1"/>
  <c r="R19" i="2"/>
  <c r="S19" i="2"/>
  <c r="Q19" i="2"/>
  <c r="T19" i="2" s="1"/>
  <c r="S358" i="2"/>
  <c r="Q358" i="2"/>
  <c r="R358" i="2"/>
  <c r="S272" i="2"/>
  <c r="R272" i="2"/>
  <c r="Q272" i="2"/>
  <c r="T272" i="2" s="1"/>
  <c r="S21" i="2"/>
  <c r="R21" i="2"/>
  <c r="Q21" i="2"/>
  <c r="T21" i="2" s="1"/>
  <c r="S182" i="2"/>
  <c r="R182" i="2"/>
  <c r="Q182" i="2"/>
  <c r="T182" i="2" s="1"/>
  <c r="S149" i="2"/>
  <c r="Q149" i="2"/>
  <c r="R149" i="2"/>
  <c r="S208" i="2"/>
  <c r="R208" i="2"/>
  <c r="Q208" i="2"/>
  <c r="S340" i="2"/>
  <c r="Q340" i="2"/>
  <c r="T340" i="2" s="1"/>
  <c r="R340" i="2"/>
  <c r="S291" i="2"/>
  <c r="R291" i="2"/>
  <c r="Q291" i="2"/>
  <c r="T291" i="2" s="1"/>
  <c r="S359" i="2"/>
  <c r="Q359" i="2"/>
  <c r="R359" i="2"/>
  <c r="O313" i="2"/>
  <c r="H141" i="3" s="1"/>
  <c r="I141" i="3" s="1"/>
  <c r="J141" i="3" s="1"/>
  <c r="O189" i="2"/>
  <c r="H383" i="3" s="1"/>
  <c r="I383" i="3" s="1"/>
  <c r="J383" i="3" s="1"/>
  <c r="O207" i="2"/>
  <c r="H35" i="3" s="1"/>
  <c r="I35" i="3" s="1"/>
  <c r="J35" i="3" s="1"/>
  <c r="O36" i="2"/>
  <c r="H229" i="3" s="1"/>
  <c r="I229" i="3" s="1"/>
  <c r="J229" i="3" s="1"/>
  <c r="O55" i="2"/>
  <c r="H248" i="3" s="1"/>
  <c r="I248" i="3" s="1"/>
  <c r="J248" i="3" s="1"/>
  <c r="O212" i="2"/>
  <c r="H40" i="3" s="1"/>
  <c r="I40" i="3" s="1"/>
  <c r="J40" i="3" s="1"/>
  <c r="O89" i="2"/>
  <c r="H283" i="3" s="1"/>
  <c r="I283" i="3" s="1"/>
  <c r="J283" i="3" s="1"/>
  <c r="O71" i="2"/>
  <c r="H265" i="3" s="1"/>
  <c r="I265" i="3" s="1"/>
  <c r="J265" i="3" s="1"/>
  <c r="S316" i="2"/>
  <c r="R316" i="2"/>
  <c r="Q316" i="2"/>
  <c r="T316" i="2" s="1"/>
  <c r="S89" i="2"/>
  <c r="Q89" i="2"/>
  <c r="R89" i="2"/>
  <c r="S90" i="2"/>
  <c r="Q90" i="2"/>
  <c r="R90" i="2"/>
  <c r="S54" i="2"/>
  <c r="Q54" i="2"/>
  <c r="R54" i="2"/>
  <c r="S248" i="2"/>
  <c r="R248" i="2"/>
  <c r="Q248" i="2"/>
  <c r="R103" i="2"/>
  <c r="S103" i="2"/>
  <c r="Q103" i="2"/>
  <c r="S13" i="2"/>
  <c r="R13" i="2"/>
  <c r="Q13" i="2"/>
  <c r="T13" i="2" s="1"/>
  <c r="S51" i="2"/>
  <c r="R51" i="2"/>
  <c r="Q51" i="2"/>
  <c r="T51" i="2" s="1"/>
  <c r="S353" i="2"/>
  <c r="Q353" i="2"/>
  <c r="R353" i="2"/>
  <c r="S330" i="2"/>
  <c r="R330" i="2"/>
  <c r="Q330" i="2"/>
  <c r="T330" i="2" s="1"/>
  <c r="S16" i="2"/>
  <c r="Q16" i="2"/>
  <c r="R16" i="2"/>
  <c r="S152" i="2"/>
  <c r="Q152" i="2"/>
  <c r="R152" i="2"/>
  <c r="S91" i="2"/>
  <c r="R91" i="2"/>
  <c r="Q91" i="2"/>
  <c r="T91" i="2" s="1"/>
  <c r="S224" i="2"/>
  <c r="R224" i="2"/>
  <c r="Q224" i="2"/>
  <c r="T224" i="2" s="1"/>
  <c r="S234" i="2"/>
  <c r="Q234" i="2"/>
  <c r="R234" i="2"/>
  <c r="K7" i="2"/>
  <c r="K12" i="2"/>
  <c r="S292" i="2"/>
  <c r="R292" i="2"/>
  <c r="Q292" i="2"/>
  <c r="S343" i="2"/>
  <c r="R343" i="2"/>
  <c r="Q343" i="2"/>
  <c r="T343" i="2" s="1"/>
  <c r="O15" i="2"/>
  <c r="H208" i="3" s="1"/>
  <c r="I208" i="3" s="1"/>
  <c r="J208" i="3" s="1"/>
  <c r="O33" i="2"/>
  <c r="H226" i="3" s="1"/>
  <c r="I226" i="3" s="1"/>
  <c r="J226" i="3" s="1"/>
  <c r="O108" i="2"/>
  <c r="H302" i="3" s="1"/>
  <c r="I302" i="3" s="1"/>
  <c r="J302" i="3" s="1"/>
  <c r="O292" i="2"/>
  <c r="H120" i="3" s="1"/>
  <c r="I120" i="3" s="1"/>
  <c r="J120" i="3" s="1"/>
  <c r="O302" i="2"/>
  <c r="H130" i="3" s="1"/>
  <c r="I130" i="3" s="1"/>
  <c r="J130" i="3" s="1"/>
  <c r="O137" i="2"/>
  <c r="H331" i="3" s="1"/>
  <c r="I331" i="3" s="1"/>
  <c r="J331" i="3" s="1"/>
  <c r="S165" i="2"/>
  <c r="Q165" i="2"/>
  <c r="R165" i="2"/>
  <c r="S282" i="2"/>
  <c r="R282" i="2"/>
  <c r="Q282" i="2"/>
  <c r="T282" i="2" s="1"/>
  <c r="S22" i="2"/>
  <c r="R22" i="2"/>
  <c r="Q22" i="2"/>
  <c r="T22" i="2" s="1"/>
  <c r="S83" i="2"/>
  <c r="R83" i="2"/>
  <c r="Q83" i="2"/>
  <c r="T83" i="2" s="1"/>
  <c r="S60" i="2"/>
  <c r="R60" i="2"/>
  <c r="Q60" i="2"/>
  <c r="T60" i="2" s="1"/>
  <c r="S321" i="2"/>
  <c r="Q321" i="2"/>
  <c r="R321" i="2"/>
  <c r="S265" i="2"/>
  <c r="R265" i="2"/>
  <c r="Q265" i="2"/>
  <c r="S338" i="2"/>
  <c r="Q338" i="2"/>
  <c r="R338" i="2"/>
  <c r="O340" i="2"/>
  <c r="H168" i="3" s="1"/>
  <c r="I168" i="3" s="1"/>
  <c r="J168" i="3" s="1"/>
  <c r="O182" i="2"/>
  <c r="H376" i="3" s="1"/>
  <c r="I376" i="3" s="1"/>
  <c r="J376" i="3" s="1"/>
  <c r="S29" i="2"/>
  <c r="Q29" i="2"/>
  <c r="R29" i="2"/>
  <c r="S314" i="2"/>
  <c r="R314" i="2"/>
  <c r="Q314" i="2"/>
  <c r="T314" i="2" s="1"/>
  <c r="S32" i="2"/>
  <c r="R32" i="2"/>
  <c r="Q32" i="2"/>
  <c r="T32" i="2" s="1"/>
  <c r="S68" i="2"/>
  <c r="R68" i="2"/>
  <c r="Q68" i="2"/>
  <c r="T68" i="2" s="1"/>
  <c r="S86" i="2"/>
  <c r="R86" i="2"/>
  <c r="Q86" i="2"/>
  <c r="T86" i="2" s="1"/>
  <c r="S121" i="2"/>
  <c r="R121" i="2"/>
  <c r="Q121" i="2"/>
  <c r="T121" i="2" s="1"/>
  <c r="S267" i="2"/>
  <c r="Q267" i="2"/>
  <c r="R267" i="2"/>
  <c r="S287" i="2"/>
  <c r="R287" i="2"/>
  <c r="Q287" i="2"/>
  <c r="T287" i="2" s="1"/>
  <c r="S157" i="2"/>
  <c r="Q157" i="2"/>
  <c r="R157" i="2"/>
  <c r="S361" i="2"/>
  <c r="Q361" i="2"/>
  <c r="R361" i="2"/>
  <c r="O13" i="2"/>
  <c r="H206" i="3" s="1"/>
  <c r="I206" i="3" s="1"/>
  <c r="J206" i="3" s="1"/>
  <c r="O31" i="2"/>
  <c r="H224" i="3" s="1"/>
  <c r="I224" i="3" s="1"/>
  <c r="J224" i="3" s="1"/>
  <c r="O156" i="2"/>
  <c r="H350" i="3" s="1"/>
  <c r="I350" i="3" s="1"/>
  <c r="J350" i="3" s="1"/>
  <c r="O221" i="2"/>
  <c r="H49" i="3" s="1"/>
  <c r="I49" i="3" s="1"/>
  <c r="J49" i="3" s="1"/>
  <c r="H7" i="2"/>
  <c r="S197" i="2"/>
  <c r="R197" i="2"/>
  <c r="Q197" i="2"/>
  <c r="T197" i="2" s="1"/>
  <c r="S57" i="2"/>
  <c r="Q57" i="2"/>
  <c r="R57" i="2"/>
  <c r="S106" i="2"/>
  <c r="R106" i="2"/>
  <c r="Q106" i="2"/>
  <c r="T106" i="2" s="1"/>
  <c r="S139" i="2"/>
  <c r="Q139" i="2"/>
  <c r="R139" i="2"/>
  <c r="S45" i="2"/>
  <c r="R45" i="2"/>
  <c r="Q45" i="2"/>
  <c r="T45" i="2" s="1"/>
  <c r="S249" i="2"/>
  <c r="R249" i="2"/>
  <c r="Q249" i="2"/>
  <c r="T249" i="2" s="1"/>
  <c r="S246" i="2"/>
  <c r="R246" i="2"/>
  <c r="Q246" i="2"/>
  <c r="T246" i="2" s="1"/>
  <c r="S278" i="2"/>
  <c r="Q278" i="2"/>
  <c r="R278" i="2"/>
  <c r="S47" i="2"/>
  <c r="R47" i="2"/>
  <c r="Q47" i="2"/>
  <c r="T47" i="2" s="1"/>
  <c r="S115" i="2"/>
  <c r="R115" i="2"/>
  <c r="Q115" i="2"/>
  <c r="T115" i="2" s="1"/>
  <c r="S173" i="2"/>
  <c r="R173" i="2"/>
  <c r="Q173" i="2"/>
  <c r="T173" i="2" s="1"/>
  <c r="O300" i="2"/>
  <c r="H128" i="3" s="1"/>
  <c r="I128" i="3" s="1"/>
  <c r="J128" i="3" s="1"/>
  <c r="O225" i="2"/>
  <c r="H53" i="3" s="1"/>
  <c r="I53" i="3" s="1"/>
  <c r="J53" i="3" s="1"/>
  <c r="O76" i="2"/>
  <c r="H270" i="3" s="1"/>
  <c r="I270" i="3" s="1"/>
  <c r="J270" i="3" s="1"/>
  <c r="S323" i="2"/>
  <c r="Q323" i="2"/>
  <c r="T323" i="2" s="1"/>
  <c r="R323" i="2"/>
  <c r="S309" i="2"/>
  <c r="Q309" i="2"/>
  <c r="T309" i="2" s="1"/>
  <c r="R309" i="2"/>
  <c r="S96" i="2"/>
  <c r="Q96" i="2"/>
  <c r="R96" i="2"/>
  <c r="S59" i="2"/>
  <c r="Q59" i="2"/>
  <c r="R59" i="2"/>
  <c r="S347" i="2"/>
  <c r="R347" i="2"/>
  <c r="Q347" i="2"/>
  <c r="T347" i="2" s="1"/>
  <c r="S299" i="2"/>
  <c r="Q299" i="2"/>
  <c r="R299" i="2"/>
  <c r="S63" i="2"/>
  <c r="Q63" i="2"/>
  <c r="R63" i="2"/>
  <c r="S254" i="2"/>
  <c r="R254" i="2"/>
  <c r="Q254" i="2"/>
  <c r="T254" i="2" s="1"/>
  <c r="O336" i="2"/>
  <c r="H164" i="3" s="1"/>
  <c r="I164" i="3" s="1"/>
  <c r="J164" i="3" s="1"/>
  <c r="O145" i="2"/>
  <c r="H339" i="3" s="1"/>
  <c r="I339" i="3" s="1"/>
  <c r="J339" i="3" s="1"/>
  <c r="O53" i="2"/>
  <c r="H246" i="3" s="1"/>
  <c r="I246" i="3" s="1"/>
  <c r="J246" i="3" s="1"/>
  <c r="S366" i="2"/>
  <c r="R366" i="2"/>
  <c r="Q366" i="2"/>
  <c r="T366" i="2" s="1"/>
  <c r="S342" i="2"/>
  <c r="Q342" i="2"/>
  <c r="R342" i="2"/>
  <c r="S88" i="2"/>
  <c r="R88" i="2"/>
  <c r="Q88" i="2"/>
  <c r="S204" i="2"/>
  <c r="R204" i="2"/>
  <c r="Q204" i="2"/>
  <c r="T204" i="2" s="1"/>
  <c r="S77" i="2"/>
  <c r="R77" i="2"/>
  <c r="Q77" i="2"/>
  <c r="T77" i="2" s="1"/>
  <c r="S196" i="2"/>
  <c r="R196" i="2"/>
  <c r="Q196" i="2"/>
  <c r="T196" i="2" s="1"/>
  <c r="S373" i="2"/>
  <c r="Q373" i="2"/>
  <c r="R373" i="2"/>
  <c r="S114" i="2"/>
  <c r="R114" i="2"/>
  <c r="Q114" i="2"/>
  <c r="S270" i="2"/>
  <c r="R270" i="2"/>
  <c r="Q270" i="2"/>
  <c r="O109" i="2"/>
  <c r="H303" i="3" s="1"/>
  <c r="I303" i="3" s="1"/>
  <c r="J303" i="3" s="1"/>
  <c r="O30" i="2"/>
  <c r="H223" i="3" s="1"/>
  <c r="I223" i="3" s="1"/>
  <c r="J223" i="3" s="1"/>
  <c r="O174" i="2"/>
  <c r="H368" i="3" s="1"/>
  <c r="I368" i="3" s="1"/>
  <c r="J368" i="3" s="1"/>
  <c r="O192" i="2"/>
  <c r="H386" i="3" s="1"/>
  <c r="I386" i="3" s="1"/>
  <c r="J386" i="3" s="1"/>
  <c r="O183" i="2"/>
  <c r="H377" i="3" s="1"/>
  <c r="I377" i="3" s="1"/>
  <c r="J377" i="3" s="1"/>
  <c r="O96" i="2"/>
  <c r="H290" i="3" s="1"/>
  <c r="I290" i="3" s="1"/>
  <c r="J290" i="3" s="1"/>
  <c r="S261" i="2"/>
  <c r="R261" i="2"/>
  <c r="Q261" i="2"/>
  <c r="T261" i="2" s="1"/>
  <c r="R53" i="2"/>
  <c r="S53" i="2"/>
  <c r="Q53" i="2"/>
  <c r="T53" i="2" s="1"/>
  <c r="S160" i="2"/>
  <c r="R160" i="2"/>
  <c r="Q160" i="2"/>
  <c r="T160" i="2" s="1"/>
  <c r="S120" i="2"/>
  <c r="R120" i="2"/>
  <c r="Q120" i="2"/>
  <c r="T120" i="2" s="1"/>
  <c r="S336" i="2"/>
  <c r="Q336" i="2"/>
  <c r="R336" i="2"/>
  <c r="Q40" i="2"/>
  <c r="S40" i="2"/>
  <c r="R40" i="2"/>
  <c r="S14" i="2"/>
  <c r="R14" i="2"/>
  <c r="Q14" i="2"/>
  <c r="T14" i="2" s="1"/>
  <c r="S95" i="2"/>
  <c r="R95" i="2"/>
  <c r="Q95" i="2"/>
  <c r="S221" i="2"/>
  <c r="Q221" i="2"/>
  <c r="R221" i="2"/>
  <c r="S344" i="2"/>
  <c r="R344" i="2"/>
  <c r="Q344" i="2"/>
  <c r="T344" i="2" s="1"/>
  <c r="O279" i="2"/>
  <c r="H107" i="3" s="1"/>
  <c r="I107" i="3" s="1"/>
  <c r="J107" i="3" s="1"/>
  <c r="O246" i="2"/>
  <c r="H74" i="3" s="1"/>
  <c r="I74" i="3" s="1"/>
  <c r="J74" i="3" s="1"/>
  <c r="O260" i="2"/>
  <c r="H88" i="3" s="1"/>
  <c r="I88" i="3" s="1"/>
  <c r="J88" i="3" s="1"/>
  <c r="O301" i="2"/>
  <c r="H129" i="3" s="1"/>
  <c r="I129" i="3" s="1"/>
  <c r="J129" i="3" s="1"/>
  <c r="O244" i="2"/>
  <c r="H72" i="3" s="1"/>
  <c r="I72" i="3" s="1"/>
  <c r="J72" i="3" s="1"/>
  <c r="O262" i="2"/>
  <c r="H90" i="3" s="1"/>
  <c r="I90" i="3" s="1"/>
  <c r="J90" i="3" s="1"/>
  <c r="O27" i="2"/>
  <c r="H220" i="3" s="1"/>
  <c r="I220" i="3" s="1"/>
  <c r="J220" i="3" s="1"/>
  <c r="O93" i="2"/>
  <c r="H287" i="3" s="1"/>
  <c r="I287" i="3" s="1"/>
  <c r="J287" i="3" s="1"/>
  <c r="O105" i="2"/>
  <c r="H299" i="3" s="1"/>
  <c r="I299" i="3" s="1"/>
  <c r="J299" i="3" s="1"/>
  <c r="O163" i="2"/>
  <c r="H357" i="3" s="1"/>
  <c r="I357" i="3" s="1"/>
  <c r="J357" i="3" s="1"/>
  <c r="O181" i="2"/>
  <c r="H375" i="3" s="1"/>
  <c r="I375" i="3" s="1"/>
  <c r="J375" i="3" s="1"/>
  <c r="S147" i="2"/>
  <c r="Q147" i="2"/>
  <c r="R147" i="2"/>
  <c r="S125" i="2"/>
  <c r="R125" i="2"/>
  <c r="Q125" i="2"/>
  <c r="T125" i="2" s="1"/>
  <c r="S241" i="2"/>
  <c r="Q241" i="2"/>
  <c r="R241" i="2"/>
  <c r="S44" i="2"/>
  <c r="R44" i="2"/>
  <c r="Q44" i="2"/>
  <c r="T44" i="2" s="1"/>
  <c r="S109" i="2"/>
  <c r="R109" i="2"/>
  <c r="Q109" i="2"/>
  <c r="S97" i="2"/>
  <c r="R97" i="2"/>
  <c r="Q97" i="2"/>
  <c r="T97" i="2" s="1"/>
  <c r="S191" i="2"/>
  <c r="Q191" i="2"/>
  <c r="R191" i="2"/>
  <c r="S176" i="2"/>
  <c r="R176" i="2"/>
  <c r="Q176" i="2"/>
  <c r="T176" i="2" s="1"/>
  <c r="S64" i="2"/>
  <c r="R64" i="2"/>
  <c r="Q64" i="2"/>
  <c r="T64" i="2" s="1"/>
  <c r="S200" i="2"/>
  <c r="R200" i="2"/>
  <c r="Q200" i="2"/>
  <c r="S184" i="2"/>
  <c r="Q184" i="2"/>
  <c r="T184" i="2" s="1"/>
  <c r="R184" i="2"/>
  <c r="S341" i="2"/>
  <c r="R341" i="2"/>
  <c r="Q341" i="2"/>
  <c r="T341" i="2" s="1"/>
  <c r="S259" i="2"/>
  <c r="Q259" i="2"/>
  <c r="R259" i="2"/>
  <c r="S42" i="2"/>
  <c r="Q42" i="2"/>
  <c r="R42" i="2"/>
  <c r="S331" i="2"/>
  <c r="R331" i="2"/>
  <c r="Q331" i="2"/>
  <c r="T331" i="2" s="1"/>
  <c r="S46" i="2"/>
  <c r="R46" i="2"/>
  <c r="Q46" i="2"/>
  <c r="T46" i="2" s="1"/>
  <c r="S156" i="2"/>
  <c r="Q156" i="2"/>
  <c r="R156" i="2"/>
  <c r="S135" i="2"/>
  <c r="R135" i="2"/>
  <c r="Q135" i="2"/>
  <c r="T135" i="2" s="1"/>
  <c r="R163" i="2"/>
  <c r="S163" i="2"/>
  <c r="Q163" i="2"/>
  <c r="T163" i="2" s="1"/>
  <c r="S169" i="2"/>
  <c r="Q169" i="2"/>
  <c r="R169" i="2"/>
  <c r="S253" i="2"/>
  <c r="R253" i="2"/>
  <c r="Q253" i="2"/>
  <c r="S307" i="2"/>
  <c r="R307" i="2"/>
  <c r="Q307" i="2"/>
  <c r="T307" i="2" s="1"/>
  <c r="S376" i="2"/>
  <c r="R376" i="2"/>
  <c r="Q376" i="2"/>
  <c r="T376" i="2" s="1"/>
  <c r="O67" i="2"/>
  <c r="H260" i="3" s="1"/>
  <c r="I260" i="3" s="1"/>
  <c r="J260" i="3" s="1"/>
  <c r="R6" i="4"/>
  <c r="A7" i="4"/>
  <c r="B6" i="4"/>
  <c r="W4" i="4"/>
  <c r="O14" i="2"/>
  <c r="H207" i="3" s="1"/>
  <c r="I207" i="3" s="1"/>
  <c r="J207" i="3" s="1"/>
  <c r="O295" i="2"/>
  <c r="H123" i="3" s="1"/>
  <c r="I123" i="3" s="1"/>
  <c r="J123" i="3" s="1"/>
  <c r="O194" i="2"/>
  <c r="H22" i="3" s="1"/>
  <c r="I22" i="3" s="1"/>
  <c r="J22" i="3" s="1"/>
  <c r="O61" i="2"/>
  <c r="H254" i="3" s="1"/>
  <c r="I254" i="3" s="1"/>
  <c r="J254" i="3" s="1"/>
  <c r="O112" i="2"/>
  <c r="H306" i="3" s="1"/>
  <c r="I306" i="3" s="1"/>
  <c r="J306" i="3" s="1"/>
  <c r="O220" i="2"/>
  <c r="H48" i="3" s="1"/>
  <c r="I48" i="3" s="1"/>
  <c r="J48" i="3" s="1"/>
  <c r="O136" i="2"/>
  <c r="H330" i="3" s="1"/>
  <c r="I330" i="3" s="1"/>
  <c r="J330" i="3" s="1"/>
  <c r="O324" i="2"/>
  <c r="H152" i="3" s="1"/>
  <c r="I152" i="3" s="1"/>
  <c r="J152" i="3" s="1"/>
  <c r="O337" i="2"/>
  <c r="H165" i="3" s="1"/>
  <c r="I165" i="3" s="1"/>
  <c r="J165" i="3" s="1"/>
  <c r="O213" i="2"/>
  <c r="H41" i="3" s="1"/>
  <c r="I41" i="3" s="1"/>
  <c r="J41" i="3" s="1"/>
  <c r="O195" i="2"/>
  <c r="H23" i="3" s="1"/>
  <c r="I23" i="3" s="1"/>
  <c r="J23" i="3" s="1"/>
  <c r="O269" i="2"/>
  <c r="H97" i="3" s="1"/>
  <c r="I97" i="3" s="1"/>
  <c r="J97" i="3" s="1"/>
  <c r="O41" i="2"/>
  <c r="H234" i="3" s="1"/>
  <c r="I234" i="3" s="1"/>
  <c r="J234" i="3" s="1"/>
  <c r="O241" i="2"/>
  <c r="H69" i="3" s="1"/>
  <c r="I69" i="3" s="1"/>
  <c r="J69" i="3" s="1"/>
  <c r="O201" i="2"/>
  <c r="H29" i="3" s="1"/>
  <c r="I29" i="3" s="1"/>
  <c r="J29" i="3" s="1"/>
  <c r="O135" i="2"/>
  <c r="H329" i="3" s="1"/>
  <c r="I329" i="3" s="1"/>
  <c r="J329" i="3" s="1"/>
  <c r="O303" i="2"/>
  <c r="H131" i="3" s="1"/>
  <c r="I131" i="3" s="1"/>
  <c r="J131" i="3" s="1"/>
  <c r="O146" i="2"/>
  <c r="H340" i="3" s="1"/>
  <c r="I340" i="3" s="1"/>
  <c r="J340" i="3" s="1"/>
  <c r="O127" i="2"/>
  <c r="H321" i="3" s="1"/>
  <c r="I321" i="3" s="1"/>
  <c r="J321" i="3" s="1"/>
  <c r="R161" i="2"/>
  <c r="S161" i="2"/>
  <c r="Q161" i="2"/>
  <c r="T161" i="2" s="1"/>
  <c r="S225" i="2"/>
  <c r="R225" i="2"/>
  <c r="Q225" i="2"/>
  <c r="T225" i="2" s="1"/>
  <c r="S363" i="2"/>
  <c r="R363" i="2"/>
  <c r="Q363" i="2"/>
  <c r="T363" i="2" s="1"/>
  <c r="S280" i="2"/>
  <c r="Q280" i="2"/>
  <c r="R280" i="2"/>
  <c r="S154" i="2"/>
  <c r="R154" i="2"/>
  <c r="Q154" i="2"/>
  <c r="T154" i="2" s="1"/>
  <c r="S251" i="2"/>
  <c r="Q251" i="2"/>
  <c r="R251" i="2"/>
  <c r="S247" i="2"/>
  <c r="Q247" i="2"/>
  <c r="R247" i="2"/>
  <c r="S213" i="2"/>
  <c r="Q213" i="2"/>
  <c r="R213" i="2"/>
  <c r="S214" i="2"/>
  <c r="R214" i="2"/>
  <c r="Q214" i="2"/>
  <c r="T214" i="2" s="1"/>
  <c r="S369" i="2"/>
  <c r="R369" i="2"/>
  <c r="Q369" i="2"/>
  <c r="T369" i="2" s="1"/>
  <c r="S244" i="2"/>
  <c r="R244" i="2"/>
  <c r="Q244" i="2"/>
  <c r="S271" i="2"/>
  <c r="R271" i="2"/>
  <c r="Q271" i="2"/>
  <c r="S148" i="2"/>
  <c r="R148" i="2"/>
  <c r="Q148" i="2"/>
  <c r="T148" i="2" s="1"/>
  <c r="S24" i="2"/>
  <c r="Q24" i="2"/>
  <c r="R24" i="2"/>
  <c r="S28" i="2"/>
  <c r="R28" i="2"/>
  <c r="Q28" i="2"/>
  <c r="T28" i="2" s="1"/>
  <c r="S101" i="2"/>
  <c r="Q101" i="2"/>
  <c r="R101" i="2"/>
  <c r="S273" i="2"/>
  <c r="R273" i="2"/>
  <c r="Q273" i="2"/>
  <c r="T273" i="2" s="1"/>
  <c r="S186" i="2"/>
  <c r="Q186" i="2"/>
  <c r="R186" i="2"/>
  <c r="S146" i="2"/>
  <c r="R146" i="2"/>
  <c r="Q146" i="2"/>
  <c r="T146" i="2" s="1"/>
  <c r="S295" i="2"/>
  <c r="R295" i="2"/>
  <c r="Q295" i="2"/>
  <c r="T295" i="2" s="1"/>
  <c r="O234" i="2"/>
  <c r="H62" i="3" s="1"/>
  <c r="I62" i="3" s="1"/>
  <c r="J62" i="3" s="1"/>
  <c r="O32" i="2"/>
  <c r="H225" i="3" s="1"/>
  <c r="I225" i="3" s="1"/>
  <c r="J225" i="3" s="1"/>
  <c r="O114" i="2"/>
  <c r="H308" i="3" s="1"/>
  <c r="I308" i="3" s="1"/>
  <c r="J308" i="3" s="1"/>
  <c r="S98" i="2"/>
  <c r="R98" i="2"/>
  <c r="Q98" i="2"/>
  <c r="S71" i="2"/>
  <c r="R71" i="2"/>
  <c r="Q71" i="2"/>
  <c r="T71" i="2" s="1"/>
  <c r="S349" i="2"/>
  <c r="R349" i="2"/>
  <c r="Q349" i="2"/>
  <c r="T349" i="2" s="1"/>
  <c r="S367" i="2"/>
  <c r="Q367" i="2"/>
  <c r="R367" i="2"/>
  <c r="S275" i="2"/>
  <c r="R275" i="2"/>
  <c r="Q275" i="2"/>
  <c r="T275" i="2" s="1"/>
  <c r="S202" i="2"/>
  <c r="Q202" i="2"/>
  <c r="T202" i="2" s="1"/>
  <c r="R202" i="2"/>
  <c r="S320" i="2"/>
  <c r="Q320" i="2"/>
  <c r="T320" i="2" s="1"/>
  <c r="R320" i="2"/>
  <c r="S290" i="2"/>
  <c r="Q290" i="2"/>
  <c r="R290" i="2"/>
  <c r="S324" i="2"/>
  <c r="R324" i="2"/>
  <c r="Q324" i="2"/>
  <c r="T324" i="2" s="1"/>
  <c r="O86" i="2"/>
  <c r="H280" i="3" s="1"/>
  <c r="I280" i="3" s="1"/>
  <c r="J280" i="3" s="1"/>
  <c r="O99" i="2"/>
  <c r="H293" i="3" s="1"/>
  <c r="I293" i="3" s="1"/>
  <c r="J293" i="3" s="1"/>
  <c r="S27" i="2"/>
  <c r="R27" i="2"/>
  <c r="Q27" i="2"/>
  <c r="T27" i="2" s="1"/>
  <c r="S351" i="2"/>
  <c r="Q351" i="2"/>
  <c r="R351" i="2"/>
  <c r="S294" i="2"/>
  <c r="R294" i="2"/>
  <c r="Q294" i="2"/>
  <c r="T294" i="2" s="1"/>
  <c r="S65" i="2"/>
  <c r="R65" i="2"/>
  <c r="Q65" i="2"/>
  <c r="T65" i="2" s="1"/>
  <c r="S268" i="2"/>
  <c r="R268" i="2"/>
  <c r="Q268" i="2"/>
  <c r="T268" i="2" s="1"/>
  <c r="S212" i="2"/>
  <c r="Q212" i="2"/>
  <c r="R212" i="2"/>
  <c r="S232" i="2"/>
  <c r="Q232" i="2"/>
  <c r="T232" i="2" s="1"/>
  <c r="R232" i="2"/>
  <c r="S297" i="2"/>
  <c r="R297" i="2"/>
  <c r="Q297" i="2"/>
  <c r="S174" i="2"/>
  <c r="R174" i="2"/>
  <c r="Q174" i="2"/>
  <c r="T174" i="2" s="1"/>
  <c r="O196" i="2"/>
  <c r="H24" i="3" s="1"/>
  <c r="I24" i="3" s="1"/>
  <c r="J24" i="3" s="1"/>
  <c r="O21" i="2"/>
  <c r="H214" i="3" s="1"/>
  <c r="I214" i="3" s="1"/>
  <c r="J214" i="3" s="1"/>
  <c r="O368" i="2"/>
  <c r="H196" i="3" s="1"/>
  <c r="I196" i="3" s="1"/>
  <c r="J196" i="3" s="1"/>
  <c r="S337" i="2"/>
  <c r="Q337" i="2"/>
  <c r="R337" i="2"/>
  <c r="S279" i="2"/>
  <c r="R279" i="2"/>
  <c r="Q279" i="2"/>
  <c r="T279" i="2" s="1"/>
  <c r="S243" i="2"/>
  <c r="R243" i="2"/>
  <c r="Q243" i="2"/>
  <c r="T243" i="2" s="1"/>
  <c r="S302" i="2"/>
  <c r="R302" i="2"/>
  <c r="Q302" i="2"/>
  <c r="T302" i="2" s="1"/>
  <c r="S190" i="2"/>
  <c r="R190" i="2"/>
  <c r="Q190" i="2"/>
  <c r="T190" i="2" s="1"/>
  <c r="O40" i="2"/>
  <c r="H233" i="3" s="1"/>
  <c r="I233" i="3" s="1"/>
  <c r="J233" i="3" s="1"/>
  <c r="O361" i="2"/>
  <c r="H189" i="3" s="1"/>
  <c r="I189" i="3" s="1"/>
  <c r="J189" i="3" s="1"/>
  <c r="O166" i="2"/>
  <c r="H360" i="3" s="1"/>
  <c r="I360" i="3" s="1"/>
  <c r="J360" i="3" s="1"/>
  <c r="S372" i="2"/>
  <c r="Q372" i="2"/>
  <c r="R372" i="2"/>
  <c r="S99" i="2"/>
  <c r="R99" i="2"/>
  <c r="Q99" i="2"/>
  <c r="S263" i="2"/>
  <c r="Q263" i="2"/>
  <c r="R263" i="2"/>
  <c r="S26" i="2"/>
  <c r="Q26" i="2"/>
  <c r="R26" i="2"/>
  <c r="S55" i="2"/>
  <c r="R55" i="2"/>
  <c r="Q55" i="2"/>
  <c r="T55" i="2" s="1"/>
  <c r="S171" i="2"/>
  <c r="Q171" i="2"/>
  <c r="R171" i="2"/>
  <c r="S227" i="2"/>
  <c r="R227" i="2"/>
  <c r="Q227" i="2"/>
  <c r="S15" i="2"/>
  <c r="R15" i="2"/>
  <c r="Q15" i="2"/>
  <c r="S352" i="2"/>
  <c r="Q352" i="2"/>
  <c r="R352" i="2"/>
  <c r="O12" i="2"/>
  <c r="O202" i="2"/>
  <c r="H30" i="3" s="1"/>
  <c r="I30" i="3" s="1"/>
  <c r="J30" i="3" s="1"/>
  <c r="S216" i="2"/>
  <c r="Q216" i="2"/>
  <c r="R216" i="2"/>
  <c r="S23" i="2"/>
  <c r="R23" i="2"/>
  <c r="Q23" i="2"/>
  <c r="T23" i="2" s="1"/>
  <c r="S108" i="2"/>
  <c r="R108" i="2"/>
  <c r="Q108" i="2"/>
  <c r="T108" i="2" s="1"/>
  <c r="S218" i="2"/>
  <c r="R218" i="2"/>
  <c r="Q218" i="2"/>
  <c r="T218" i="2" s="1"/>
  <c r="S230" i="2"/>
  <c r="R230" i="2"/>
  <c r="Q230" i="2"/>
  <c r="T230" i="2" s="1"/>
  <c r="S31" i="2"/>
  <c r="Q31" i="2"/>
  <c r="R31" i="2"/>
  <c r="S222" i="2"/>
  <c r="Q222" i="2"/>
  <c r="R222" i="2"/>
  <c r="O150" i="2"/>
  <c r="H344" i="3" s="1"/>
  <c r="I344" i="3" s="1"/>
  <c r="J344" i="3" s="1"/>
  <c r="O347" i="2"/>
  <c r="H175" i="3" s="1"/>
  <c r="I175" i="3" s="1"/>
  <c r="J175" i="3" s="1"/>
  <c r="S185" i="2"/>
  <c r="R185" i="2"/>
  <c r="Q185" i="2"/>
  <c r="S56" i="2"/>
  <c r="Q56" i="2"/>
  <c r="R56" i="2"/>
  <c r="S112" i="2"/>
  <c r="R112" i="2"/>
  <c r="Q112" i="2"/>
  <c r="T112" i="2" s="1"/>
  <c r="S375" i="2"/>
  <c r="R375" i="2"/>
  <c r="Q375" i="2"/>
  <c r="T375" i="2" s="1"/>
  <c r="O131" i="2"/>
  <c r="H325" i="3" s="1"/>
  <c r="I325" i="3" s="1"/>
  <c r="J325" i="3" s="1"/>
  <c r="S80" i="2"/>
  <c r="R80" i="2"/>
  <c r="Q80" i="2"/>
  <c r="S220" i="2"/>
  <c r="R220" i="2"/>
  <c r="Q220" i="2"/>
  <c r="S198" i="2"/>
  <c r="R198" i="2"/>
  <c r="Q198" i="2"/>
  <c r="T198" i="2" s="1"/>
  <c r="S123" i="2"/>
  <c r="R123" i="2"/>
  <c r="Q123" i="2"/>
  <c r="T123" i="2" s="1"/>
  <c r="S252" i="2"/>
  <c r="Q252" i="2"/>
  <c r="R252" i="2"/>
  <c r="S370" i="2"/>
  <c r="Q370" i="2"/>
  <c r="R370" i="2"/>
  <c r="S189" i="2"/>
  <c r="R189" i="2"/>
  <c r="Q189" i="2"/>
  <c r="T189" i="2" s="1"/>
  <c r="O148" i="2"/>
  <c r="H342" i="3" s="1"/>
  <c r="I342" i="3" s="1"/>
  <c r="J342" i="3" s="1"/>
  <c r="O293" i="2"/>
  <c r="H121" i="3" s="1"/>
  <c r="I121" i="3" s="1"/>
  <c r="J121" i="3" s="1"/>
  <c r="S354" i="2"/>
  <c r="R354" i="2"/>
  <c r="Q354" i="2"/>
  <c r="T354" i="2" s="1"/>
  <c r="S274" i="2"/>
  <c r="R274" i="2"/>
  <c r="Q274" i="2"/>
  <c r="T274" i="2" s="1"/>
  <c r="S79" i="2"/>
  <c r="R79" i="2"/>
  <c r="Q79" i="2"/>
  <c r="T79" i="2" s="1"/>
  <c r="S205" i="2"/>
  <c r="R205" i="2"/>
  <c r="Q205" i="2"/>
  <c r="O237" i="2"/>
  <c r="H65" i="3" s="1"/>
  <c r="I65" i="3" s="1"/>
  <c r="J65" i="3" s="1"/>
  <c r="O326" i="2"/>
  <c r="H154" i="3" s="1"/>
  <c r="I154" i="3" s="1"/>
  <c r="J154" i="3" s="1"/>
  <c r="O185" i="2"/>
  <c r="H379" i="3" s="1"/>
  <c r="I379" i="3" s="1"/>
  <c r="J379" i="3" s="1"/>
  <c r="O284" i="2"/>
  <c r="H112" i="3" s="1"/>
  <c r="I112" i="3" s="1"/>
  <c r="J112" i="3" s="1"/>
  <c r="O129" i="2"/>
  <c r="H323" i="3" s="1"/>
  <c r="I323" i="3" s="1"/>
  <c r="J323" i="3" s="1"/>
  <c r="O222" i="2"/>
  <c r="H50" i="3" s="1"/>
  <c r="I50" i="3" s="1"/>
  <c r="J50" i="3" s="1"/>
  <c r="S226" i="2"/>
  <c r="R226" i="2"/>
  <c r="Q226" i="2"/>
  <c r="T226" i="2" s="1"/>
  <c r="S118" i="2"/>
  <c r="Q118" i="2"/>
  <c r="R118" i="2"/>
  <c r="S300" i="2"/>
  <c r="Q300" i="2"/>
  <c r="R300" i="2"/>
  <c r="S130" i="2"/>
  <c r="R130" i="2"/>
  <c r="Q130" i="2"/>
  <c r="T130" i="2" s="1"/>
  <c r="O119" i="2"/>
  <c r="H313" i="3" s="1"/>
  <c r="I313" i="3" s="1"/>
  <c r="J313" i="3" s="1"/>
  <c r="O66" i="2"/>
  <c r="H259" i="3" s="1"/>
  <c r="I259" i="3" s="1"/>
  <c r="J259" i="3" s="1"/>
  <c r="O270" i="2"/>
  <c r="H98" i="3" s="1"/>
  <c r="I98" i="3" s="1"/>
  <c r="J98" i="3" s="1"/>
  <c r="O362" i="2"/>
  <c r="H190" i="3" s="1"/>
  <c r="I190" i="3" s="1"/>
  <c r="J190" i="3" s="1"/>
  <c r="E13" i="2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52" i="2" s="1"/>
  <c r="E53" i="2" s="1"/>
  <c r="E54" i="2" s="1"/>
  <c r="E55" i="2" s="1"/>
  <c r="E56" i="2" s="1"/>
  <c r="E57" i="2" s="1"/>
  <c r="E58" i="2" s="1"/>
  <c r="E59" i="2" s="1"/>
  <c r="E60" i="2" s="1"/>
  <c r="E61" i="2" s="1"/>
  <c r="E62" i="2" s="1"/>
  <c r="E63" i="2" s="1"/>
  <c r="E64" i="2" s="1"/>
  <c r="E65" i="2" s="1"/>
  <c r="E66" i="2" s="1"/>
  <c r="E67" i="2" s="1"/>
  <c r="E68" i="2" s="1"/>
  <c r="E69" i="2" s="1"/>
  <c r="E70" i="2" s="1"/>
  <c r="E71" i="2" s="1"/>
  <c r="E72" i="2" s="1"/>
  <c r="E73" i="2" s="1"/>
  <c r="E74" i="2" s="1"/>
  <c r="E75" i="2" s="1"/>
  <c r="E76" i="2" s="1"/>
  <c r="E77" i="2" s="1"/>
  <c r="E78" i="2" s="1"/>
  <c r="E79" i="2" s="1"/>
  <c r="E80" i="2" s="1"/>
  <c r="E81" i="2" s="1"/>
  <c r="E82" i="2" s="1"/>
  <c r="E83" i="2" s="1"/>
  <c r="E84" i="2" s="1"/>
  <c r="E85" i="2" s="1"/>
  <c r="E86" i="2" s="1"/>
  <c r="E87" i="2" s="1"/>
  <c r="E88" i="2" s="1"/>
  <c r="E89" i="2" s="1"/>
  <c r="E90" i="2" s="1"/>
  <c r="E91" i="2" s="1"/>
  <c r="E92" i="2" s="1"/>
  <c r="E93" i="2" s="1"/>
  <c r="E94" i="2" s="1"/>
  <c r="E95" i="2" s="1"/>
  <c r="E96" i="2" s="1"/>
  <c r="E97" i="2" s="1"/>
  <c r="E98" i="2" s="1"/>
  <c r="E99" i="2" s="1"/>
  <c r="E100" i="2" s="1"/>
  <c r="E101" i="2" s="1"/>
  <c r="E102" i="2" s="1"/>
  <c r="E103" i="2" s="1"/>
  <c r="E104" i="2" s="1"/>
  <c r="E105" i="2" s="1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E146" i="2" s="1"/>
  <c r="E147" i="2" s="1"/>
  <c r="E148" i="2" s="1"/>
  <c r="E149" i="2" s="1"/>
  <c r="E150" i="2" s="1"/>
  <c r="E151" i="2" s="1"/>
  <c r="E152" i="2" s="1"/>
  <c r="E153" i="2" s="1"/>
  <c r="E154" i="2" s="1"/>
  <c r="E155" i="2" s="1"/>
  <c r="E156" i="2" s="1"/>
  <c r="E157" i="2" s="1"/>
  <c r="E158" i="2" s="1"/>
  <c r="E159" i="2" s="1"/>
  <c r="E160" i="2" s="1"/>
  <c r="E161" i="2" s="1"/>
  <c r="E162" i="2" s="1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E194" i="2" s="1"/>
  <c r="E195" i="2" s="1"/>
  <c r="E196" i="2" s="1"/>
  <c r="E197" i="2" s="1"/>
  <c r="E198" i="2" s="1"/>
  <c r="E199" i="2" s="1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E215" i="2" s="1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E242" i="2" s="1"/>
  <c r="E243" i="2" s="1"/>
  <c r="E244" i="2" s="1"/>
  <c r="E245" i="2" s="1"/>
  <c r="E246" i="2" s="1"/>
  <c r="E247" i="2" s="1"/>
  <c r="E248" i="2" s="1"/>
  <c r="E249" i="2" s="1"/>
  <c r="E250" i="2" s="1"/>
  <c r="E251" i="2" s="1"/>
  <c r="E252" i="2" s="1"/>
  <c r="E253" i="2" s="1"/>
  <c r="E254" i="2" s="1"/>
  <c r="E255" i="2" s="1"/>
  <c r="E256" i="2" s="1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E290" i="2" s="1"/>
  <c r="E291" i="2" s="1"/>
  <c r="E292" i="2" s="1"/>
  <c r="E293" i="2" s="1"/>
  <c r="E294" i="2" s="1"/>
  <c r="E295" i="2" s="1"/>
  <c r="E296" i="2" s="1"/>
  <c r="E297" i="2" s="1"/>
  <c r="E298" i="2" s="1"/>
  <c r="E299" i="2" s="1"/>
  <c r="E300" i="2" s="1"/>
  <c r="E301" i="2" s="1"/>
  <c r="E302" i="2" s="1"/>
  <c r="E303" i="2" s="1"/>
  <c r="E304" i="2" s="1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E338" i="2" s="1"/>
  <c r="E339" i="2" s="1"/>
  <c r="E340" i="2" s="1"/>
  <c r="E341" i="2" s="1"/>
  <c r="E342" i="2" s="1"/>
  <c r="E343" i="2" s="1"/>
  <c r="E344" i="2" s="1"/>
  <c r="E345" i="2" s="1"/>
  <c r="E346" i="2" s="1"/>
  <c r="E347" i="2" s="1"/>
  <c r="E348" i="2" s="1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E371" i="2" s="1"/>
  <c r="E372" i="2" s="1"/>
  <c r="E373" i="2" s="1"/>
  <c r="E374" i="2" s="1"/>
  <c r="E375" i="2" s="1"/>
  <c r="E376" i="2" s="1"/>
  <c r="B7" i="2"/>
  <c r="S133" i="2"/>
  <c r="Q133" i="2"/>
  <c r="R133" i="2"/>
  <c r="S194" i="2"/>
  <c r="R194" i="2"/>
  <c r="Q194" i="2"/>
  <c r="T194" i="2" s="1"/>
  <c r="S311" i="2"/>
  <c r="Q311" i="2"/>
  <c r="R311" i="2"/>
  <c r="S102" i="2"/>
  <c r="R102" i="2"/>
  <c r="Q102" i="2"/>
  <c r="T102" i="2" s="1"/>
  <c r="R116" i="2"/>
  <c r="S116" i="2"/>
  <c r="Q116" i="2"/>
  <c r="T116" i="2" s="1"/>
  <c r="S181" i="2"/>
  <c r="Q181" i="2"/>
  <c r="R181" i="2"/>
  <c r="S289" i="2"/>
  <c r="Q289" i="2"/>
  <c r="R289" i="2"/>
  <c r="S217" i="2"/>
  <c r="Q217" i="2"/>
  <c r="R217" i="2"/>
  <c r="S73" i="2"/>
  <c r="Q73" i="2"/>
  <c r="R73" i="2"/>
  <c r="S348" i="2"/>
  <c r="Q348" i="2"/>
  <c r="R348" i="2"/>
  <c r="S192" i="2"/>
  <c r="R192" i="2"/>
  <c r="Q192" i="2"/>
  <c r="T192" i="2" s="1"/>
  <c r="S17" i="2"/>
  <c r="R17" i="2"/>
  <c r="Q17" i="2"/>
  <c r="T17" i="2" s="1"/>
  <c r="S262" i="2"/>
  <c r="R262" i="2"/>
  <c r="Q262" i="2"/>
  <c r="S66" i="2"/>
  <c r="R66" i="2"/>
  <c r="Q66" i="2"/>
  <c r="S129" i="2"/>
  <c r="Q129" i="2"/>
  <c r="R129" i="2"/>
  <c r="S62" i="2"/>
  <c r="Q62" i="2"/>
  <c r="R62" i="2"/>
  <c r="S178" i="2"/>
  <c r="R178" i="2"/>
  <c r="Q178" i="2"/>
  <c r="T178" i="2" s="1"/>
  <c r="S136" i="2"/>
  <c r="Q136" i="2"/>
  <c r="R136" i="2"/>
  <c r="S164" i="2"/>
  <c r="R164" i="2"/>
  <c r="Q164" i="2"/>
  <c r="T164" i="2" s="1"/>
  <c r="S193" i="2"/>
  <c r="Q193" i="2"/>
  <c r="R193" i="2"/>
  <c r="S269" i="2"/>
  <c r="Q269" i="2"/>
  <c r="R269" i="2"/>
  <c r="S350" i="2"/>
  <c r="R350" i="2"/>
  <c r="Q350" i="2"/>
  <c r="T350" i="2" s="1"/>
  <c r="O235" i="2"/>
  <c r="H63" i="3" s="1"/>
  <c r="I63" i="3" s="1"/>
  <c r="J63" i="3" s="1"/>
  <c r="O281" i="2"/>
  <c r="H109" i="3" s="1"/>
  <c r="I109" i="3" s="1"/>
  <c r="J109" i="3" s="1"/>
  <c r="V5" i="4"/>
  <c r="S5" i="4"/>
  <c r="U5" i="4"/>
  <c r="O80" i="2"/>
  <c r="H274" i="3" s="1"/>
  <c r="I274" i="3" s="1"/>
  <c r="J274" i="3" s="1"/>
  <c r="O319" i="2"/>
  <c r="H147" i="3" s="1"/>
  <c r="I147" i="3" s="1"/>
  <c r="J147" i="3" s="1"/>
  <c r="O339" i="2"/>
  <c r="H167" i="3" s="1"/>
  <c r="I167" i="3" s="1"/>
  <c r="J167" i="3" s="1"/>
  <c r="O28" i="2"/>
  <c r="H221" i="3" s="1"/>
  <c r="I221" i="3" s="1"/>
  <c r="J221" i="3" s="1"/>
  <c r="O375" i="2"/>
  <c r="H203" i="3" s="1"/>
  <c r="I203" i="3" s="1"/>
  <c r="J203" i="3" s="1"/>
  <c r="O98" i="2"/>
  <c r="H292" i="3" s="1"/>
  <c r="I292" i="3" s="1"/>
  <c r="J292" i="3" s="1"/>
  <c r="O239" i="2"/>
  <c r="H67" i="3" s="1"/>
  <c r="I67" i="3" s="1"/>
  <c r="J67" i="3" s="1"/>
  <c r="O259" i="2"/>
  <c r="H87" i="3" s="1"/>
  <c r="I87" i="3" s="1"/>
  <c r="J87" i="3" s="1"/>
  <c r="O111" i="2"/>
  <c r="H305" i="3" s="1"/>
  <c r="I305" i="3" s="1"/>
  <c r="J305" i="3" s="1"/>
  <c r="O255" i="2"/>
  <c r="H83" i="3" s="1"/>
  <c r="I83" i="3" s="1"/>
  <c r="J83" i="3" s="1"/>
  <c r="O123" i="2"/>
  <c r="H317" i="3" s="1"/>
  <c r="I317" i="3" s="1"/>
  <c r="J317" i="3" s="1"/>
  <c r="O17" i="2"/>
  <c r="H210" i="3" s="1"/>
  <c r="I210" i="3" s="1"/>
  <c r="J210" i="3" s="1"/>
  <c r="O87" i="2"/>
  <c r="H281" i="3" s="1"/>
  <c r="I281" i="3" s="1"/>
  <c r="J281" i="3" s="1"/>
  <c r="O104" i="2"/>
  <c r="H298" i="3" s="1"/>
  <c r="I298" i="3" s="1"/>
  <c r="J298" i="3" s="1"/>
  <c r="O63" i="2"/>
  <c r="H256" i="3" s="1"/>
  <c r="I256" i="3" s="1"/>
  <c r="J256" i="3" s="1"/>
  <c r="O154" i="2"/>
  <c r="H348" i="3" s="1"/>
  <c r="I348" i="3" s="1"/>
  <c r="J348" i="3" s="1"/>
  <c r="O88" i="2"/>
  <c r="H282" i="3" s="1"/>
  <c r="I282" i="3" s="1"/>
  <c r="J282" i="3" s="1"/>
  <c r="O78" i="2"/>
  <c r="H272" i="3" s="1"/>
  <c r="I272" i="3" s="1"/>
  <c r="J272" i="3" s="1"/>
  <c r="O329" i="2"/>
  <c r="H157" i="3" s="1"/>
  <c r="I157" i="3" s="1"/>
  <c r="J157" i="3" s="1"/>
  <c r="T57" i="2" l="1"/>
  <c r="T165" i="2"/>
  <c r="T357" i="2"/>
  <c r="T289" i="2"/>
  <c r="T372" i="2"/>
  <c r="T169" i="2"/>
  <c r="T321" i="2"/>
  <c r="T298" i="2"/>
  <c r="T25" i="2"/>
  <c r="T304" i="2"/>
  <c r="T124" i="2"/>
  <c r="T171" i="2"/>
  <c r="T212" i="2"/>
  <c r="T54" i="2"/>
  <c r="T149" i="2"/>
  <c r="T158" i="2"/>
  <c r="T150" i="2"/>
  <c r="T133" i="2"/>
  <c r="T252" i="2"/>
  <c r="T216" i="2"/>
  <c r="C6" i="4"/>
  <c r="D6" i="4" s="1"/>
  <c r="G6" i="4"/>
  <c r="F6" i="4"/>
  <c r="H6" i="4"/>
  <c r="T334" i="2"/>
  <c r="T31" i="2"/>
  <c r="B7" i="4"/>
  <c r="A8" i="4"/>
  <c r="R7" i="4"/>
  <c r="T241" i="2"/>
  <c r="T228" i="2"/>
  <c r="T58" i="2"/>
  <c r="T34" i="2"/>
  <c r="T310" i="2"/>
  <c r="T110" i="2"/>
  <c r="T37" i="2"/>
  <c r="T284" i="2"/>
  <c r="T367" i="2"/>
  <c r="T40" i="2"/>
  <c r="T90" i="2"/>
  <c r="T296" i="2"/>
  <c r="T143" i="2"/>
  <c r="T62" i="2"/>
  <c r="H205" i="3"/>
  <c r="I205" i="3" s="1"/>
  <c r="J205" i="3" s="1"/>
  <c r="P7" i="2"/>
  <c r="T24" i="2"/>
  <c r="T259" i="2"/>
  <c r="T59" i="2"/>
  <c r="T359" i="2"/>
  <c r="T134" i="2"/>
  <c r="T166" i="2"/>
  <c r="T26" i="2"/>
  <c r="T191" i="2"/>
  <c r="T325" i="2"/>
  <c r="T56" i="2"/>
  <c r="T152" i="2"/>
  <c r="T155" i="2"/>
  <c r="E10" i="7"/>
  <c r="F10" i="7" s="1"/>
  <c r="T74" i="2"/>
  <c r="T187" i="2"/>
  <c r="T66" i="2"/>
  <c r="T73" i="2"/>
  <c r="T220" i="2"/>
  <c r="T185" i="2"/>
  <c r="T15" i="2"/>
  <c r="T263" i="2"/>
  <c r="T297" i="2"/>
  <c r="T271" i="2"/>
  <c r="T247" i="2"/>
  <c r="T221" i="2"/>
  <c r="T270" i="2"/>
  <c r="T361" i="2"/>
  <c r="T338" i="2"/>
  <c r="T292" i="2"/>
  <c r="T103" i="2"/>
  <c r="T210" i="2"/>
  <c r="T168" i="2"/>
  <c r="T318" i="2"/>
  <c r="T151" i="2"/>
  <c r="T119" i="2"/>
  <c r="T206" i="2"/>
  <c r="T61" i="2"/>
  <c r="T240" i="2"/>
  <c r="T345" i="2"/>
  <c r="T188" i="2"/>
  <c r="T370" i="2"/>
  <c r="T299" i="2"/>
  <c r="T222" i="2"/>
  <c r="T368" i="2"/>
  <c r="T180" i="2"/>
  <c r="T49" i="2"/>
  <c r="T118" i="2"/>
  <c r="T42" i="2"/>
  <c r="T353" i="2"/>
  <c r="T233" i="2"/>
  <c r="T181" i="2"/>
  <c r="T280" i="2"/>
  <c r="T267" i="2"/>
  <c r="T172" i="2"/>
  <c r="K23" i="3"/>
  <c r="K24" i="3" s="1"/>
  <c r="K25" i="3" s="1"/>
  <c r="K26" i="3" s="1"/>
  <c r="K27" i="3" s="1"/>
  <c r="K28" i="3" s="1"/>
  <c r="K29" i="3" s="1"/>
  <c r="K30" i="3" s="1"/>
  <c r="K31" i="3" s="1"/>
  <c r="K32" i="3" s="1"/>
  <c r="K33" i="3" s="1"/>
  <c r="K34" i="3" s="1"/>
  <c r="K35" i="3" s="1"/>
  <c r="K36" i="3" s="1"/>
  <c r="K37" i="3" s="1"/>
  <c r="K38" i="3" s="1"/>
  <c r="K39" i="3" s="1"/>
  <c r="K40" i="3" s="1"/>
  <c r="K41" i="3" s="1"/>
  <c r="K42" i="3" s="1"/>
  <c r="K43" i="3" s="1"/>
  <c r="K44" i="3" s="1"/>
  <c r="K45" i="3" s="1"/>
  <c r="K46" i="3" s="1"/>
  <c r="K47" i="3" s="1"/>
  <c r="K48" i="3" s="1"/>
  <c r="K49" i="3" s="1"/>
  <c r="K50" i="3" s="1"/>
  <c r="K51" i="3" s="1"/>
  <c r="K52" i="3" s="1"/>
  <c r="K53" i="3" s="1"/>
  <c r="K54" i="3" s="1"/>
  <c r="K55" i="3" s="1"/>
  <c r="K56" i="3" s="1"/>
  <c r="K57" i="3" s="1"/>
  <c r="K58" i="3" s="1"/>
  <c r="K59" i="3" s="1"/>
  <c r="K60" i="3" s="1"/>
  <c r="K61" i="3" s="1"/>
  <c r="K62" i="3" s="1"/>
  <c r="K63" i="3" s="1"/>
  <c r="K64" i="3" s="1"/>
  <c r="K65" i="3" s="1"/>
  <c r="K66" i="3" s="1"/>
  <c r="K67" i="3" s="1"/>
  <c r="K68" i="3" s="1"/>
  <c r="K69" i="3" s="1"/>
  <c r="K70" i="3" s="1"/>
  <c r="K71" i="3" s="1"/>
  <c r="K72" i="3" s="1"/>
  <c r="K73" i="3" s="1"/>
  <c r="K74" i="3" s="1"/>
  <c r="K75" i="3" s="1"/>
  <c r="K76" i="3" s="1"/>
  <c r="K77" i="3" s="1"/>
  <c r="K78" i="3" s="1"/>
  <c r="K79" i="3" s="1"/>
  <c r="K80" i="3" s="1"/>
  <c r="K81" i="3" s="1"/>
  <c r="K82" i="3" s="1"/>
  <c r="K83" i="3" s="1"/>
  <c r="K84" i="3" s="1"/>
  <c r="K85" i="3" s="1"/>
  <c r="K86" i="3" s="1"/>
  <c r="K87" i="3" s="1"/>
  <c r="K88" i="3" s="1"/>
  <c r="K89" i="3" s="1"/>
  <c r="K90" i="3" s="1"/>
  <c r="K91" i="3" s="1"/>
  <c r="K92" i="3" s="1"/>
  <c r="K93" i="3" s="1"/>
  <c r="K94" i="3" s="1"/>
  <c r="K95" i="3" s="1"/>
  <c r="K96" i="3" s="1"/>
  <c r="K97" i="3" s="1"/>
  <c r="K98" i="3" s="1"/>
  <c r="K99" i="3" s="1"/>
  <c r="K100" i="3" s="1"/>
  <c r="K101" i="3" s="1"/>
  <c r="K102" i="3" s="1"/>
  <c r="K103" i="3" s="1"/>
  <c r="K104" i="3" s="1"/>
  <c r="K105" i="3" s="1"/>
  <c r="K106" i="3" s="1"/>
  <c r="K107" i="3" s="1"/>
  <c r="K108" i="3" s="1"/>
  <c r="K109" i="3" s="1"/>
  <c r="K110" i="3" s="1"/>
  <c r="K111" i="3" s="1"/>
  <c r="K112" i="3" s="1"/>
  <c r="K113" i="3" s="1"/>
  <c r="K114" i="3" s="1"/>
  <c r="K115" i="3" s="1"/>
  <c r="K116" i="3" s="1"/>
  <c r="K117" i="3" s="1"/>
  <c r="K118" i="3" s="1"/>
  <c r="K119" i="3" s="1"/>
  <c r="K120" i="3" s="1"/>
  <c r="K121" i="3" s="1"/>
  <c r="K122" i="3" s="1"/>
  <c r="K123" i="3" s="1"/>
  <c r="K124" i="3" s="1"/>
  <c r="K125" i="3" s="1"/>
  <c r="K126" i="3" s="1"/>
  <c r="K127" i="3" s="1"/>
  <c r="K128" i="3" s="1"/>
  <c r="K129" i="3" s="1"/>
  <c r="K130" i="3" s="1"/>
  <c r="K131" i="3" s="1"/>
  <c r="K132" i="3" s="1"/>
  <c r="K133" i="3" s="1"/>
  <c r="K134" i="3" s="1"/>
  <c r="K135" i="3" s="1"/>
  <c r="K136" i="3" s="1"/>
  <c r="K137" i="3" s="1"/>
  <c r="K138" i="3" s="1"/>
  <c r="K139" i="3" s="1"/>
  <c r="K140" i="3" s="1"/>
  <c r="K141" i="3" s="1"/>
  <c r="K142" i="3" s="1"/>
  <c r="K143" i="3" s="1"/>
  <c r="K144" i="3" s="1"/>
  <c r="K145" i="3" s="1"/>
  <c r="K146" i="3" s="1"/>
  <c r="K147" i="3" s="1"/>
  <c r="K148" i="3" s="1"/>
  <c r="K149" i="3" s="1"/>
  <c r="K150" i="3" s="1"/>
  <c r="K151" i="3" s="1"/>
  <c r="K152" i="3" s="1"/>
  <c r="K153" i="3" s="1"/>
  <c r="K154" i="3" s="1"/>
  <c r="K155" i="3" s="1"/>
  <c r="K156" i="3" s="1"/>
  <c r="K157" i="3" s="1"/>
  <c r="K158" i="3" s="1"/>
  <c r="K159" i="3" s="1"/>
  <c r="K160" i="3" s="1"/>
  <c r="K161" i="3" s="1"/>
  <c r="K162" i="3" s="1"/>
  <c r="K163" i="3" s="1"/>
  <c r="K164" i="3" s="1"/>
  <c r="K165" i="3" s="1"/>
  <c r="K166" i="3" s="1"/>
  <c r="K167" i="3" s="1"/>
  <c r="K168" i="3" s="1"/>
  <c r="K169" i="3" s="1"/>
  <c r="K170" i="3" s="1"/>
  <c r="K171" i="3" s="1"/>
  <c r="K172" i="3" s="1"/>
  <c r="K173" i="3" s="1"/>
  <c r="K174" i="3" s="1"/>
  <c r="K175" i="3" s="1"/>
  <c r="K176" i="3" s="1"/>
  <c r="K177" i="3" s="1"/>
  <c r="K178" i="3" s="1"/>
  <c r="K179" i="3" s="1"/>
  <c r="K180" i="3" s="1"/>
  <c r="K181" i="3" s="1"/>
  <c r="K182" i="3" s="1"/>
  <c r="K183" i="3" s="1"/>
  <c r="K184" i="3" s="1"/>
  <c r="K185" i="3" s="1"/>
  <c r="K186" i="3" s="1"/>
  <c r="K187" i="3" s="1"/>
  <c r="K188" i="3" s="1"/>
  <c r="K189" i="3" s="1"/>
  <c r="K190" i="3" s="1"/>
  <c r="K191" i="3" s="1"/>
  <c r="K192" i="3" s="1"/>
  <c r="K193" i="3" s="1"/>
  <c r="K194" i="3" s="1"/>
  <c r="K195" i="3" s="1"/>
  <c r="K196" i="3" s="1"/>
  <c r="K197" i="3" s="1"/>
  <c r="K198" i="3" s="1"/>
  <c r="K199" i="3" s="1"/>
  <c r="K200" i="3" s="1"/>
  <c r="K201" i="3" s="1"/>
  <c r="K202" i="3" s="1"/>
  <c r="K203" i="3" s="1"/>
  <c r="K204" i="3" s="1"/>
  <c r="K205" i="3" s="1"/>
  <c r="T348" i="2"/>
  <c r="T213" i="2"/>
  <c r="T199" i="2"/>
  <c r="E8" i="7"/>
  <c r="F8" i="7" s="1"/>
  <c r="T12" i="2"/>
  <c r="T242" i="2"/>
  <c r="T306" i="2"/>
  <c r="T219" i="2"/>
  <c r="T129" i="2"/>
  <c r="T352" i="2"/>
  <c r="E9" i="7"/>
  <c r="F9" i="7" s="1"/>
  <c r="T145" i="2"/>
  <c r="T186" i="2"/>
  <c r="T99" i="2"/>
  <c r="T98" i="2"/>
  <c r="T253" i="2"/>
  <c r="T109" i="2"/>
  <c r="T95" i="2"/>
  <c r="T88" i="2"/>
  <c r="T63" i="2"/>
  <c r="T265" i="2"/>
  <c r="T16" i="2"/>
  <c r="T140" i="2"/>
  <c r="T105" i="2"/>
  <c r="T72" i="2"/>
  <c r="T92" i="2"/>
  <c r="T138" i="2"/>
  <c r="T41" i="2"/>
  <c r="T93" i="2"/>
  <c r="T183" i="2"/>
  <c r="T131" i="2"/>
  <c r="T209" i="2"/>
  <c r="T332" i="2"/>
  <c r="T317" i="2"/>
  <c r="T277" i="2"/>
  <c r="T288" i="2"/>
  <c r="T136" i="2"/>
  <c r="T300" i="2"/>
  <c r="T101" i="2"/>
  <c r="T113" i="2"/>
  <c r="T122" i="2"/>
  <c r="T215" i="2"/>
  <c r="T107" i="2"/>
  <c r="T342" i="2"/>
  <c r="T234" i="2"/>
  <c r="T373" i="2"/>
  <c r="T360" i="2"/>
  <c r="T337" i="2"/>
  <c r="V6" i="4"/>
  <c r="S6" i="4"/>
  <c r="U6" i="4"/>
  <c r="W6" i="4" s="1"/>
  <c r="B8" i="2"/>
  <c r="T29" i="2"/>
  <c r="T269" i="2"/>
  <c r="T336" i="2"/>
  <c r="T69" i="2"/>
  <c r="T258" i="2"/>
  <c r="T104" i="2"/>
  <c r="T362" i="2"/>
  <c r="T89" i="2"/>
  <c r="T290" i="2"/>
  <c r="T96" i="2"/>
  <c r="T127" i="2"/>
  <c r="T38" i="2"/>
  <c r="T193" i="2"/>
  <c r="T156" i="2"/>
  <c r="T147" i="2"/>
  <c r="T139" i="2"/>
  <c r="T335" i="2"/>
  <c r="T329" i="2"/>
  <c r="T311" i="2"/>
  <c r="W5" i="4"/>
  <c r="T262" i="2"/>
  <c r="T217" i="2"/>
  <c r="T205" i="2"/>
  <c r="T80" i="2"/>
  <c r="T227" i="2"/>
  <c r="T351" i="2"/>
  <c r="T244" i="2"/>
  <c r="T251" i="2"/>
  <c r="T200" i="2"/>
  <c r="T114" i="2"/>
  <c r="T278" i="2"/>
  <c r="T157" i="2"/>
  <c r="T248" i="2"/>
  <c r="T208" i="2"/>
  <c r="T358" i="2"/>
  <c r="T257" i="2"/>
  <c r="T315" i="2"/>
  <c r="T67" i="2"/>
  <c r="T162" i="2"/>
  <c r="T170" i="2"/>
  <c r="T117" i="2"/>
  <c r="T33" i="2"/>
  <c r="T142" i="2"/>
  <c r="T141" i="2"/>
  <c r="T211" i="2"/>
  <c r="A9" i="4" l="1"/>
  <c r="R8" i="4"/>
  <c r="B8" i="4"/>
  <c r="G7" i="4"/>
  <c r="C7" i="4"/>
  <c r="D7" i="4" s="1"/>
  <c r="F7" i="4"/>
  <c r="H7" i="4"/>
  <c r="S7" i="2"/>
  <c r="E9" i="1" s="1"/>
  <c r="J9" i="1" s="1"/>
  <c r="K206" i="3"/>
  <c r="K207" i="3" s="1"/>
  <c r="K208" i="3" s="1"/>
  <c r="K209" i="3" s="1"/>
  <c r="K210" i="3" s="1"/>
  <c r="K211" i="3" s="1"/>
  <c r="K212" i="3" s="1"/>
  <c r="K213" i="3" s="1"/>
  <c r="K214" i="3" s="1"/>
  <c r="K215" i="3" s="1"/>
  <c r="K216" i="3" s="1"/>
  <c r="K217" i="3" s="1"/>
  <c r="K218" i="3" s="1"/>
  <c r="K219" i="3" s="1"/>
  <c r="K220" i="3" s="1"/>
  <c r="K221" i="3" s="1"/>
  <c r="K222" i="3" s="1"/>
  <c r="K223" i="3" s="1"/>
  <c r="K224" i="3" s="1"/>
  <c r="K225" i="3" s="1"/>
  <c r="K226" i="3" s="1"/>
  <c r="K227" i="3" s="1"/>
  <c r="K228" i="3" s="1"/>
  <c r="K229" i="3" s="1"/>
  <c r="K230" i="3" s="1"/>
  <c r="K231" i="3" s="1"/>
  <c r="K232" i="3" s="1"/>
  <c r="K233" i="3" s="1"/>
  <c r="K234" i="3" s="1"/>
  <c r="K235" i="3" s="1"/>
  <c r="K236" i="3" s="1"/>
  <c r="K237" i="3" s="1"/>
  <c r="K238" i="3" s="1"/>
  <c r="K239" i="3" s="1"/>
  <c r="K240" i="3" s="1"/>
  <c r="K241" i="3" s="1"/>
  <c r="K242" i="3" s="1"/>
  <c r="K243" i="3" s="1"/>
  <c r="K244" i="3" s="1"/>
  <c r="K245" i="3" s="1"/>
  <c r="K246" i="3" s="1"/>
  <c r="K247" i="3" s="1"/>
  <c r="K248" i="3" s="1"/>
  <c r="K249" i="3" s="1"/>
  <c r="K250" i="3" s="1"/>
  <c r="K251" i="3" s="1"/>
  <c r="K252" i="3" s="1"/>
  <c r="K253" i="3" s="1"/>
  <c r="K254" i="3" s="1"/>
  <c r="K255" i="3" s="1"/>
  <c r="K256" i="3" s="1"/>
  <c r="K257" i="3" s="1"/>
  <c r="K258" i="3" s="1"/>
  <c r="K259" i="3" s="1"/>
  <c r="K260" i="3" s="1"/>
  <c r="K261" i="3" s="1"/>
  <c r="K262" i="3" s="1"/>
  <c r="K263" i="3" s="1"/>
  <c r="K264" i="3" s="1"/>
  <c r="K265" i="3" s="1"/>
  <c r="K266" i="3" s="1"/>
  <c r="K267" i="3" s="1"/>
  <c r="K268" i="3" s="1"/>
  <c r="K269" i="3" s="1"/>
  <c r="K270" i="3" s="1"/>
  <c r="K271" i="3" s="1"/>
  <c r="K272" i="3" s="1"/>
  <c r="K273" i="3" s="1"/>
  <c r="K274" i="3" s="1"/>
  <c r="K275" i="3" s="1"/>
  <c r="K276" i="3" s="1"/>
  <c r="K277" i="3" s="1"/>
  <c r="K278" i="3" s="1"/>
  <c r="K279" i="3" s="1"/>
  <c r="K280" i="3" s="1"/>
  <c r="K281" i="3" s="1"/>
  <c r="K282" i="3" s="1"/>
  <c r="K283" i="3" s="1"/>
  <c r="K284" i="3" s="1"/>
  <c r="K285" i="3" s="1"/>
  <c r="K286" i="3" s="1"/>
  <c r="K287" i="3" s="1"/>
  <c r="K288" i="3" s="1"/>
  <c r="K289" i="3" s="1"/>
  <c r="K290" i="3" s="1"/>
  <c r="K291" i="3" s="1"/>
  <c r="K292" i="3" s="1"/>
  <c r="K293" i="3" s="1"/>
  <c r="K294" i="3" s="1"/>
  <c r="K295" i="3" s="1"/>
  <c r="K296" i="3" s="1"/>
  <c r="K297" i="3" s="1"/>
  <c r="K298" i="3" s="1"/>
  <c r="K299" i="3" s="1"/>
  <c r="K300" i="3" s="1"/>
  <c r="K301" i="3" s="1"/>
  <c r="K302" i="3" s="1"/>
  <c r="K303" i="3" s="1"/>
  <c r="K304" i="3" s="1"/>
  <c r="K305" i="3" s="1"/>
  <c r="K306" i="3" s="1"/>
  <c r="K307" i="3" s="1"/>
  <c r="K308" i="3" s="1"/>
  <c r="K309" i="3" s="1"/>
  <c r="K310" i="3" s="1"/>
  <c r="K311" i="3" s="1"/>
  <c r="K312" i="3" s="1"/>
  <c r="K313" i="3" s="1"/>
  <c r="K314" i="3" s="1"/>
  <c r="K315" i="3" s="1"/>
  <c r="K316" i="3" s="1"/>
  <c r="K317" i="3" s="1"/>
  <c r="K318" i="3" s="1"/>
  <c r="K319" i="3" s="1"/>
  <c r="K320" i="3" s="1"/>
  <c r="K321" i="3" s="1"/>
  <c r="K322" i="3" s="1"/>
  <c r="K323" i="3" s="1"/>
  <c r="K324" i="3" s="1"/>
  <c r="K325" i="3" s="1"/>
  <c r="K326" i="3" s="1"/>
  <c r="K327" i="3" s="1"/>
  <c r="K328" i="3" s="1"/>
  <c r="K329" i="3" s="1"/>
  <c r="K330" i="3" s="1"/>
  <c r="K331" i="3" s="1"/>
  <c r="K332" i="3" s="1"/>
  <c r="K333" i="3" s="1"/>
  <c r="K334" i="3" s="1"/>
  <c r="K335" i="3" s="1"/>
  <c r="K336" i="3" s="1"/>
  <c r="K337" i="3" s="1"/>
  <c r="K338" i="3" s="1"/>
  <c r="K339" i="3" s="1"/>
  <c r="K340" i="3" s="1"/>
  <c r="K341" i="3" s="1"/>
  <c r="K342" i="3" s="1"/>
  <c r="K343" i="3" s="1"/>
  <c r="K344" i="3" s="1"/>
  <c r="K345" i="3" s="1"/>
  <c r="K346" i="3" s="1"/>
  <c r="K347" i="3" s="1"/>
  <c r="K348" i="3" s="1"/>
  <c r="K349" i="3" s="1"/>
  <c r="K350" i="3" s="1"/>
  <c r="K351" i="3" s="1"/>
  <c r="K352" i="3" s="1"/>
  <c r="K353" i="3" s="1"/>
  <c r="K354" i="3" s="1"/>
  <c r="K355" i="3" s="1"/>
  <c r="K356" i="3" s="1"/>
  <c r="K357" i="3" s="1"/>
  <c r="K358" i="3" s="1"/>
  <c r="K359" i="3" s="1"/>
  <c r="K360" i="3" s="1"/>
  <c r="K361" i="3" s="1"/>
  <c r="K362" i="3" s="1"/>
  <c r="K363" i="3" s="1"/>
  <c r="K364" i="3" s="1"/>
  <c r="K365" i="3" s="1"/>
  <c r="K366" i="3" s="1"/>
  <c r="K367" i="3" s="1"/>
  <c r="K368" i="3" s="1"/>
  <c r="K369" i="3" s="1"/>
  <c r="K370" i="3" s="1"/>
  <c r="K371" i="3" s="1"/>
  <c r="K372" i="3" s="1"/>
  <c r="K373" i="3" s="1"/>
  <c r="K374" i="3" s="1"/>
  <c r="K375" i="3" s="1"/>
  <c r="K376" i="3" s="1"/>
  <c r="K377" i="3" s="1"/>
  <c r="K378" i="3" s="1"/>
  <c r="K379" i="3" s="1"/>
  <c r="K380" i="3" s="1"/>
  <c r="K381" i="3" s="1"/>
  <c r="K382" i="3" s="1"/>
  <c r="K383" i="3" s="1"/>
  <c r="K384" i="3" s="1"/>
  <c r="K385" i="3" s="1"/>
  <c r="K386" i="3" s="1"/>
  <c r="V7" i="4"/>
  <c r="S7" i="4"/>
  <c r="U7" i="4"/>
  <c r="W7" i="4" s="1"/>
  <c r="C23" i="7"/>
  <c r="D23" i="7" s="1"/>
  <c r="D25" i="7" s="1"/>
  <c r="E12" i="1"/>
  <c r="J12" i="1" s="1"/>
  <c r="I6" i="4"/>
  <c r="F25" i="7"/>
  <c r="O10" i="3" l="1"/>
  <c r="G26" i="7"/>
  <c r="J6" i="7" s="1"/>
  <c r="J7" i="7" s="1"/>
  <c r="E6" i="1" s="1"/>
  <c r="J6" i="1" s="1"/>
  <c r="I7" i="4"/>
  <c r="R9" i="4"/>
  <c r="B9" i="4"/>
  <c r="A10" i="4"/>
  <c r="G8" i="4"/>
  <c r="C8" i="4"/>
  <c r="D8" i="4" s="1"/>
  <c r="F8" i="4"/>
  <c r="I8" i="4" s="1"/>
  <c r="H8" i="4"/>
  <c r="V8" i="4"/>
  <c r="S8" i="4"/>
  <c r="U8" i="4"/>
  <c r="W8" i="4" s="1"/>
  <c r="R10" i="4" l="1"/>
  <c r="A11" i="4"/>
  <c r="B10" i="4"/>
  <c r="C9" i="4"/>
  <c r="D9" i="4" s="1"/>
  <c r="G9" i="4"/>
  <c r="F9" i="4"/>
  <c r="I9" i="4" s="1"/>
  <c r="H9" i="4"/>
  <c r="V9" i="4"/>
  <c r="S9" i="4"/>
  <c r="U9" i="4"/>
  <c r="W9" i="4" s="1"/>
  <c r="P10" i="3"/>
  <c r="E40" i="1" s="1"/>
  <c r="J13" i="1"/>
  <c r="R11" i="4" l="1"/>
  <c r="A12" i="4"/>
  <c r="B11" i="4"/>
  <c r="V10" i="4"/>
  <c r="S10" i="4"/>
  <c r="U10" i="4"/>
  <c r="W10" i="4" s="1"/>
  <c r="C10" i="4"/>
  <c r="D10" i="4" s="1"/>
  <c r="G10" i="4"/>
  <c r="F10" i="4"/>
  <c r="H10" i="4"/>
  <c r="I10" i="4" l="1"/>
  <c r="G11" i="4"/>
  <c r="C11" i="4"/>
  <c r="D11" i="4" s="1"/>
  <c r="F11" i="4"/>
  <c r="H11" i="4"/>
  <c r="A13" i="4"/>
  <c r="R12" i="4"/>
  <c r="B12" i="4"/>
  <c r="V11" i="4"/>
  <c r="S11" i="4"/>
  <c r="U11" i="4"/>
  <c r="W11" i="4" s="1"/>
  <c r="C12" i="4" l="1"/>
  <c r="D12" i="4" s="1"/>
  <c r="G12" i="4"/>
  <c r="F12" i="4"/>
  <c r="H12" i="4"/>
  <c r="V12" i="4"/>
  <c r="S12" i="4"/>
  <c r="U12" i="4"/>
  <c r="W12" i="4" s="1"/>
  <c r="A14" i="4"/>
  <c r="B13" i="4"/>
  <c r="R13" i="4"/>
  <c r="I11" i="4"/>
  <c r="V13" i="4" l="1"/>
  <c r="S13" i="4"/>
  <c r="U13" i="4"/>
  <c r="W13" i="4" s="1"/>
  <c r="C13" i="4"/>
  <c r="D13" i="4" s="1"/>
  <c r="G13" i="4"/>
  <c r="F13" i="4"/>
  <c r="H13" i="4"/>
  <c r="R14" i="4"/>
  <c r="A15" i="4"/>
  <c r="B14" i="4"/>
  <c r="I12" i="4"/>
  <c r="C14" i="4" l="1"/>
  <c r="D14" i="4" s="1"/>
  <c r="G14" i="4"/>
  <c r="F14" i="4"/>
  <c r="I14" i="4" s="1"/>
  <c r="H14" i="4"/>
  <c r="R15" i="4"/>
  <c r="A16" i="4"/>
  <c r="B15" i="4"/>
  <c r="V14" i="4"/>
  <c r="S14" i="4"/>
  <c r="U14" i="4"/>
  <c r="W14" i="4" s="1"/>
  <c r="I13" i="4"/>
  <c r="V15" i="4" l="1"/>
  <c r="S15" i="4"/>
  <c r="U15" i="4"/>
  <c r="G15" i="4"/>
  <c r="C15" i="4"/>
  <c r="D15" i="4" s="1"/>
  <c r="F15" i="4"/>
  <c r="H15" i="4"/>
  <c r="A17" i="4"/>
  <c r="R16" i="4"/>
  <c r="B16" i="4"/>
  <c r="W15" i="4" l="1"/>
  <c r="G16" i="4"/>
  <c r="C16" i="4"/>
  <c r="D16" i="4" s="1"/>
  <c r="F16" i="4"/>
  <c r="H16" i="4"/>
  <c r="V16" i="4"/>
  <c r="S16" i="4"/>
  <c r="U16" i="4"/>
  <c r="W16" i="4" s="1"/>
  <c r="B17" i="4"/>
  <c r="A18" i="4"/>
  <c r="R17" i="4"/>
  <c r="I15" i="4"/>
  <c r="V17" i="4" l="1"/>
  <c r="S17" i="4"/>
  <c r="U17" i="4"/>
  <c r="W17" i="4" s="1"/>
  <c r="C17" i="4"/>
  <c r="D17" i="4" s="1"/>
  <c r="G17" i="4"/>
  <c r="F17" i="4"/>
  <c r="H17" i="4"/>
  <c r="A19" i="4"/>
  <c r="R18" i="4"/>
  <c r="B18" i="4"/>
  <c r="I16" i="4"/>
  <c r="C18" i="4" l="1"/>
  <c r="D18" i="4" s="1"/>
  <c r="G18" i="4"/>
  <c r="F18" i="4"/>
  <c r="I18" i="4" s="1"/>
  <c r="H18" i="4"/>
  <c r="V18" i="4"/>
  <c r="S18" i="4"/>
  <c r="U18" i="4"/>
  <c r="B19" i="4"/>
  <c r="A20" i="4"/>
  <c r="R19" i="4"/>
  <c r="I17" i="4"/>
  <c r="A21" i="4" l="1"/>
  <c r="R20" i="4"/>
  <c r="B20" i="4"/>
  <c r="W18" i="4"/>
  <c r="V19" i="4"/>
  <c r="S19" i="4"/>
  <c r="U19" i="4"/>
  <c r="W19" i="4" s="1"/>
  <c r="G19" i="4"/>
  <c r="C19" i="4"/>
  <c r="D19" i="4" s="1"/>
  <c r="F19" i="4"/>
  <c r="H19" i="4"/>
  <c r="B21" i="4" l="1"/>
  <c r="R21" i="4"/>
  <c r="A22" i="4"/>
  <c r="I19" i="4"/>
  <c r="V20" i="4"/>
  <c r="S20" i="4"/>
  <c r="U20" i="4"/>
  <c r="W20" i="4" s="1"/>
  <c r="G20" i="4"/>
  <c r="C20" i="4"/>
  <c r="D20" i="4" s="1"/>
  <c r="F20" i="4"/>
  <c r="H20" i="4"/>
  <c r="B22" i="4" l="1"/>
  <c r="A23" i="4"/>
  <c r="R22" i="4"/>
  <c r="V21" i="4"/>
  <c r="S21" i="4"/>
  <c r="U21" i="4"/>
  <c r="W21" i="4" s="1"/>
  <c r="C21" i="4"/>
  <c r="D21" i="4" s="1"/>
  <c r="G21" i="4"/>
  <c r="F21" i="4"/>
  <c r="H21" i="4"/>
  <c r="I20" i="4"/>
  <c r="I21" i="4" l="1"/>
  <c r="V22" i="4"/>
  <c r="S22" i="4"/>
  <c r="U22" i="4"/>
  <c r="W22" i="4" s="1"/>
  <c r="A24" i="4"/>
  <c r="R23" i="4"/>
  <c r="B23" i="4"/>
  <c r="C22" i="4"/>
  <c r="D22" i="4" s="1"/>
  <c r="G22" i="4"/>
  <c r="F22" i="4"/>
  <c r="H22" i="4"/>
  <c r="I22" i="4" l="1"/>
  <c r="G23" i="4"/>
  <c r="C23" i="4"/>
  <c r="D23" i="4" s="1"/>
  <c r="F23" i="4"/>
  <c r="H23" i="4"/>
  <c r="V23" i="4"/>
  <c r="S23" i="4"/>
  <c r="U23" i="4"/>
  <c r="W23" i="4" s="1"/>
  <c r="A25" i="4"/>
  <c r="R24" i="4"/>
  <c r="B24" i="4"/>
  <c r="G24" i="4" l="1"/>
  <c r="C24" i="4"/>
  <c r="D24" i="4" s="1"/>
  <c r="F24" i="4"/>
  <c r="I24" i="4" s="1"/>
  <c r="H24" i="4"/>
  <c r="V24" i="4"/>
  <c r="S24" i="4"/>
  <c r="U24" i="4"/>
  <c r="W24" i="4" s="1"/>
  <c r="B25" i="4"/>
  <c r="A26" i="4"/>
  <c r="R25" i="4"/>
  <c r="I23" i="4"/>
  <c r="V25" i="4" l="1"/>
  <c r="S25" i="4"/>
  <c r="U25" i="4"/>
  <c r="A27" i="4"/>
  <c r="R26" i="4"/>
  <c r="B26" i="4"/>
  <c r="G25" i="4"/>
  <c r="C25" i="4"/>
  <c r="D25" i="4" s="1"/>
  <c r="F25" i="4"/>
  <c r="H25" i="4"/>
  <c r="I25" i="4" l="1"/>
  <c r="C26" i="4"/>
  <c r="D26" i="4" s="1"/>
  <c r="G26" i="4"/>
  <c r="F26" i="4"/>
  <c r="H26" i="4"/>
  <c r="V26" i="4"/>
  <c r="S26" i="4"/>
  <c r="U26" i="4"/>
  <c r="W26" i="4" s="1"/>
  <c r="B27" i="4"/>
  <c r="A28" i="4"/>
  <c r="R27" i="4"/>
  <c r="W25" i="4"/>
  <c r="V27" i="4" l="1"/>
  <c r="S27" i="4"/>
  <c r="U27" i="4"/>
  <c r="W27" i="4" s="1"/>
  <c r="R28" i="4"/>
  <c r="A29" i="4"/>
  <c r="B28" i="4"/>
  <c r="G27" i="4"/>
  <c r="C27" i="4"/>
  <c r="D27" i="4" s="1"/>
  <c r="F27" i="4"/>
  <c r="H27" i="4"/>
  <c r="I26" i="4"/>
  <c r="I27" i="4" l="1"/>
  <c r="G28" i="4"/>
  <c r="C28" i="4"/>
  <c r="D28" i="4" s="1"/>
  <c r="F28" i="4"/>
  <c r="H28" i="4"/>
  <c r="A30" i="4"/>
  <c r="B29" i="4"/>
  <c r="R29" i="4"/>
  <c r="V28" i="4"/>
  <c r="S28" i="4"/>
  <c r="U28" i="4"/>
  <c r="W28" i="4" s="1"/>
  <c r="V29" i="4" l="1"/>
  <c r="S29" i="4"/>
  <c r="U29" i="4"/>
  <c r="W29" i="4" s="1"/>
  <c r="C29" i="4"/>
  <c r="D29" i="4" s="1"/>
  <c r="G29" i="4"/>
  <c r="F29" i="4"/>
  <c r="H29" i="4"/>
  <c r="B30" i="4"/>
  <c r="A31" i="4"/>
  <c r="R30" i="4"/>
  <c r="I28" i="4"/>
  <c r="V30" i="4" l="1"/>
  <c r="S30" i="4"/>
  <c r="U30" i="4"/>
  <c r="W30" i="4" s="1"/>
  <c r="C30" i="4"/>
  <c r="D30" i="4" s="1"/>
  <c r="G30" i="4"/>
  <c r="F30" i="4"/>
  <c r="H30" i="4"/>
  <c r="A32" i="4"/>
  <c r="R31" i="4"/>
  <c r="B31" i="4"/>
  <c r="I29" i="4"/>
  <c r="G31" i="4" l="1"/>
  <c r="C31" i="4"/>
  <c r="D31" i="4" s="1"/>
  <c r="F31" i="4"/>
  <c r="I31" i="4" s="1"/>
  <c r="H31" i="4"/>
  <c r="V31" i="4"/>
  <c r="S31" i="4"/>
  <c r="U31" i="4"/>
  <c r="W31" i="4" s="1"/>
  <c r="R32" i="4"/>
  <c r="B32" i="4"/>
  <c r="I30" i="4"/>
  <c r="G32" i="4" l="1"/>
  <c r="C32" i="4"/>
  <c r="D32" i="4" s="1"/>
  <c r="F32" i="4"/>
  <c r="H32" i="4"/>
  <c r="V32" i="4"/>
  <c r="S32" i="4"/>
  <c r="U32" i="4"/>
  <c r="W32" i="4" s="1"/>
  <c r="I32" i="4" l="1"/>
</calcChain>
</file>

<file path=xl/sharedStrings.xml><?xml version="1.0" encoding="utf-8"?>
<sst xmlns="http://schemas.openxmlformats.org/spreadsheetml/2006/main" count="974" uniqueCount="312">
  <si>
    <t>Catchment Parameters</t>
  </si>
  <si>
    <t>Values we Change</t>
  </si>
  <si>
    <t>Fixed Values (set by project)</t>
  </si>
  <si>
    <t>Storage Tank Parameters</t>
  </si>
  <si>
    <t>Values impacted by other cells/calculations</t>
  </si>
  <si>
    <t>Pump Parameters</t>
  </si>
  <si>
    <t>Numerical / Numerically Influential Parameters</t>
  </si>
  <si>
    <t>Parameter</t>
  </si>
  <si>
    <t>Unit</t>
  </si>
  <si>
    <t>Filtration Parameters</t>
  </si>
  <si>
    <t>Consumption</t>
  </si>
  <si>
    <t>Disinfection Parameters</t>
  </si>
  <si>
    <t>[L/day]</t>
  </si>
  <si>
    <t>Satisfaction Curve Values</t>
  </si>
  <si>
    <t>Our Value</t>
  </si>
  <si>
    <t>Weights</t>
  </si>
  <si>
    <t>Min</t>
  </si>
  <si>
    <t>Max</t>
  </si>
  <si>
    <t>Units</t>
  </si>
  <si>
    <t>Power Parameters</t>
  </si>
  <si>
    <t>Satisfaction</t>
  </si>
  <si>
    <t>Storage Tank Coordinates (x-value)</t>
  </si>
  <si>
    <t>[m]</t>
  </si>
  <si>
    <t>Catchment Area</t>
  </si>
  <si>
    <t>Consumption (C)</t>
  </si>
  <si>
    <t>[m^2]</t>
  </si>
  <si>
    <t>Tank Volume</t>
  </si>
  <si>
    <t>[m^3]</t>
  </si>
  <si>
    <t>Pump Chosen</t>
  </si>
  <si>
    <t>Storage Tank Coordinates (y-value)</t>
  </si>
  <si>
    <t>Relative Cost (C_r)</t>
  </si>
  <si>
    <t>[-]</t>
  </si>
  <si>
    <t xml:space="preserve">Location                                     </t>
  </si>
  <si>
    <t>% relative to shipping water</t>
  </si>
  <si>
    <t>Chemical Treatment</t>
  </si>
  <si>
    <t>Strategy</t>
  </si>
  <si>
    <t>Health &amp; Environmental Risk Exposure (E) - *no diesel or chlorine in our RWH system</t>
  </si>
  <si>
    <t>N/A</t>
  </si>
  <si>
    <t>Power system greenhouse gas emissions (G)</t>
  </si>
  <si>
    <t>Tank Height</t>
  </si>
  <si>
    <t>Pump Efficiency</t>
  </si>
  <si>
    <t>[ % ]</t>
  </si>
  <si>
    <t>Additonal Filters</t>
  </si>
  <si>
    <t>Contact Time</t>
  </si>
  <si>
    <t>[min]</t>
  </si>
  <si>
    <t>Model</t>
  </si>
  <si>
    <t>A</t>
  </si>
  <si>
    <t>Maintenance Occurances (M)</t>
  </si>
  <si>
    <t>Pipe Length</t>
  </si>
  <si>
    <t>#/year</t>
  </si>
  <si>
    <t>Qmax</t>
  </si>
  <si>
    <t>Full Roof</t>
  </si>
  <si>
    <t>Non potable water supply (NP)</t>
  </si>
  <si>
    <t xml:space="preserve">Average L/day (as fraction of consumption, C) </t>
  </si>
  <si>
    <t>[LPM]</t>
  </si>
  <si>
    <t>Cf</t>
  </si>
  <si>
    <t>y</t>
  </si>
  <si>
    <t>On demand flow rate (Q_d)</t>
  </si>
  <si>
    <t>CT (ozone)</t>
  </si>
  <si>
    <t>L/min</t>
  </si>
  <si>
    <t>[mg*min/L]</t>
  </si>
  <si>
    <t>Panel Quantity</t>
  </si>
  <si>
    <t>[panels]</t>
  </si>
  <si>
    <t>Initial Volume</t>
  </si>
  <si>
    <t>Reliability (days of consumption met) (R)</t>
  </si>
  <si>
    <t>Energy for O3</t>
  </si>
  <si>
    <t>days/year</t>
  </si>
  <si>
    <t>[MJ/g]</t>
  </si>
  <si>
    <t>Battery Quantity</t>
  </si>
  <si>
    <t>[2000 Wh 96% eff in/out]</t>
  </si>
  <si>
    <t>Total Satisfaction</t>
  </si>
  <si>
    <t>UV Power</t>
  </si>
  <si>
    <t>[W]</t>
  </si>
  <si>
    <t>Days of Overflow</t>
  </si>
  <si>
    <t>[L]</t>
  </si>
  <si>
    <t>Total Pump Energy</t>
  </si>
  <si>
    <t>Total Ozone Energy</t>
  </si>
  <si>
    <t>Solar Panel</t>
  </si>
  <si>
    <t>Total UV Energy</t>
  </si>
  <si>
    <t>HES-260</t>
  </si>
  <si>
    <t>Total Energy [MJ]:</t>
  </si>
  <si>
    <t>Total Maintenance Occurances:</t>
  </si>
  <si>
    <t>Pump (to storage) Parameters</t>
  </si>
  <si>
    <t>Value</t>
  </si>
  <si>
    <t>Storage Tank Location</t>
  </si>
  <si>
    <t>Pump Maintenance Occurances per year:</t>
  </si>
  <si>
    <t>Distance to Storage Tank (L)</t>
  </si>
  <si>
    <t>Days w/ Empty Tank</t>
  </si>
  <si>
    <t>m</t>
  </si>
  <si>
    <t>Chosen Storage Tank Coordinates- range [20,100]</t>
  </si>
  <si>
    <t>Storage Tank Size</t>
  </si>
  <si>
    <t>Day</t>
  </si>
  <si>
    <t>Rain</t>
  </si>
  <si>
    <t>Qin</t>
  </si>
  <si>
    <t>Stored Water</t>
  </si>
  <si>
    <t>Pump Pressure</t>
  </si>
  <si>
    <t>Pump Energy</t>
  </si>
  <si>
    <t>Mass O3</t>
  </si>
  <si>
    <t>Energy for UV</t>
  </si>
  <si>
    <t>Total Energy Required for Day</t>
  </si>
  <si>
    <t>Water Passing Through Filter</t>
  </si>
  <si>
    <t>200μm Filter</t>
  </si>
  <si>
    <t>5μm Filter</t>
  </si>
  <si>
    <t>1μm Filter</t>
  </si>
  <si>
    <t>Maintenance Occurances</t>
  </si>
  <si>
    <t>Pump Run Time</t>
  </si>
  <si>
    <t xml:space="preserve">[ date ] </t>
  </si>
  <si>
    <t>[mm]</t>
  </si>
  <si>
    <t>[m^3/day]</t>
  </si>
  <si>
    <t>Catchment Choice</t>
  </si>
  <si>
    <t>[kPa]</t>
  </si>
  <si>
    <t>[kJ]</t>
  </si>
  <si>
    <t>[MJ]</t>
  </si>
  <si>
    <t>Tank Location Elevation (in pairing w/ coordinates) (h)</t>
  </si>
  <si>
    <t>[mg]</t>
  </si>
  <si>
    <t>[g]</t>
  </si>
  <si>
    <t>[J]</t>
  </si>
  <si>
    <t>[Wh]</t>
  </si>
  <si>
    <t>x value</t>
  </si>
  <si>
    <t>[Filter Swap]</t>
  </si>
  <si>
    <t>[hrs]</t>
  </si>
  <si>
    <t>Good Size?</t>
  </si>
  <si>
    <t>[$]</t>
  </si>
  <si>
    <t>Additional Catchment?</t>
  </si>
  <si>
    <t>Storage Tank Tower Height</t>
  </si>
  <si>
    <t>y value</t>
  </si>
  <si>
    <t>Additional Catchment Size (optional)</t>
  </si>
  <si>
    <t>Total Elevation (worst case scenario with water in the tank)</t>
  </si>
  <si>
    <t>Good Range?</t>
  </si>
  <si>
    <t>Filters (from storage to house)</t>
  </si>
  <si>
    <t>Yes/No</t>
  </si>
  <si>
    <t>Initial Cost [$]</t>
  </si>
  <si>
    <t>Replacement Cost [$]</t>
  </si>
  <si>
    <t>C_f Values</t>
  </si>
  <si>
    <t>Fouling Rates [L]</t>
  </si>
  <si>
    <t>Extra Catchment x-location</t>
  </si>
  <si>
    <t xml:space="preserve">Density of Water </t>
  </si>
  <si>
    <t>kg/m^3</t>
  </si>
  <si>
    <t>UV System</t>
  </si>
  <si>
    <t>200μ</t>
  </si>
  <si>
    <t>Extra Catchment y-location</t>
  </si>
  <si>
    <t>Gravity Constant (g)</t>
  </si>
  <si>
    <t>m/s^2</t>
  </si>
  <si>
    <t>UV Maintenance Operations Per Year</t>
  </si>
  <si>
    <t>5μ</t>
  </si>
  <si>
    <t>Extra Catchment Elevation</t>
  </si>
  <si>
    <t>Chosen Pump</t>
  </si>
  <si>
    <t>1μ</t>
  </si>
  <si>
    <t>Distance from additional catchment to catchment tank (pipe length) (optional) - must be at least 20m away</t>
  </si>
  <si>
    <t>Pump coefficient, a</t>
  </si>
  <si>
    <t>n/a</t>
  </si>
  <si>
    <t>Solar Panel Parameters</t>
  </si>
  <si>
    <t>Initial Cost</t>
  </si>
  <si>
    <t>Area (m^2)</t>
  </si>
  <si>
    <t>GHG emissions kgCO2e</t>
  </si>
  <si>
    <t>Efficiency</t>
  </si>
  <si>
    <t>Solar Panel Maintenance:</t>
  </si>
  <si>
    <t>Area</t>
  </si>
  <si>
    <t>Pump coefficient, b</t>
  </si>
  <si>
    <t>Catchment Area Costs (including catchment piping)</t>
  </si>
  <si>
    <t>Pump coefficient, c</t>
  </si>
  <si>
    <t>SW-80</t>
  </si>
  <si>
    <t>Collection Tank Size</t>
  </si>
  <si>
    <t>Pump A value</t>
  </si>
  <si>
    <t>HES-305P</t>
  </si>
  <si>
    <t>Tank Price</t>
  </si>
  <si>
    <t>Pump B value</t>
  </si>
  <si>
    <t>Total Catchment Area &amp; Tank Costs</t>
  </si>
  <si>
    <t>Diameter of Pipe (d)</t>
  </si>
  <si>
    <t>mm</t>
  </si>
  <si>
    <t>Quantity of Panels</t>
  </si>
  <si>
    <t>Friction Factor of Pipe (f)</t>
  </si>
  <si>
    <t>Number of Batteries</t>
  </si>
  <si>
    <t>Loss Coefficient - Catchment to storage (K)</t>
  </si>
  <si>
    <t>DC-AC Power Inverter</t>
  </si>
  <si>
    <t>Loss Coefficient - Storage to House (K)</t>
  </si>
  <si>
    <t>Days without Power?</t>
  </si>
  <si>
    <t>Experimental Filter Coefficient (Cf)</t>
  </si>
  <si>
    <t>Pa*s/m</t>
  </si>
  <si>
    <t>Calculated C_f based on filters used</t>
  </si>
  <si>
    <t>Pump Coefficient Values</t>
  </si>
  <si>
    <t>C</t>
  </si>
  <si>
    <t>B</t>
  </si>
  <si>
    <t>Pump coefficient a</t>
  </si>
  <si>
    <t>Pump coefficient b</t>
  </si>
  <si>
    <t>Pump coefficient c</t>
  </si>
  <si>
    <t>Pump Max Flowrate [LPM]</t>
  </si>
  <si>
    <t>Pump Efficiencies</t>
  </si>
  <si>
    <t>Catchment Tank Volume</t>
  </si>
  <si>
    <t>Storage Line</t>
  </si>
  <si>
    <t>Ozone</t>
  </si>
  <si>
    <t>Solar</t>
  </si>
  <si>
    <t>Solar Energy Model</t>
  </si>
  <si>
    <t>Solar Panel Chosen</t>
  </si>
  <si>
    <t>Sunshine Data</t>
  </si>
  <si>
    <t>Solar and Solar Panel Parameters</t>
  </si>
  <si>
    <t>Month</t>
  </si>
  <si>
    <t>Sunshine/day</t>
  </si>
  <si>
    <t>Solar Intensity</t>
  </si>
  <si>
    <t>W/m^2</t>
  </si>
  <si>
    <t>[hr]</t>
  </si>
  <si>
    <t>Panel area</t>
  </si>
  <si>
    <t>m^2</t>
  </si>
  <si>
    <t>Jan</t>
  </si>
  <si>
    <t># of panels</t>
  </si>
  <si>
    <t>Feb</t>
  </si>
  <si>
    <t>Mar</t>
  </si>
  <si>
    <t>Batteries</t>
  </si>
  <si>
    <t>Apr</t>
  </si>
  <si>
    <t>Capacity</t>
  </si>
  <si>
    <t>Wh</t>
  </si>
  <si>
    <t>Inverter Efficiency</t>
  </si>
  <si>
    <t>May</t>
  </si>
  <si>
    <t># of batteries</t>
  </si>
  <si>
    <t>Days without Power</t>
  </si>
  <si>
    <t>Jun</t>
  </si>
  <si>
    <t>Jul</t>
  </si>
  <si>
    <t>Electrical Power Demand</t>
  </si>
  <si>
    <t>Aug</t>
  </si>
  <si>
    <t>Use per day</t>
  </si>
  <si>
    <t>hours</t>
  </si>
  <si>
    <t>Sep</t>
  </si>
  <si>
    <t>Constant (UV)</t>
  </si>
  <si>
    <t>W</t>
  </si>
  <si>
    <t>Oct</t>
  </si>
  <si>
    <t>Nov</t>
  </si>
  <si>
    <t>Dec</t>
  </si>
  <si>
    <t>Date</t>
  </si>
  <si>
    <t>Daily Hours of Sunshine</t>
  </si>
  <si>
    <t>Incident Solar Energy (Wh)</t>
  </si>
  <si>
    <t>Energy Generated</t>
  </si>
  <si>
    <t>Energy Into (Wh)</t>
  </si>
  <si>
    <t>Total Energy Needed [MJ]</t>
  </si>
  <si>
    <t>Enegery Needed [Wh]</t>
  </si>
  <si>
    <t>Energy Out</t>
  </si>
  <si>
    <t>Energy Stored in Batteries</t>
  </si>
  <si>
    <t>Source</t>
  </si>
  <si>
    <t>Amount</t>
  </si>
  <si>
    <t>Emissions per unit [kgCO2e]</t>
  </si>
  <si>
    <t>Total Emissions [kgCO2e]</t>
  </si>
  <si>
    <t>Emissions of Existing System</t>
  </si>
  <si>
    <t>[kgCO2]</t>
  </si>
  <si>
    <t>Local water treatment power system</t>
  </si>
  <si>
    <t>Solar Panels</t>
  </si>
  <si>
    <t>Total Emissions</t>
  </si>
  <si>
    <t>% Relative to Shipping Water</t>
  </si>
  <si>
    <t>Storage &amp; Distribution of Water to House</t>
  </si>
  <si>
    <t>Existing System Calculations</t>
  </si>
  <si>
    <t>Quantity of Water supplied over 5 years:</t>
  </si>
  <si>
    <t>kgCO2e/1000L of water</t>
  </si>
  <si>
    <t>Total kgCO2e</t>
  </si>
  <si>
    <t>Centralized Water Treatment</t>
  </si>
  <si>
    <t>Land &amp; Sea Transport of Treated Water</t>
  </si>
  <si>
    <t>Step</t>
  </si>
  <si>
    <t>Flow Velocity, v [m/s]</t>
  </si>
  <si>
    <t>Flow Rate, Q [LPM]</t>
  </si>
  <si>
    <t>Pump Pressure [kPa]</t>
  </si>
  <si>
    <t>System Loss due to height [Pa]</t>
  </si>
  <si>
    <t>System loss due to friction [Pa]</t>
  </si>
  <si>
    <t>System Loss due to loss coefficient, K [Pa]</t>
  </si>
  <si>
    <t>System Loss due to Filters (up to storage tank) (C_f) [Pa]</t>
  </si>
  <si>
    <t>System Curve Pressure [kPa]</t>
  </si>
  <si>
    <t>On Demand Flowrate Calculations:</t>
  </si>
  <si>
    <t>Tank Pressure (Gravity) [kPa]</t>
  </si>
  <si>
    <t>Pump Flowrate, Q:</t>
  </si>
  <si>
    <t>*manually entered from the graph above</t>
  </si>
  <si>
    <t>On Demand Flow Rate, Q_d (from POI of graph below)</t>
  </si>
  <si>
    <t>*manually entered from the graph below</t>
  </si>
  <si>
    <t>Actual Value:</t>
  </si>
  <si>
    <t>*considers cap from UV purifier</t>
  </si>
  <si>
    <t>Y \ X</t>
  </si>
  <si>
    <t xml:space="preserve"> </t>
  </si>
  <si>
    <t>+</t>
  </si>
  <si>
    <t>X</t>
  </si>
  <si>
    <t>AI Software</t>
  </si>
  <si>
    <t>Use</t>
  </si>
  <si>
    <t>Component</t>
  </si>
  <si>
    <t>Selection</t>
  </si>
  <si>
    <t>Capital Cost</t>
  </si>
  <si>
    <t>Gemini</t>
  </si>
  <si>
    <t>Uploaded a picture of the topographic map to generate a spreadsheet model (to which edits were then made). This was then integrated so that when the coordinates of the storage tank are set, the elevation automatically updates to match.</t>
  </si>
  <si>
    <t>Maintenance Occurences</t>
  </si>
  <si>
    <t>Maintenance Cost</t>
  </si>
  <si>
    <t>Rainwater Collection</t>
  </si>
  <si>
    <t>Roof Catchment</t>
  </si>
  <si>
    <t>Cost Parameters</t>
  </si>
  <si>
    <t>Additional Catchment</t>
  </si>
  <si>
    <t>Reference Cost</t>
  </si>
  <si>
    <t>Catchment Tank Volume (L)</t>
  </si>
  <si>
    <t>Cost per day of shipped water</t>
  </si>
  <si>
    <t>[$/day]</t>
  </si>
  <si>
    <t>Storage</t>
  </si>
  <si>
    <t>Storage Tank Volume (m^3)</t>
  </si>
  <si>
    <t>Storage Tank Tower Height (m)</t>
  </si>
  <si>
    <t>Total Costs:</t>
  </si>
  <si>
    <t>Pipe Length (m)</t>
  </si>
  <si>
    <t>Relative Cost [%]</t>
  </si>
  <si>
    <t>Water Treatment</t>
  </si>
  <si>
    <t>Bag Filter (200 um)</t>
  </si>
  <si>
    <t>Cartridge Filter (5um)</t>
  </si>
  <si>
    <t>Cartridge Filter (1um)</t>
  </si>
  <si>
    <t>Chlorine Disinfection</t>
  </si>
  <si>
    <t>Ozone Disinfection</t>
  </si>
  <si>
    <t>UV Disinfection (W)</t>
  </si>
  <si>
    <t>Filtration Location</t>
  </si>
  <si>
    <t>Pump</t>
  </si>
  <si>
    <t>Energy</t>
  </si>
  <si>
    <t># Solar Panels</t>
  </si>
  <si>
    <t>Diesel Generator</t>
  </si>
  <si>
    <t>Emergency Water</t>
  </si>
  <si>
    <t>Shipments (days without water)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</si>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</sst>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0000"/>
    <numFmt numFmtId="166" formatCode="[$-409]d\-mmm\-yyyy"/>
    <numFmt numFmtId="167" formatCode="mm/dd/yyyy"/>
    <numFmt numFmtId="168" formatCode="[$$]#,##0.00"/>
  </numFmts>
  <fonts count="29" x14ac:knownFonts="1">
    <font>
      <sz val="10"/>
      <color rgb="FF000000"/>
      <name val="Arial"/>
      <scheme val="minor"/>
    </font>
    <font>
      <b/>
      <sz val="11"/>
      <color theme="1"/>
      <name val="Calibri"/>
    </font>
    <font>
      <sz val="10"/>
      <color theme="1"/>
      <name val="Calibri"/>
    </font>
    <font>
      <sz val="11"/>
      <color theme="1"/>
      <name val="Calibri"/>
    </font>
    <font>
      <b/>
      <sz val="10"/>
      <color rgb="FFFF0000"/>
      <name val="Calibri"/>
    </font>
    <font>
      <sz val="10"/>
      <color rgb="FF38761D"/>
      <name val="Calibri"/>
    </font>
    <font>
      <sz val="10"/>
      <color rgb="FF3D85C6"/>
      <name val="Calibri"/>
    </font>
    <font>
      <b/>
      <sz val="10"/>
      <color theme="1"/>
      <name val="Calibri"/>
    </font>
    <font>
      <sz val="10"/>
      <color theme="1"/>
      <name val="Calibri"/>
    </font>
    <font>
      <b/>
      <sz val="10"/>
      <color rgb="FFFF0000"/>
      <name val="Calibri"/>
    </font>
    <font>
      <sz val="11"/>
      <color rgb="FF3D85C6"/>
      <name val="Calibri"/>
    </font>
    <font>
      <sz val="11"/>
      <color rgb="FF0B5394"/>
      <name val="Calibri"/>
    </font>
    <font>
      <sz val="11"/>
      <color rgb="FF38761D"/>
      <name val="Calibri"/>
    </font>
    <font>
      <b/>
      <sz val="11"/>
      <color rgb="FFFF0000"/>
      <name val="Calibri"/>
    </font>
    <font>
      <sz val="11"/>
      <color theme="4"/>
      <name val="Calibri"/>
    </font>
    <font>
      <sz val="10"/>
      <name val="Arial"/>
    </font>
    <font>
      <b/>
      <sz val="11"/>
      <color rgb="FF3D85C6"/>
      <name val="Calibri"/>
    </font>
    <font>
      <b/>
      <sz val="10"/>
      <color theme="1"/>
      <name val="Calibri"/>
    </font>
    <font>
      <sz val="10"/>
      <color theme="1"/>
      <name val="Arial"/>
      <scheme val="minor"/>
    </font>
    <font>
      <sz val="10"/>
      <color rgb="FF6AA84F"/>
      <name val="Calibri"/>
    </font>
    <font>
      <sz val="11"/>
      <color rgb="FF0070C0"/>
      <name val="Calibri"/>
    </font>
    <font>
      <sz val="11"/>
      <color rgb="FF6AA84F"/>
      <name val="Calibri"/>
    </font>
    <font>
      <b/>
      <sz val="16"/>
      <color rgb="FFC00000"/>
      <name val="Calibri"/>
    </font>
    <font>
      <b/>
      <sz val="14"/>
      <color theme="1"/>
      <name val="Calibri"/>
    </font>
    <font>
      <b/>
      <sz val="12"/>
      <color theme="1"/>
      <name val="Calibri"/>
    </font>
    <font>
      <sz val="10"/>
      <color rgb="FFFF0000"/>
      <name val="Calibri"/>
    </font>
    <font>
      <sz val="11"/>
      <color rgb="FF000000"/>
      <name val="Calibri"/>
    </font>
    <font>
      <b/>
      <sz val="17"/>
      <color rgb="FFFF0000"/>
      <name val="Calibri"/>
    </font>
    <font>
      <sz val="11"/>
      <color rgb="FF4472C4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D9E2F3"/>
        <bgColor rgb="FFD9E2F3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rgb="FF9DBFAD"/>
        <bgColor rgb="FF9DBFAD"/>
      </patternFill>
    </fill>
    <fill>
      <patternFill patternType="solid">
        <fgColor rgb="FF87AC93"/>
        <bgColor rgb="FF87AC93"/>
      </patternFill>
    </fill>
    <fill>
      <patternFill patternType="solid">
        <fgColor rgb="FFF3F3F3"/>
        <bgColor rgb="FFF3F3F3"/>
      </patternFill>
    </fill>
    <fill>
      <patternFill patternType="solid">
        <fgColor rgb="FF6FA8DC"/>
        <bgColor rgb="FF6FA8DC"/>
      </patternFill>
    </fill>
  </fills>
  <borders count="3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03">
    <xf numFmtId="0" fontId="0" fillId="0" borderId="0" xfId="0"/>
    <xf numFmtId="0" fontId="1" fillId="2" borderId="1" xfId="0" applyFont="1" applyFill="1" applyBorder="1"/>
    <xf numFmtId="0" fontId="2" fillId="2" borderId="2" xfId="0" applyFont="1" applyFill="1" applyBorder="1"/>
    <xf numFmtId="0" fontId="3" fillId="2" borderId="3" xfId="0" applyFont="1" applyFill="1" applyBorder="1"/>
    <xf numFmtId="0" fontId="4" fillId="0" borderId="0" xfId="0" applyFont="1" applyAlignment="1">
      <alignment wrapText="1"/>
    </xf>
    <xf numFmtId="0" fontId="3" fillId="0" borderId="0" xfId="0" applyFont="1"/>
    <xf numFmtId="0" fontId="5" fillId="0" borderId="0" xfId="0" applyFont="1"/>
    <xf numFmtId="0" fontId="1" fillId="3" borderId="1" xfId="0" applyFont="1" applyFill="1" applyBorder="1"/>
    <xf numFmtId="0" fontId="2" fillId="0" borderId="0" xfId="0" applyFont="1"/>
    <xf numFmtId="0" fontId="2" fillId="3" borderId="2" xfId="0" applyFont="1" applyFill="1" applyBorder="1"/>
    <xf numFmtId="0" fontId="6" fillId="0" borderId="0" xfId="0" applyFont="1"/>
    <xf numFmtId="0" fontId="3" fillId="3" borderId="3" xfId="0" applyFont="1" applyFill="1" applyBorder="1"/>
    <xf numFmtId="0" fontId="2" fillId="0" borderId="0" xfId="0" applyFont="1" applyAlignment="1">
      <alignment wrapText="1"/>
    </xf>
    <xf numFmtId="0" fontId="1" fillId="4" borderId="1" xfId="0" applyFont="1" applyFill="1" applyBorder="1"/>
    <xf numFmtId="0" fontId="7" fillId="0" borderId="4" xfId="0" applyFont="1" applyBorder="1" applyAlignment="1">
      <alignment wrapText="1"/>
    </xf>
    <xf numFmtId="0" fontId="3" fillId="4" borderId="2" xfId="0" applyFont="1" applyFill="1" applyBorder="1"/>
    <xf numFmtId="0" fontId="3" fillId="4" borderId="3" xfId="0" applyFont="1" applyFill="1" applyBorder="1"/>
    <xf numFmtId="0" fontId="1" fillId="5" borderId="1" xfId="0" applyFont="1" applyFill="1" applyBorder="1"/>
    <xf numFmtId="0" fontId="3" fillId="5" borderId="3" xfId="0" applyFont="1" applyFill="1" applyBorder="1"/>
    <xf numFmtId="0" fontId="8" fillId="2" borderId="7" xfId="0" applyFont="1" applyFill="1" applyBorder="1" applyAlignment="1">
      <alignment wrapText="1"/>
    </xf>
    <xf numFmtId="1" fontId="1" fillId="6" borderId="1" xfId="0" applyNumberFormat="1" applyFont="1" applyFill="1" applyBorder="1"/>
    <xf numFmtId="0" fontId="3" fillId="6" borderId="2" xfId="0" applyFont="1" applyFill="1" applyBorder="1"/>
    <xf numFmtId="0" fontId="3" fillId="6" borderId="3" xfId="0" applyFont="1" applyFill="1" applyBorder="1"/>
    <xf numFmtId="0" fontId="1" fillId="7" borderId="9" xfId="0" applyFont="1" applyFill="1" applyBorder="1" applyAlignment="1">
      <alignment wrapText="1"/>
    </xf>
    <xf numFmtId="1" fontId="2" fillId="0" borderId="0" xfId="0" applyNumberFormat="1" applyFont="1"/>
    <xf numFmtId="0" fontId="1" fillId="7" borderId="10" xfId="0" applyFont="1" applyFill="1" applyBorder="1" applyAlignment="1">
      <alignment wrapText="1"/>
    </xf>
    <xf numFmtId="0" fontId="1" fillId="8" borderId="1" xfId="0" applyFont="1" applyFill="1" applyBorder="1"/>
    <xf numFmtId="0" fontId="8" fillId="4" borderId="7" xfId="0" applyFont="1" applyFill="1" applyBorder="1" applyAlignment="1">
      <alignment wrapText="1"/>
    </xf>
    <xf numFmtId="0" fontId="3" fillId="8" borderId="2" xfId="0" applyFont="1" applyFill="1" applyBorder="1"/>
    <xf numFmtId="0" fontId="3" fillId="8" borderId="3" xfId="0" applyFont="1" applyFill="1" applyBorder="1"/>
    <xf numFmtId="1" fontId="1" fillId="0" borderId="0" xfId="0" applyNumberFormat="1" applyFont="1"/>
    <xf numFmtId="0" fontId="3" fillId="2" borderId="11" xfId="0" applyFont="1" applyFill="1" applyBorder="1"/>
    <xf numFmtId="0" fontId="3" fillId="7" borderId="9" xfId="0" applyFont="1" applyFill="1" applyBorder="1" applyAlignment="1">
      <alignment wrapText="1"/>
    </xf>
    <xf numFmtId="0" fontId="10" fillId="2" borderId="0" xfId="0" applyFont="1" applyFill="1" applyAlignment="1">
      <alignment horizontal="right"/>
    </xf>
    <xf numFmtId="0" fontId="1" fillId="2" borderId="12" xfId="0" applyFont="1" applyFill="1" applyBorder="1"/>
    <xf numFmtId="0" fontId="3" fillId="3" borderId="11" xfId="0" applyFont="1" applyFill="1" applyBorder="1"/>
    <xf numFmtId="0" fontId="3" fillId="7" borderId="10" xfId="0" applyFont="1" applyFill="1" applyBorder="1" applyAlignment="1">
      <alignment wrapText="1"/>
    </xf>
    <xf numFmtId="0" fontId="10" fillId="3" borderId="0" xfId="0" applyFont="1" applyFill="1"/>
    <xf numFmtId="0" fontId="1" fillId="3" borderId="12" xfId="0" applyFont="1" applyFill="1" applyBorder="1"/>
    <xf numFmtId="0" fontId="3" fillId="4" borderId="11" xfId="0" applyFont="1" applyFill="1" applyBorder="1"/>
    <xf numFmtId="0" fontId="10" fillId="4" borderId="0" xfId="0" applyFont="1" applyFill="1" applyAlignment="1">
      <alignment horizontal="right"/>
    </xf>
    <xf numFmtId="0" fontId="1" fillId="4" borderId="12" xfId="0" applyFont="1" applyFill="1" applyBorder="1"/>
    <xf numFmtId="0" fontId="3" fillId="5" borderId="11" xfId="0" applyFont="1" applyFill="1" applyBorder="1"/>
    <xf numFmtId="0" fontId="10" fillId="5" borderId="12" xfId="0" applyFont="1" applyFill="1" applyBorder="1" applyAlignment="1">
      <alignment horizontal="right"/>
    </xf>
    <xf numFmtId="1" fontId="3" fillId="6" borderId="11" xfId="0" applyNumberFormat="1" applyFont="1" applyFill="1" applyBorder="1"/>
    <xf numFmtId="0" fontId="10" fillId="6" borderId="0" xfId="0" applyFont="1" applyFill="1" applyAlignment="1">
      <alignment horizontal="right"/>
    </xf>
    <xf numFmtId="0" fontId="3" fillId="6" borderId="12" xfId="0" applyFont="1" applyFill="1" applyBorder="1"/>
    <xf numFmtId="0" fontId="3" fillId="8" borderId="11" xfId="0" applyFont="1" applyFill="1" applyBorder="1"/>
    <xf numFmtId="0" fontId="10" fillId="8" borderId="0" xfId="0" applyFont="1" applyFill="1" applyAlignment="1">
      <alignment horizontal="right"/>
    </xf>
    <xf numFmtId="0" fontId="1" fillId="8" borderId="0" xfId="0" applyFont="1" applyFill="1"/>
    <xf numFmtId="0" fontId="1" fillId="8" borderId="12" xfId="0" applyFont="1" applyFill="1" applyBorder="1"/>
    <xf numFmtId="9" fontId="14" fillId="4" borderId="0" xfId="0" applyNumberFormat="1" applyFont="1" applyFill="1" applyAlignment="1">
      <alignment horizontal="right"/>
    </xf>
    <xf numFmtId="0" fontId="3" fillId="5" borderId="12" xfId="0" applyFont="1" applyFill="1" applyBorder="1"/>
    <xf numFmtId="0" fontId="10" fillId="6" borderId="0" xfId="0" applyFont="1" applyFill="1"/>
    <xf numFmtId="0" fontId="1" fillId="6" borderId="12" xfId="0" applyFont="1" applyFill="1" applyBorder="1"/>
    <xf numFmtId="0" fontId="8" fillId="5" borderId="7" xfId="0" applyFont="1" applyFill="1" applyBorder="1" applyAlignment="1">
      <alignment wrapText="1"/>
    </xf>
    <xf numFmtId="0" fontId="3" fillId="8" borderId="0" xfId="0" applyFont="1" applyFill="1"/>
    <xf numFmtId="0" fontId="3" fillId="3" borderId="13" xfId="0" applyFont="1" applyFill="1" applyBorder="1"/>
    <xf numFmtId="164" fontId="10" fillId="3" borderId="14" xfId="0" applyNumberFormat="1" applyFont="1" applyFill="1" applyBorder="1"/>
    <xf numFmtId="0" fontId="1" fillId="3" borderId="15" xfId="0" applyFont="1" applyFill="1" applyBorder="1"/>
    <xf numFmtId="0" fontId="3" fillId="4" borderId="13" xfId="0" applyFont="1" applyFill="1" applyBorder="1"/>
    <xf numFmtId="0" fontId="14" fillId="4" borderId="14" xfId="0" applyFont="1" applyFill="1" applyBorder="1"/>
    <xf numFmtId="0" fontId="1" fillId="4" borderId="15" xfId="0" applyFont="1" applyFill="1" applyBorder="1"/>
    <xf numFmtId="0" fontId="3" fillId="5" borderId="13" xfId="0" applyFont="1" applyFill="1" applyBorder="1"/>
    <xf numFmtId="2" fontId="10" fillId="5" borderId="15" xfId="0" applyNumberFormat="1" applyFont="1" applyFill="1" applyBorder="1"/>
    <xf numFmtId="0" fontId="10" fillId="8" borderId="0" xfId="0" applyFont="1" applyFill="1"/>
    <xf numFmtId="0" fontId="3" fillId="2" borderId="13" xfId="0" applyFont="1" applyFill="1" applyBorder="1"/>
    <xf numFmtId="0" fontId="10" fillId="2" borderId="14" xfId="0" applyFont="1" applyFill="1" applyBorder="1" applyAlignment="1">
      <alignment horizontal="right"/>
    </xf>
    <xf numFmtId="0" fontId="1" fillId="2" borderId="15" xfId="0" applyFont="1" applyFill="1" applyBorder="1"/>
    <xf numFmtId="0" fontId="3" fillId="8" borderId="13" xfId="0" applyFont="1" applyFill="1" applyBorder="1"/>
    <xf numFmtId="0" fontId="10" fillId="8" borderId="14" xfId="0" applyFont="1" applyFill="1" applyBorder="1"/>
    <xf numFmtId="0" fontId="1" fillId="8" borderId="14" xfId="0" applyFont="1" applyFill="1" applyBorder="1"/>
    <xf numFmtId="0" fontId="1" fillId="8" borderId="15" xfId="0" applyFont="1" applyFill="1" applyBorder="1"/>
    <xf numFmtId="1" fontId="3" fillId="6" borderId="13" xfId="0" applyNumberFormat="1" applyFont="1" applyFill="1" applyBorder="1"/>
    <xf numFmtId="0" fontId="10" fillId="6" borderId="14" xfId="0" applyFont="1" applyFill="1" applyBorder="1"/>
    <xf numFmtId="0" fontId="1" fillId="6" borderId="15" xfId="0" applyFont="1" applyFill="1" applyBorder="1"/>
    <xf numFmtId="1" fontId="3" fillId="0" borderId="0" xfId="0" applyNumberFormat="1" applyFont="1"/>
    <xf numFmtId="2" fontId="3" fillId="0" borderId="0" xfId="0" applyNumberFormat="1" applyFont="1"/>
    <xf numFmtId="0" fontId="1" fillId="9" borderId="10" xfId="0" applyFont="1" applyFill="1" applyBorder="1" applyAlignment="1">
      <alignment wrapText="1"/>
    </xf>
    <xf numFmtId="0" fontId="10" fillId="9" borderId="10" xfId="0" applyFont="1" applyFill="1" applyBorder="1" applyAlignment="1">
      <alignment wrapText="1"/>
    </xf>
    <xf numFmtId="0" fontId="3" fillId="0" borderId="0" xfId="0" applyFont="1" applyAlignment="1">
      <alignment wrapText="1"/>
    </xf>
    <xf numFmtId="0" fontId="8" fillId="8" borderId="7" xfId="0" applyFont="1" applyFill="1" applyBorder="1" applyAlignment="1">
      <alignment wrapText="1"/>
    </xf>
    <xf numFmtId="2" fontId="3" fillId="4" borderId="0" xfId="0" applyNumberFormat="1" applyFont="1" applyFill="1" applyAlignment="1">
      <alignment horizontal="right" wrapText="1"/>
    </xf>
    <xf numFmtId="0" fontId="8" fillId="10" borderId="7" xfId="0" applyFont="1" applyFill="1" applyBorder="1" applyAlignment="1">
      <alignment wrapText="1"/>
    </xf>
    <xf numFmtId="0" fontId="9" fillId="10" borderId="0" xfId="0" applyFont="1" applyFill="1" applyAlignment="1">
      <alignment wrapText="1"/>
    </xf>
    <xf numFmtId="2" fontId="3" fillId="6" borderId="0" xfId="0" applyNumberFormat="1" applyFont="1" applyFill="1" applyAlignment="1">
      <alignment horizontal="right" wrapText="1"/>
    </xf>
    <xf numFmtId="0" fontId="3" fillId="11" borderId="0" xfId="0" applyFont="1" applyFill="1" applyAlignment="1">
      <alignment wrapText="1"/>
    </xf>
    <xf numFmtId="2" fontId="3" fillId="11" borderId="0" xfId="0" applyNumberFormat="1" applyFont="1" applyFill="1" applyAlignment="1">
      <alignment horizontal="right" wrapText="1"/>
    </xf>
    <xf numFmtId="2" fontId="1" fillId="8" borderId="0" xfId="0" applyNumberFormat="1" applyFont="1" applyFill="1" applyAlignment="1">
      <alignment wrapText="1"/>
    </xf>
    <xf numFmtId="0" fontId="8" fillId="5" borderId="17" xfId="0" applyFont="1" applyFill="1" applyBorder="1" applyAlignment="1">
      <alignment wrapText="1"/>
    </xf>
    <xf numFmtId="2" fontId="3" fillId="8" borderId="0" xfId="0" applyNumberFormat="1" applyFont="1" applyFill="1" applyAlignment="1">
      <alignment horizontal="right" wrapText="1"/>
    </xf>
    <xf numFmtId="0" fontId="9" fillId="5" borderId="18" xfId="0" applyFont="1" applyFill="1" applyBorder="1" applyAlignment="1">
      <alignment wrapText="1"/>
    </xf>
    <xf numFmtId="0" fontId="2" fillId="3" borderId="0" xfId="0" applyFont="1" applyFill="1" applyAlignment="1">
      <alignment wrapText="1"/>
    </xf>
    <xf numFmtId="0" fontId="1" fillId="10" borderId="10" xfId="0" applyFont="1" applyFill="1" applyBorder="1" applyAlignment="1">
      <alignment wrapText="1"/>
    </xf>
    <xf numFmtId="1" fontId="2" fillId="3" borderId="0" xfId="0" applyNumberFormat="1" applyFont="1" applyFill="1" applyAlignment="1">
      <alignment wrapText="1"/>
    </xf>
    <xf numFmtId="0" fontId="2" fillId="5" borderId="0" xfId="0" applyFont="1" applyFill="1" applyAlignment="1">
      <alignment wrapText="1"/>
    </xf>
    <xf numFmtId="0" fontId="3" fillId="10" borderId="10" xfId="0" applyFont="1" applyFill="1" applyBorder="1" applyAlignment="1">
      <alignment wrapText="1"/>
    </xf>
    <xf numFmtId="165" fontId="2" fillId="5" borderId="0" xfId="0" applyNumberFormat="1" applyFont="1" applyFill="1" applyAlignment="1">
      <alignment wrapText="1"/>
    </xf>
    <xf numFmtId="0" fontId="18" fillId="0" borderId="0" xfId="0" applyFont="1" applyAlignment="1">
      <alignment wrapText="1"/>
    </xf>
    <xf numFmtId="0" fontId="1" fillId="9" borderId="10" xfId="0" applyFont="1" applyFill="1" applyBorder="1"/>
    <xf numFmtId="0" fontId="10" fillId="9" borderId="10" xfId="0" applyFont="1" applyFill="1" applyBorder="1"/>
    <xf numFmtId="0" fontId="1" fillId="5" borderId="10" xfId="0" applyFont="1" applyFill="1" applyBorder="1" applyAlignment="1">
      <alignment wrapText="1"/>
    </xf>
    <xf numFmtId="0" fontId="1" fillId="0" borderId="0" xfId="0" applyFont="1" applyAlignment="1">
      <alignment horizontal="center"/>
    </xf>
    <xf numFmtId="0" fontId="10" fillId="5" borderId="10" xfId="0" applyFont="1" applyFill="1" applyBorder="1" applyAlignment="1">
      <alignment wrapText="1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11" borderId="21" xfId="0" applyFont="1" applyFill="1" applyBorder="1" applyAlignment="1">
      <alignment horizontal="center"/>
    </xf>
    <xf numFmtId="2" fontId="1" fillId="11" borderId="21" xfId="0" applyNumberFormat="1" applyFont="1" applyFill="1" applyBorder="1" applyAlignment="1">
      <alignment horizontal="center"/>
    </xf>
    <xf numFmtId="0" fontId="1" fillId="8" borderId="22" xfId="0" applyFont="1" applyFill="1" applyBorder="1" applyAlignment="1">
      <alignment horizontal="center"/>
    </xf>
    <xf numFmtId="1" fontId="1" fillId="3" borderId="0" xfId="0" applyNumberFormat="1" applyFont="1" applyFill="1" applyAlignment="1">
      <alignment horizontal="center"/>
    </xf>
    <xf numFmtId="0" fontId="17" fillId="5" borderId="0" xfId="0" applyFont="1" applyFill="1" applyAlignment="1">
      <alignment horizontal="center"/>
    </xf>
    <xf numFmtId="0" fontId="1" fillId="0" borderId="14" xfId="0" applyFont="1" applyBorder="1" applyAlignment="1">
      <alignment horizontal="center"/>
    </xf>
    <xf numFmtId="0" fontId="3" fillId="2" borderId="10" xfId="0" applyFont="1" applyFill="1" applyBorder="1" applyAlignment="1">
      <alignment wrapText="1"/>
    </xf>
    <xf numFmtId="0" fontId="1" fillId="2" borderId="14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11" borderId="23" xfId="0" applyFont="1" applyFill="1" applyBorder="1" applyAlignment="1">
      <alignment horizontal="center"/>
    </xf>
    <xf numFmtId="2" fontId="1" fillId="11" borderId="23" xfId="0" applyNumberFormat="1" applyFont="1" applyFill="1" applyBorder="1" applyAlignment="1">
      <alignment horizontal="center"/>
    </xf>
    <xf numFmtId="0" fontId="1" fillId="8" borderId="24" xfId="0" applyFont="1" applyFill="1" applyBorder="1" applyAlignment="1">
      <alignment horizontal="center"/>
    </xf>
    <xf numFmtId="1" fontId="1" fillId="3" borderId="14" xfId="0" applyNumberFormat="1" applyFont="1" applyFill="1" applyBorder="1" applyAlignment="1">
      <alignment horizontal="center"/>
    </xf>
    <xf numFmtId="0" fontId="17" fillId="5" borderId="14" xfId="0" applyFont="1" applyFill="1" applyBorder="1" applyAlignment="1">
      <alignment horizontal="center"/>
    </xf>
    <xf numFmtId="2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17" fillId="10" borderId="10" xfId="0" applyFont="1" applyFill="1" applyBorder="1" applyAlignment="1">
      <alignment wrapText="1"/>
    </xf>
    <xf numFmtId="0" fontId="2" fillId="10" borderId="10" xfId="0" applyFont="1" applyFill="1" applyBorder="1" applyAlignment="1">
      <alignment wrapText="1"/>
    </xf>
    <xf numFmtId="11" fontId="3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0" fontId="10" fillId="10" borderId="10" xfId="0" applyFont="1" applyFill="1" applyBorder="1" applyAlignment="1">
      <alignment wrapText="1"/>
    </xf>
    <xf numFmtId="0" fontId="2" fillId="8" borderId="10" xfId="0" applyFont="1" applyFill="1" applyBorder="1" applyAlignment="1">
      <alignment wrapText="1"/>
    </xf>
    <xf numFmtId="0" fontId="19" fillId="10" borderId="10" xfId="0" applyFont="1" applyFill="1" applyBorder="1" applyAlignment="1">
      <alignment wrapText="1"/>
    </xf>
    <xf numFmtId="0" fontId="2" fillId="5" borderId="10" xfId="0" applyFont="1" applyFill="1" applyBorder="1"/>
    <xf numFmtId="0" fontId="2" fillId="5" borderId="10" xfId="0" applyFont="1" applyFill="1" applyBorder="1" applyAlignment="1">
      <alignment wrapText="1"/>
    </xf>
    <xf numFmtId="9" fontId="5" fillId="5" borderId="10" xfId="0" applyNumberFormat="1" applyFont="1" applyFill="1" applyBorder="1" applyAlignment="1">
      <alignment wrapText="1"/>
    </xf>
    <xf numFmtId="9" fontId="6" fillId="5" borderId="10" xfId="0" applyNumberFormat="1" applyFont="1" applyFill="1" applyBorder="1" applyAlignment="1">
      <alignment wrapText="1"/>
    </xf>
    <xf numFmtId="0" fontId="17" fillId="5" borderId="10" xfId="0" applyFont="1" applyFill="1" applyBorder="1" applyAlignment="1">
      <alignment wrapText="1"/>
    </xf>
    <xf numFmtId="0" fontId="12" fillId="2" borderId="14" xfId="0" applyFont="1" applyFill="1" applyBorder="1" applyAlignment="1">
      <alignment horizontal="right"/>
    </xf>
    <xf numFmtId="9" fontId="20" fillId="4" borderId="0" xfId="0" applyNumberFormat="1" applyFont="1" applyFill="1" applyAlignment="1">
      <alignment horizontal="right"/>
    </xf>
    <xf numFmtId="0" fontId="3" fillId="4" borderId="14" xfId="0" applyFont="1" applyFill="1" applyBorder="1"/>
    <xf numFmtId="164" fontId="2" fillId="0" borderId="0" xfId="0" applyNumberFormat="1" applyFont="1"/>
    <xf numFmtId="0" fontId="13" fillId="5" borderId="12" xfId="0" applyFont="1" applyFill="1" applyBorder="1" applyAlignment="1">
      <alignment horizontal="right"/>
    </xf>
    <xf numFmtId="0" fontId="1" fillId="6" borderId="1" xfId="0" applyFont="1" applyFill="1" applyBorder="1"/>
    <xf numFmtId="0" fontId="3" fillId="6" borderId="11" xfId="0" applyFont="1" applyFill="1" applyBorder="1"/>
    <xf numFmtId="0" fontId="13" fillId="6" borderId="0" xfId="0" applyFont="1" applyFill="1" applyAlignment="1">
      <alignment horizontal="right"/>
    </xf>
    <xf numFmtId="0" fontId="21" fillId="6" borderId="0" xfId="0" applyFont="1" applyFill="1"/>
    <xf numFmtId="0" fontId="3" fillId="6" borderId="0" xfId="0" applyFont="1" applyFill="1"/>
    <xf numFmtId="0" fontId="3" fillId="6" borderId="13" xfId="0" applyFont="1" applyFill="1" applyBorder="1"/>
    <xf numFmtId="0" fontId="3" fillId="8" borderId="0" xfId="0" applyFont="1" applyFill="1" applyAlignment="1">
      <alignment horizontal="right"/>
    </xf>
    <xf numFmtId="0" fontId="22" fillId="0" borderId="0" xfId="0" applyFont="1"/>
    <xf numFmtId="0" fontId="10" fillId="0" borderId="0" xfId="0" applyFont="1"/>
    <xf numFmtId="0" fontId="23" fillId="12" borderId="28" xfId="0" applyFont="1" applyFill="1" applyBorder="1"/>
    <xf numFmtId="0" fontId="3" fillId="12" borderId="29" xfId="0" applyFont="1" applyFill="1" applyBorder="1"/>
    <xf numFmtId="2" fontId="3" fillId="12" borderId="30" xfId="0" applyNumberFormat="1" applyFont="1" applyFill="1" applyBorder="1"/>
    <xf numFmtId="0" fontId="1" fillId="11" borderId="31" xfId="0" applyFont="1" applyFill="1" applyBorder="1" applyAlignment="1">
      <alignment horizontal="center"/>
    </xf>
    <xf numFmtId="0" fontId="1" fillId="11" borderId="32" xfId="0" applyFont="1" applyFill="1" applyBorder="1" applyAlignment="1">
      <alignment horizontal="center"/>
    </xf>
    <xf numFmtId="0" fontId="3" fillId="12" borderId="31" xfId="0" applyFont="1" applyFill="1" applyBorder="1" applyAlignment="1">
      <alignment horizontal="right"/>
    </xf>
    <xf numFmtId="0" fontId="10" fillId="12" borderId="21" xfId="0" applyFont="1" applyFill="1" applyBorder="1" applyAlignment="1">
      <alignment horizontal="center"/>
    </xf>
    <xf numFmtId="2" fontId="3" fillId="12" borderId="32" xfId="0" applyNumberFormat="1" applyFont="1" applyFill="1" applyBorder="1"/>
    <xf numFmtId="9" fontId="10" fillId="0" borderId="0" xfId="0" applyNumberFormat="1" applyFont="1"/>
    <xf numFmtId="0" fontId="1" fillId="11" borderId="33" xfId="0" applyFont="1" applyFill="1" applyBorder="1" applyAlignment="1">
      <alignment horizontal="center"/>
    </xf>
    <xf numFmtId="0" fontId="1" fillId="11" borderId="34" xfId="0" applyFont="1" applyFill="1" applyBorder="1" applyAlignment="1">
      <alignment horizontal="center"/>
    </xf>
    <xf numFmtId="0" fontId="3" fillId="11" borderId="31" xfId="0" applyFont="1" applyFill="1" applyBorder="1" applyAlignment="1">
      <alignment horizontal="center"/>
    </xf>
    <xf numFmtId="2" fontId="3" fillId="11" borderId="32" xfId="0" applyNumberFormat="1" applyFont="1" applyFill="1" applyBorder="1" applyAlignment="1">
      <alignment horizontal="center"/>
    </xf>
    <xf numFmtId="9" fontId="10" fillId="12" borderId="21" xfId="0" applyNumberFormat="1" applyFont="1" applyFill="1" applyBorder="1" applyAlignment="1">
      <alignment horizontal="center"/>
    </xf>
    <xf numFmtId="0" fontId="23" fillId="13" borderId="28" xfId="0" applyFont="1" applyFill="1" applyBorder="1" applyAlignment="1">
      <alignment horizontal="center"/>
    </xf>
    <xf numFmtId="0" fontId="3" fillId="13" borderId="29" xfId="0" applyFont="1" applyFill="1" applyBorder="1"/>
    <xf numFmtId="2" fontId="3" fillId="13" borderId="30" xfId="0" applyNumberFormat="1" applyFont="1" applyFill="1" applyBorder="1"/>
    <xf numFmtId="0" fontId="10" fillId="0" borderId="0" xfId="0" applyFont="1" applyAlignment="1">
      <alignment horizontal="right"/>
    </xf>
    <xf numFmtId="0" fontId="3" fillId="13" borderId="31" xfId="0" applyFont="1" applyFill="1" applyBorder="1" applyAlignment="1">
      <alignment horizontal="right"/>
    </xf>
    <xf numFmtId="0" fontId="12" fillId="13" borderId="21" xfId="0" applyFont="1" applyFill="1" applyBorder="1" applyAlignment="1">
      <alignment horizontal="center"/>
    </xf>
    <xf numFmtId="2" fontId="3" fillId="13" borderId="32" xfId="0" applyNumberFormat="1" applyFont="1" applyFill="1" applyBorder="1"/>
    <xf numFmtId="0" fontId="21" fillId="0" borderId="0" xfId="0" applyFont="1"/>
    <xf numFmtId="0" fontId="10" fillId="13" borderId="21" xfId="0" applyFont="1" applyFill="1" applyBorder="1" applyAlignment="1">
      <alignment horizontal="center"/>
    </xf>
    <xf numFmtId="0" fontId="3" fillId="13" borderId="33" xfId="0" applyFont="1" applyFill="1" applyBorder="1" applyAlignment="1">
      <alignment horizontal="right"/>
    </xf>
    <xf numFmtId="0" fontId="12" fillId="13" borderId="23" xfId="0" applyFont="1" applyFill="1" applyBorder="1" applyAlignment="1">
      <alignment horizontal="center"/>
    </xf>
    <xf numFmtId="2" fontId="3" fillId="13" borderId="34" xfId="0" applyNumberFormat="1" applyFont="1" applyFill="1" applyBorder="1"/>
    <xf numFmtId="0" fontId="23" fillId="14" borderId="31" xfId="0" applyFont="1" applyFill="1" applyBorder="1"/>
    <xf numFmtId="0" fontId="3" fillId="14" borderId="21" xfId="0" applyFont="1" applyFill="1" applyBorder="1"/>
    <xf numFmtId="2" fontId="3" fillId="14" borderId="32" xfId="0" applyNumberFormat="1" applyFont="1" applyFill="1" applyBorder="1"/>
    <xf numFmtId="0" fontId="3" fillId="14" borderId="31" xfId="0" applyFont="1" applyFill="1" applyBorder="1" applyAlignment="1">
      <alignment horizontal="right"/>
    </xf>
    <xf numFmtId="0" fontId="21" fillId="14" borderId="21" xfId="0" applyFont="1" applyFill="1" applyBorder="1" applyAlignment="1">
      <alignment horizontal="center"/>
    </xf>
    <xf numFmtId="0" fontId="3" fillId="14" borderId="33" xfId="0" applyFont="1" applyFill="1" applyBorder="1" applyAlignment="1">
      <alignment horizontal="right"/>
    </xf>
    <xf numFmtId="0" fontId="10" fillId="14" borderId="23" xfId="0" applyFont="1" applyFill="1" applyBorder="1" applyAlignment="1">
      <alignment horizontal="center"/>
    </xf>
    <xf numFmtId="2" fontId="3" fillId="14" borderId="34" xfId="0" applyNumberFormat="1" applyFont="1" applyFill="1" applyBorder="1"/>
    <xf numFmtId="0" fontId="3" fillId="11" borderId="33" xfId="0" applyFont="1" applyFill="1" applyBorder="1" applyAlignment="1">
      <alignment horizontal="center"/>
    </xf>
    <xf numFmtId="2" fontId="3" fillId="11" borderId="34" xfId="0" applyNumberFormat="1" applyFont="1" applyFill="1" applyBorder="1" applyAlignment="1">
      <alignment horizontal="center"/>
    </xf>
    <xf numFmtId="0" fontId="24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2" fontId="1" fillId="0" borderId="0" xfId="0" applyNumberFormat="1" applyFont="1" applyAlignment="1">
      <alignment wrapText="1"/>
    </xf>
    <xf numFmtId="166" fontId="3" fillId="0" borderId="0" xfId="0" applyNumberFormat="1" applyFont="1" applyAlignment="1">
      <alignment horizontal="center"/>
    </xf>
    <xf numFmtId="0" fontId="17" fillId="0" borderId="0" xfId="0" applyFont="1" applyAlignment="1">
      <alignment wrapText="1"/>
    </xf>
    <xf numFmtId="0" fontId="17" fillId="0" borderId="0" xfId="0" applyFont="1"/>
    <xf numFmtId="0" fontId="19" fillId="0" borderId="0" xfId="0" applyFont="1"/>
    <xf numFmtId="10" fontId="6" fillId="0" borderId="0" xfId="0" applyNumberFormat="1" applyFont="1"/>
    <xf numFmtId="0" fontId="17" fillId="0" borderId="4" xfId="0" applyFont="1" applyBorder="1" applyAlignment="1">
      <alignment horizontal="center"/>
    </xf>
    <xf numFmtId="0" fontId="17" fillId="0" borderId="5" xfId="0" applyFont="1" applyBorder="1" applyAlignment="1">
      <alignment horizontal="center" wrapText="1"/>
    </xf>
    <xf numFmtId="0" fontId="17" fillId="0" borderId="6" xfId="0" applyFont="1" applyBorder="1" applyAlignment="1">
      <alignment horizontal="center" wrapText="1"/>
    </xf>
    <xf numFmtId="2" fontId="17" fillId="0" borderId="5" xfId="0" applyNumberFormat="1" applyFont="1" applyBorder="1" applyAlignment="1">
      <alignment horizontal="center" wrapText="1"/>
    </xf>
    <xf numFmtId="0" fontId="17" fillId="0" borderId="0" xfId="0" applyFont="1" applyAlignment="1">
      <alignment horizontal="center" wrapText="1"/>
    </xf>
    <xf numFmtId="0" fontId="2" fillId="0" borderId="7" xfId="0" applyFont="1" applyBorder="1"/>
    <xf numFmtId="2" fontId="2" fillId="0" borderId="0" xfId="0" applyNumberFormat="1" applyFont="1"/>
    <xf numFmtId="2" fontId="2" fillId="0" borderId="8" xfId="0" applyNumberFormat="1" applyFont="1" applyBorder="1"/>
    <xf numFmtId="0" fontId="4" fillId="0" borderId="0" xfId="0" applyFont="1"/>
    <xf numFmtId="0" fontId="25" fillId="0" borderId="0" xfId="0" applyFont="1"/>
    <xf numFmtId="0" fontId="2" fillId="0" borderId="17" xfId="0" applyFont="1" applyBorder="1"/>
    <xf numFmtId="2" fontId="2" fillId="0" borderId="18" xfId="0" applyNumberFormat="1" applyFont="1" applyBorder="1"/>
    <xf numFmtId="0" fontId="2" fillId="0" borderId="18" xfId="0" applyFont="1" applyBorder="1"/>
    <xf numFmtId="0" fontId="1" fillId="0" borderId="10" xfId="0" applyFont="1" applyBorder="1" applyAlignment="1">
      <alignment horizontal="center" vertical="top"/>
    </xf>
    <xf numFmtId="0" fontId="26" fillId="0" borderId="0" xfId="0" applyFont="1" applyAlignment="1">
      <alignment horizontal="right"/>
    </xf>
    <xf numFmtId="0" fontId="27" fillId="0" borderId="0" xfId="0" quotePrefix="1" applyFont="1" applyAlignment="1">
      <alignment horizontal="right"/>
    </xf>
    <xf numFmtId="0" fontId="3" fillId="2" borderId="0" xfId="0" applyFont="1" applyFill="1" applyAlignment="1">
      <alignment horizontal="right"/>
    </xf>
    <xf numFmtId="0" fontId="3" fillId="15" borderId="0" xfId="0" applyFont="1" applyFill="1" applyAlignment="1">
      <alignment horizontal="right"/>
    </xf>
    <xf numFmtId="0" fontId="3" fillId="16" borderId="0" xfId="0" applyFont="1" applyFill="1" applyAlignment="1">
      <alignment horizontal="right"/>
    </xf>
    <xf numFmtId="0" fontId="1" fillId="11" borderId="0" xfId="0" applyFont="1" applyFill="1"/>
    <xf numFmtId="167" fontId="2" fillId="0" borderId="0" xfId="0" applyNumberFormat="1" applyFont="1"/>
    <xf numFmtId="0" fontId="1" fillId="11" borderId="0" xfId="0" applyFont="1" applyFill="1" applyAlignment="1">
      <alignment wrapText="1"/>
    </xf>
    <xf numFmtId="0" fontId="3" fillId="17" borderId="0" xfId="0" applyFont="1" applyFill="1"/>
    <xf numFmtId="0" fontId="10" fillId="17" borderId="0" xfId="0" applyFont="1" applyFill="1" applyAlignment="1">
      <alignment horizontal="center"/>
    </xf>
    <xf numFmtId="0" fontId="10" fillId="17" borderId="0" xfId="0" applyFont="1" applyFill="1" applyAlignment="1">
      <alignment horizontal="right" wrapText="1"/>
    </xf>
    <xf numFmtId="0" fontId="3" fillId="11" borderId="0" xfId="0" applyFont="1" applyFill="1"/>
    <xf numFmtId="0" fontId="19" fillId="0" borderId="0" xfId="0" applyFont="1" applyAlignment="1">
      <alignment horizontal="right"/>
    </xf>
    <xf numFmtId="2" fontId="3" fillId="17" borderId="0" xfId="0" applyNumberFormat="1" applyFont="1" applyFill="1"/>
    <xf numFmtId="2" fontId="10" fillId="17" borderId="0" xfId="0" applyNumberFormat="1" applyFont="1" applyFill="1" applyAlignment="1">
      <alignment horizontal="right" wrapText="1"/>
    </xf>
    <xf numFmtId="168" fontId="2" fillId="5" borderId="10" xfId="0" applyNumberFormat="1" applyFont="1" applyFill="1" applyBorder="1" applyAlignment="1">
      <alignment horizontal="right"/>
    </xf>
    <xf numFmtId="164" fontId="10" fillId="17" borderId="0" xfId="0" applyNumberFormat="1" applyFont="1" applyFill="1" applyAlignment="1">
      <alignment horizontal="center"/>
    </xf>
    <xf numFmtId="10" fontId="2" fillId="5" borderId="10" xfId="0" applyNumberFormat="1" applyFont="1" applyFill="1" applyBorder="1" applyAlignment="1">
      <alignment horizontal="right"/>
    </xf>
    <xf numFmtId="0" fontId="21" fillId="17" borderId="0" xfId="0" applyFont="1" applyFill="1" applyAlignment="1">
      <alignment horizontal="right" wrapText="1"/>
    </xf>
    <xf numFmtId="0" fontId="10" fillId="17" borderId="0" xfId="0" applyFont="1" applyFill="1" applyAlignment="1">
      <alignment horizontal="right"/>
    </xf>
    <xf numFmtId="0" fontId="3" fillId="17" borderId="0" xfId="0" applyFont="1" applyFill="1" applyAlignment="1">
      <alignment horizontal="right"/>
    </xf>
    <xf numFmtId="0" fontId="10" fillId="17" borderId="0" xfId="0" applyFont="1" applyFill="1"/>
    <xf numFmtId="0" fontId="3" fillId="17" borderId="0" xfId="0" applyFont="1" applyFill="1" applyAlignment="1">
      <alignment wrapText="1"/>
    </xf>
    <xf numFmtId="0" fontId="17" fillId="11" borderId="0" xfId="0" applyFont="1" applyFill="1"/>
    <xf numFmtId="0" fontId="2" fillId="17" borderId="0" xfId="0" applyFont="1" applyFill="1"/>
    <xf numFmtId="0" fontId="6" fillId="17" borderId="0" xfId="0" applyFont="1" applyFill="1"/>
    <xf numFmtId="0" fontId="2" fillId="11" borderId="0" xfId="0" applyFont="1" applyFill="1"/>
    <xf numFmtId="0" fontId="28" fillId="17" borderId="0" xfId="0" applyFont="1" applyFill="1" applyAlignment="1">
      <alignment horizontal="center"/>
    </xf>
    <xf numFmtId="0" fontId="3" fillId="17" borderId="0" xfId="0" applyFont="1" applyFill="1" applyAlignment="1">
      <alignment horizontal="center"/>
    </xf>
    <xf numFmtId="3" fontId="3" fillId="17" borderId="0" xfId="0" applyNumberFormat="1" applyFont="1" applyFill="1" applyAlignment="1">
      <alignment horizontal="right"/>
    </xf>
    <xf numFmtId="168" fontId="3" fillId="17" borderId="0" xfId="0" applyNumberFormat="1" applyFont="1" applyFill="1"/>
    <xf numFmtId="168" fontId="3" fillId="0" borderId="0" xfId="0" applyNumberFormat="1" applyFont="1"/>
    <xf numFmtId="168" fontId="3" fillId="18" borderId="0" xfId="0" applyNumberFormat="1" applyFont="1" applyFill="1" applyAlignment="1">
      <alignment horizontal="center"/>
    </xf>
    <xf numFmtId="1" fontId="18" fillId="0" borderId="0" xfId="0" applyNumberFormat="1" applyFont="1"/>
    <xf numFmtId="0" fontId="7" fillId="0" borderId="5" xfId="0" applyFont="1" applyBorder="1" applyAlignment="1">
      <alignment wrapText="1"/>
    </xf>
    <xf numFmtId="0" fontId="7" fillId="0" borderId="6" xfId="0" applyFont="1" applyBorder="1" applyAlignment="1">
      <alignment wrapText="1"/>
    </xf>
    <xf numFmtId="0" fontId="9" fillId="2" borderId="0" xfId="0" applyFont="1" applyFill="1" applyAlignment="1">
      <alignment horizontal="right" wrapText="1"/>
    </xf>
    <xf numFmtId="0" fontId="8" fillId="2" borderId="8" xfId="0" applyFont="1" applyFill="1" applyBorder="1" applyAlignment="1">
      <alignment wrapText="1"/>
    </xf>
    <xf numFmtId="0" fontId="9" fillId="4" borderId="0" xfId="0" applyFont="1" applyFill="1" applyAlignment="1">
      <alignment horizontal="right" wrapText="1"/>
    </xf>
    <xf numFmtId="0" fontId="8" fillId="4" borderId="8" xfId="0" applyFont="1" applyFill="1" applyBorder="1" applyAlignment="1">
      <alignment wrapText="1"/>
    </xf>
    <xf numFmtId="0" fontId="11" fillId="7" borderId="10" xfId="0" applyFont="1" applyFill="1" applyBorder="1" applyAlignment="1">
      <alignment wrapText="1"/>
    </xf>
    <xf numFmtId="9" fontId="12" fillId="7" borderId="10" xfId="0" applyNumberFormat="1" applyFont="1" applyFill="1" applyBorder="1" applyAlignment="1">
      <alignment wrapText="1"/>
    </xf>
    <xf numFmtId="0" fontId="12" fillId="7" borderId="10" xfId="0" applyFont="1" applyFill="1" applyBorder="1" applyAlignment="1">
      <alignment wrapText="1"/>
    </xf>
    <xf numFmtId="10" fontId="3" fillId="7" borderId="10" xfId="0" applyNumberFormat="1" applyFont="1" applyFill="1" applyBorder="1" applyAlignment="1">
      <alignment wrapText="1"/>
    </xf>
    <xf numFmtId="10" fontId="11" fillId="7" borderId="10" xfId="0" applyNumberFormat="1" applyFont="1" applyFill="1" applyBorder="1" applyAlignment="1">
      <alignment wrapText="1"/>
    </xf>
    <xf numFmtId="0" fontId="13" fillId="7" borderId="10" xfId="0" applyFont="1" applyFill="1" applyBorder="1" applyAlignment="1">
      <alignment wrapText="1"/>
    </xf>
    <xf numFmtId="2" fontId="12" fillId="7" borderId="10" xfId="0" applyNumberFormat="1" applyFont="1" applyFill="1" applyBorder="1" applyAlignment="1">
      <alignment wrapText="1"/>
    </xf>
    <xf numFmtId="0" fontId="9" fillId="5" borderId="0" xfId="0" applyFont="1" applyFill="1" applyAlignment="1">
      <alignment horizontal="right" wrapText="1"/>
    </xf>
    <xf numFmtId="0" fontId="8" fillId="5" borderId="8" xfId="0" applyFont="1" applyFill="1" applyBorder="1" applyAlignment="1">
      <alignment wrapText="1"/>
    </xf>
    <xf numFmtId="0" fontId="9" fillId="2" borderId="0" xfId="0" applyFont="1" applyFill="1" applyAlignment="1">
      <alignment wrapText="1"/>
    </xf>
    <xf numFmtId="10" fontId="16" fillId="7" borderId="10" xfId="0" applyNumberFormat="1" applyFont="1" applyFill="1" applyBorder="1" applyAlignment="1">
      <alignment wrapText="1"/>
    </xf>
    <xf numFmtId="0" fontId="9" fillId="8" borderId="0" xfId="0" applyFont="1" applyFill="1" applyAlignment="1">
      <alignment wrapText="1"/>
    </xf>
    <xf numFmtId="0" fontId="8" fillId="8" borderId="8" xfId="0" applyFont="1" applyFill="1" applyBorder="1" applyAlignment="1">
      <alignment wrapText="1"/>
    </xf>
    <xf numFmtId="0" fontId="8" fillId="10" borderId="8" xfId="0" applyFont="1" applyFill="1" applyBorder="1" applyAlignment="1">
      <alignment wrapText="1"/>
    </xf>
    <xf numFmtId="0" fontId="9" fillId="5" borderId="0" xfId="0" applyFont="1" applyFill="1" applyAlignment="1">
      <alignment wrapText="1"/>
    </xf>
    <xf numFmtId="0" fontId="8" fillId="5" borderId="19" xfId="0" applyFont="1" applyFill="1" applyBorder="1" applyAlignment="1">
      <alignment wrapText="1"/>
    </xf>
    <xf numFmtId="0" fontId="17" fillId="4" borderId="10" xfId="0" applyFont="1" applyFill="1" applyBorder="1" applyAlignment="1">
      <alignment wrapText="1"/>
    </xf>
    <xf numFmtId="0" fontId="17" fillId="2" borderId="10" xfId="0" applyFont="1" applyFill="1" applyBorder="1" applyAlignment="1">
      <alignment wrapText="1"/>
    </xf>
    <xf numFmtId="164" fontId="10" fillId="10" borderId="10" xfId="0" applyNumberFormat="1" applyFont="1" applyFill="1" applyBorder="1" applyAlignment="1">
      <alignment wrapText="1"/>
    </xf>
    <xf numFmtId="0" fontId="3" fillId="5" borderId="10" xfId="0" applyFont="1" applyFill="1" applyBorder="1" applyAlignment="1">
      <alignment wrapText="1"/>
    </xf>
    <xf numFmtId="0" fontId="6" fillId="2" borderId="10" xfId="0" applyFont="1" applyFill="1" applyBorder="1" applyAlignment="1">
      <alignment wrapText="1"/>
    </xf>
    <xf numFmtId="0" fontId="2" fillId="2" borderId="10" xfId="0" applyFont="1" applyFill="1" applyBorder="1" applyAlignment="1">
      <alignment wrapText="1"/>
    </xf>
    <xf numFmtId="0" fontId="3" fillId="4" borderId="10" xfId="0" applyFont="1" applyFill="1" applyBorder="1" applyAlignment="1">
      <alignment wrapText="1"/>
    </xf>
    <xf numFmtId="0" fontId="10" fillId="4" borderId="10" xfId="0" applyFont="1" applyFill="1" applyBorder="1" applyAlignment="1">
      <alignment wrapText="1"/>
    </xf>
    <xf numFmtId="0" fontId="0" fillId="0" borderId="0" xfId="0" applyAlignment="1">
      <alignment wrapText="1"/>
    </xf>
    <xf numFmtId="0" fontId="12" fillId="10" borderId="10" xfId="0" applyFont="1" applyFill="1" applyBorder="1" applyAlignment="1">
      <alignment wrapText="1"/>
    </xf>
    <xf numFmtId="0" fontId="17" fillId="8" borderId="10" xfId="0" applyFont="1" applyFill="1" applyBorder="1" applyAlignment="1">
      <alignment wrapText="1"/>
    </xf>
    <xf numFmtId="0" fontId="6" fillId="8" borderId="10" xfId="0" applyFont="1" applyFill="1" applyBorder="1" applyAlignment="1">
      <alignment wrapText="1"/>
    </xf>
    <xf numFmtId="0" fontId="5" fillId="10" borderId="10" xfId="0" applyFont="1" applyFill="1" applyBorder="1" applyAlignment="1">
      <alignment wrapText="1"/>
    </xf>
    <xf numFmtId="0" fontId="6" fillId="10" borderId="10" xfId="0" applyFont="1" applyFill="1" applyBorder="1" applyAlignment="1">
      <alignment wrapText="1"/>
    </xf>
    <xf numFmtId="0" fontId="19" fillId="8" borderId="10" xfId="0" applyFont="1" applyFill="1" applyBorder="1" applyAlignment="1">
      <alignment wrapText="1"/>
    </xf>
    <xf numFmtId="0" fontId="5" fillId="10" borderId="25" xfId="0" applyFont="1" applyFill="1" applyBorder="1" applyAlignment="1">
      <alignment wrapText="1"/>
    </xf>
    <xf numFmtId="0" fontId="10" fillId="10" borderId="10" xfId="0" applyFont="1" applyFill="1" applyBorder="1" applyAlignment="1">
      <alignment horizontal="right" wrapText="1"/>
    </xf>
    <xf numFmtId="0" fontId="5" fillId="5" borderId="10" xfId="0" applyFont="1" applyFill="1" applyBorder="1" applyAlignment="1">
      <alignment wrapText="1"/>
    </xf>
    <xf numFmtId="0" fontId="6" fillId="5" borderId="10" xfId="0" applyFont="1" applyFill="1" applyBorder="1" applyAlignment="1">
      <alignment wrapText="1"/>
    </xf>
    <xf numFmtId="0" fontId="19" fillId="5" borderId="10" xfId="0" applyFont="1" applyFill="1" applyBorder="1" applyAlignment="1">
      <alignment wrapText="1"/>
    </xf>
    <xf numFmtId="0" fontId="5" fillId="5" borderId="10" xfId="0" applyFont="1" applyFill="1" applyBorder="1" applyAlignment="1">
      <alignment horizontal="right" wrapText="1"/>
    </xf>
    <xf numFmtId="10" fontId="6" fillId="5" borderId="10" xfId="0" applyNumberFormat="1" applyFont="1" applyFill="1" applyBorder="1" applyAlignment="1">
      <alignment wrapText="1"/>
    </xf>
    <xf numFmtId="0" fontId="3" fillId="7" borderId="16" xfId="0" applyFont="1" applyFill="1" applyBorder="1" applyAlignment="1">
      <alignment wrapText="1"/>
    </xf>
    <xf numFmtId="0" fontId="15" fillId="0" borderId="16" xfId="0" applyFont="1" applyBorder="1" applyAlignment="1">
      <alignment wrapText="1"/>
    </xf>
    <xf numFmtId="0" fontId="15" fillId="0" borderId="9" xfId="0" applyFont="1" applyBorder="1" applyAlignment="1">
      <alignment wrapText="1"/>
    </xf>
    <xf numFmtId="0" fontId="3" fillId="4" borderId="20" xfId="0" applyFont="1" applyFill="1" applyBorder="1" applyAlignment="1">
      <alignment wrapText="1"/>
    </xf>
    <xf numFmtId="0" fontId="3" fillId="4" borderId="0" xfId="0" applyFont="1" applyFill="1" applyAlignment="1">
      <alignment wrapText="1"/>
    </xf>
    <xf numFmtId="0" fontId="0" fillId="0" borderId="0" xfId="0"/>
    <xf numFmtId="0" fontId="3" fillId="6" borderId="0" xfId="0" applyFont="1" applyFill="1" applyAlignment="1">
      <alignment wrapText="1"/>
    </xf>
    <xf numFmtId="1" fontId="17" fillId="3" borderId="0" xfId="0" applyNumberFormat="1" applyFont="1" applyFill="1" applyAlignment="1">
      <alignment horizontal="center" wrapText="1"/>
    </xf>
    <xf numFmtId="0" fontId="15" fillId="0" borderId="14" xfId="0" applyFont="1" applyBorder="1"/>
    <xf numFmtId="0" fontId="23" fillId="11" borderId="26" xfId="0" applyFont="1" applyFill="1" applyBorder="1" applyAlignment="1">
      <alignment horizontal="center"/>
    </xf>
    <xf numFmtId="0" fontId="15" fillId="0" borderId="27" xfId="0" applyFont="1" applyBorder="1"/>
    <xf numFmtId="0" fontId="2" fillId="0" borderId="0" xfId="0" applyFont="1" applyAlignment="1">
      <alignment wrapText="1"/>
    </xf>
    <xf numFmtId="0" fontId="1" fillId="1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chemeClr val="dk1"/>
                </a:solidFill>
                <a:latin typeface="Verdana"/>
              </a:defRPr>
            </a:pPr>
            <a:r>
              <a:rPr lang="en-CA" b="1">
                <a:solidFill>
                  <a:schemeClr val="dk1"/>
                </a:solidFill>
                <a:latin typeface="Verdana"/>
              </a:rPr>
              <a:t>Energy in, out, and stored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Energy In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'Solar Energy'!$A$21:$A$1000</c:f>
              <c:numCache>
                <c:formatCode>General</c:formatCode>
                <c:ptCount val="98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'Solar Energy'!$G$4:$G$1000</c:f>
              <c:numCache>
                <c:formatCode>0.00</c:formatCode>
                <c:ptCount val="997"/>
                <c:pt idx="15">
                  <c:v>0</c:v>
                </c:pt>
                <c:pt idx="17">
                  <c:v>10178.784000000001</c:v>
                </c:pt>
                <c:pt idx="18">
                  <c:v>10178.784000000001</c:v>
                </c:pt>
                <c:pt idx="19">
                  <c:v>10178.784000000001</c:v>
                </c:pt>
                <c:pt idx="20">
                  <c:v>10178.784000000001</c:v>
                </c:pt>
                <c:pt idx="21">
                  <c:v>10178.784000000001</c:v>
                </c:pt>
                <c:pt idx="22">
                  <c:v>10178.784000000001</c:v>
                </c:pt>
                <c:pt idx="23">
                  <c:v>10178.784000000001</c:v>
                </c:pt>
                <c:pt idx="24">
                  <c:v>10178.784000000001</c:v>
                </c:pt>
                <c:pt idx="25">
                  <c:v>10178.784000000001</c:v>
                </c:pt>
                <c:pt idx="26">
                  <c:v>10178.784000000001</c:v>
                </c:pt>
                <c:pt idx="27">
                  <c:v>10178.784000000001</c:v>
                </c:pt>
                <c:pt idx="28">
                  <c:v>10178.784000000001</c:v>
                </c:pt>
                <c:pt idx="29">
                  <c:v>10178.784000000001</c:v>
                </c:pt>
                <c:pt idx="30">
                  <c:v>10178.784000000001</c:v>
                </c:pt>
                <c:pt idx="31">
                  <c:v>10178.784000000001</c:v>
                </c:pt>
                <c:pt idx="32">
                  <c:v>10178.784000000001</c:v>
                </c:pt>
                <c:pt idx="33">
                  <c:v>10178.784000000001</c:v>
                </c:pt>
                <c:pt idx="34">
                  <c:v>10178.784000000001</c:v>
                </c:pt>
                <c:pt idx="35">
                  <c:v>10178.784000000001</c:v>
                </c:pt>
                <c:pt idx="36">
                  <c:v>10178.784000000001</c:v>
                </c:pt>
                <c:pt idx="37">
                  <c:v>10178.784000000001</c:v>
                </c:pt>
                <c:pt idx="38">
                  <c:v>10178.784000000001</c:v>
                </c:pt>
                <c:pt idx="39">
                  <c:v>10178.784000000001</c:v>
                </c:pt>
                <c:pt idx="40">
                  <c:v>10178.784000000001</c:v>
                </c:pt>
                <c:pt idx="41">
                  <c:v>10178.784000000001</c:v>
                </c:pt>
                <c:pt idx="42">
                  <c:v>10178.784000000001</c:v>
                </c:pt>
                <c:pt idx="43">
                  <c:v>10178.784000000001</c:v>
                </c:pt>
                <c:pt idx="44">
                  <c:v>10178.784000000001</c:v>
                </c:pt>
                <c:pt idx="45">
                  <c:v>10178.784000000001</c:v>
                </c:pt>
                <c:pt idx="46">
                  <c:v>10178.784000000001</c:v>
                </c:pt>
                <c:pt idx="47">
                  <c:v>10178.784000000001</c:v>
                </c:pt>
                <c:pt idx="48">
                  <c:v>9177.0624000000007</c:v>
                </c:pt>
                <c:pt idx="49">
                  <c:v>9177.0624000000007</c:v>
                </c:pt>
                <c:pt idx="50">
                  <c:v>9177.0624000000007</c:v>
                </c:pt>
                <c:pt idx="51">
                  <c:v>9177.0624000000007</c:v>
                </c:pt>
                <c:pt idx="52">
                  <c:v>9177.0624000000007</c:v>
                </c:pt>
                <c:pt idx="53">
                  <c:v>9177.0624000000007</c:v>
                </c:pt>
                <c:pt idx="54">
                  <c:v>9177.0624000000007</c:v>
                </c:pt>
                <c:pt idx="55">
                  <c:v>9177.0624000000007</c:v>
                </c:pt>
                <c:pt idx="56">
                  <c:v>9177.0624000000007</c:v>
                </c:pt>
                <c:pt idx="57">
                  <c:v>9177.0624000000007</c:v>
                </c:pt>
                <c:pt idx="58">
                  <c:v>9177.0624000000007</c:v>
                </c:pt>
                <c:pt idx="59">
                  <c:v>9177.0624000000007</c:v>
                </c:pt>
                <c:pt idx="60">
                  <c:v>9177.0624000000007</c:v>
                </c:pt>
                <c:pt idx="61">
                  <c:v>9177.0624000000007</c:v>
                </c:pt>
                <c:pt idx="62">
                  <c:v>9177.0624000000007</c:v>
                </c:pt>
                <c:pt idx="63">
                  <c:v>9177.0624000000007</c:v>
                </c:pt>
                <c:pt idx="64">
                  <c:v>9177.0624000000007</c:v>
                </c:pt>
                <c:pt idx="65">
                  <c:v>9177.0624000000007</c:v>
                </c:pt>
                <c:pt idx="66">
                  <c:v>9177.0624000000007</c:v>
                </c:pt>
                <c:pt idx="67">
                  <c:v>9177.0624000000007</c:v>
                </c:pt>
                <c:pt idx="68">
                  <c:v>9177.0624000000007</c:v>
                </c:pt>
                <c:pt idx="69">
                  <c:v>9177.0624000000007</c:v>
                </c:pt>
                <c:pt idx="70">
                  <c:v>9177.0624000000007</c:v>
                </c:pt>
                <c:pt idx="71">
                  <c:v>9177.0624000000007</c:v>
                </c:pt>
                <c:pt idx="72">
                  <c:v>9177.0624000000007</c:v>
                </c:pt>
                <c:pt idx="73">
                  <c:v>9177.0624000000007</c:v>
                </c:pt>
                <c:pt idx="74">
                  <c:v>9177.0624000000007</c:v>
                </c:pt>
                <c:pt idx="75">
                  <c:v>9177.0624000000007</c:v>
                </c:pt>
                <c:pt idx="76">
                  <c:v>9177.0624000000007</c:v>
                </c:pt>
                <c:pt idx="77">
                  <c:v>9177.0624000000007</c:v>
                </c:pt>
                <c:pt idx="78">
                  <c:v>9177.0624000000007</c:v>
                </c:pt>
                <c:pt idx="79">
                  <c:v>8078.4</c:v>
                </c:pt>
                <c:pt idx="80">
                  <c:v>8078.4</c:v>
                </c:pt>
                <c:pt idx="81">
                  <c:v>8078.4</c:v>
                </c:pt>
                <c:pt idx="82">
                  <c:v>8078.4</c:v>
                </c:pt>
                <c:pt idx="83">
                  <c:v>8078.4</c:v>
                </c:pt>
                <c:pt idx="84">
                  <c:v>8078.4</c:v>
                </c:pt>
                <c:pt idx="85">
                  <c:v>8078.4</c:v>
                </c:pt>
                <c:pt idx="86">
                  <c:v>8078.4</c:v>
                </c:pt>
                <c:pt idx="87">
                  <c:v>8078.4</c:v>
                </c:pt>
                <c:pt idx="88">
                  <c:v>8078.4</c:v>
                </c:pt>
                <c:pt idx="89">
                  <c:v>8078.4</c:v>
                </c:pt>
                <c:pt idx="90">
                  <c:v>8078.4</c:v>
                </c:pt>
                <c:pt idx="91">
                  <c:v>8078.4</c:v>
                </c:pt>
                <c:pt idx="92">
                  <c:v>8078.4</c:v>
                </c:pt>
                <c:pt idx="93">
                  <c:v>8078.4</c:v>
                </c:pt>
                <c:pt idx="94">
                  <c:v>8078.4</c:v>
                </c:pt>
                <c:pt idx="95">
                  <c:v>8078.4</c:v>
                </c:pt>
                <c:pt idx="96">
                  <c:v>8078.4</c:v>
                </c:pt>
                <c:pt idx="97">
                  <c:v>8078.4</c:v>
                </c:pt>
                <c:pt idx="98">
                  <c:v>8078.4</c:v>
                </c:pt>
                <c:pt idx="99">
                  <c:v>8078.4</c:v>
                </c:pt>
                <c:pt idx="100">
                  <c:v>8078.4</c:v>
                </c:pt>
                <c:pt idx="101">
                  <c:v>8078.4</c:v>
                </c:pt>
                <c:pt idx="102">
                  <c:v>8078.4</c:v>
                </c:pt>
                <c:pt idx="103">
                  <c:v>8078.4</c:v>
                </c:pt>
                <c:pt idx="104">
                  <c:v>8078.4</c:v>
                </c:pt>
                <c:pt idx="105">
                  <c:v>8078.4</c:v>
                </c:pt>
                <c:pt idx="106">
                  <c:v>8078.4</c:v>
                </c:pt>
                <c:pt idx="107">
                  <c:v>8078.4</c:v>
                </c:pt>
                <c:pt idx="108">
                  <c:v>8078.4</c:v>
                </c:pt>
                <c:pt idx="109">
                  <c:v>6947.424</c:v>
                </c:pt>
                <c:pt idx="110">
                  <c:v>6947.424</c:v>
                </c:pt>
                <c:pt idx="111">
                  <c:v>6947.424</c:v>
                </c:pt>
                <c:pt idx="112">
                  <c:v>6947.424</c:v>
                </c:pt>
                <c:pt idx="113">
                  <c:v>6947.424</c:v>
                </c:pt>
                <c:pt idx="114">
                  <c:v>6947.424</c:v>
                </c:pt>
                <c:pt idx="115">
                  <c:v>6947.424</c:v>
                </c:pt>
                <c:pt idx="116">
                  <c:v>6947.424</c:v>
                </c:pt>
                <c:pt idx="117">
                  <c:v>6947.424</c:v>
                </c:pt>
                <c:pt idx="118">
                  <c:v>6947.424</c:v>
                </c:pt>
                <c:pt idx="119">
                  <c:v>6947.424</c:v>
                </c:pt>
                <c:pt idx="120">
                  <c:v>6947.424</c:v>
                </c:pt>
                <c:pt idx="121">
                  <c:v>6947.424</c:v>
                </c:pt>
                <c:pt idx="122">
                  <c:v>6947.424</c:v>
                </c:pt>
                <c:pt idx="123">
                  <c:v>6947.424</c:v>
                </c:pt>
                <c:pt idx="124">
                  <c:v>6947.424</c:v>
                </c:pt>
                <c:pt idx="125">
                  <c:v>6947.424</c:v>
                </c:pt>
                <c:pt idx="126">
                  <c:v>6947.424</c:v>
                </c:pt>
                <c:pt idx="127">
                  <c:v>6947.424</c:v>
                </c:pt>
                <c:pt idx="128">
                  <c:v>6947.424</c:v>
                </c:pt>
                <c:pt idx="129">
                  <c:v>6947.424</c:v>
                </c:pt>
                <c:pt idx="130">
                  <c:v>6947.424</c:v>
                </c:pt>
                <c:pt idx="131">
                  <c:v>6947.424</c:v>
                </c:pt>
                <c:pt idx="132">
                  <c:v>6947.424</c:v>
                </c:pt>
                <c:pt idx="133">
                  <c:v>6947.424</c:v>
                </c:pt>
                <c:pt idx="134">
                  <c:v>6947.424</c:v>
                </c:pt>
                <c:pt idx="135">
                  <c:v>6947.424</c:v>
                </c:pt>
                <c:pt idx="136">
                  <c:v>6947.424</c:v>
                </c:pt>
                <c:pt idx="137">
                  <c:v>6947.424</c:v>
                </c:pt>
                <c:pt idx="138">
                  <c:v>6947.424</c:v>
                </c:pt>
                <c:pt idx="139">
                  <c:v>6947.424</c:v>
                </c:pt>
                <c:pt idx="140">
                  <c:v>5816.4480000000003</c:v>
                </c:pt>
                <c:pt idx="141">
                  <c:v>5816.4480000000003</c:v>
                </c:pt>
                <c:pt idx="142">
                  <c:v>5816.4480000000003</c:v>
                </c:pt>
                <c:pt idx="143">
                  <c:v>5816.4480000000003</c:v>
                </c:pt>
                <c:pt idx="144">
                  <c:v>5816.4480000000003</c:v>
                </c:pt>
                <c:pt idx="145">
                  <c:v>5816.4480000000003</c:v>
                </c:pt>
                <c:pt idx="146">
                  <c:v>5816.4480000000003</c:v>
                </c:pt>
                <c:pt idx="147">
                  <c:v>5816.4480000000003</c:v>
                </c:pt>
                <c:pt idx="148">
                  <c:v>5816.4480000000003</c:v>
                </c:pt>
                <c:pt idx="149">
                  <c:v>5816.4480000000003</c:v>
                </c:pt>
                <c:pt idx="150">
                  <c:v>5816.4480000000003</c:v>
                </c:pt>
                <c:pt idx="151">
                  <c:v>5816.4480000000003</c:v>
                </c:pt>
                <c:pt idx="152">
                  <c:v>5816.4480000000003</c:v>
                </c:pt>
                <c:pt idx="153">
                  <c:v>5816.4480000000003</c:v>
                </c:pt>
                <c:pt idx="154">
                  <c:v>5816.4480000000003</c:v>
                </c:pt>
                <c:pt idx="155">
                  <c:v>5816.4480000000003</c:v>
                </c:pt>
                <c:pt idx="156">
                  <c:v>5816.4480000000003</c:v>
                </c:pt>
                <c:pt idx="157">
                  <c:v>5816.4480000000003</c:v>
                </c:pt>
                <c:pt idx="158">
                  <c:v>5816.4480000000003</c:v>
                </c:pt>
                <c:pt idx="159">
                  <c:v>5816.4480000000003</c:v>
                </c:pt>
                <c:pt idx="160">
                  <c:v>5816.4480000000003</c:v>
                </c:pt>
                <c:pt idx="161">
                  <c:v>5816.4480000000003</c:v>
                </c:pt>
                <c:pt idx="162">
                  <c:v>5816.4480000000003</c:v>
                </c:pt>
                <c:pt idx="163">
                  <c:v>5816.4480000000003</c:v>
                </c:pt>
                <c:pt idx="164">
                  <c:v>5816.4480000000003</c:v>
                </c:pt>
                <c:pt idx="165">
                  <c:v>5816.4480000000003</c:v>
                </c:pt>
                <c:pt idx="166">
                  <c:v>5816.4480000000003</c:v>
                </c:pt>
                <c:pt idx="167">
                  <c:v>5816.4480000000003</c:v>
                </c:pt>
                <c:pt idx="168">
                  <c:v>5816.4480000000003</c:v>
                </c:pt>
                <c:pt idx="169">
                  <c:v>5816.4480000000003</c:v>
                </c:pt>
                <c:pt idx="170">
                  <c:v>5331.7440000000006</c:v>
                </c:pt>
                <c:pt idx="171">
                  <c:v>5331.7440000000006</c:v>
                </c:pt>
                <c:pt idx="172">
                  <c:v>5331.7440000000006</c:v>
                </c:pt>
                <c:pt idx="173">
                  <c:v>5331.7440000000006</c:v>
                </c:pt>
                <c:pt idx="174">
                  <c:v>5331.7440000000006</c:v>
                </c:pt>
                <c:pt idx="175">
                  <c:v>5331.7440000000006</c:v>
                </c:pt>
                <c:pt idx="176">
                  <c:v>5331.7440000000006</c:v>
                </c:pt>
                <c:pt idx="177">
                  <c:v>5331.7440000000006</c:v>
                </c:pt>
                <c:pt idx="178">
                  <c:v>5331.7440000000006</c:v>
                </c:pt>
                <c:pt idx="179">
                  <c:v>5331.7440000000006</c:v>
                </c:pt>
                <c:pt idx="180">
                  <c:v>5331.7440000000006</c:v>
                </c:pt>
                <c:pt idx="181">
                  <c:v>5331.7440000000006</c:v>
                </c:pt>
                <c:pt idx="182">
                  <c:v>5331.7440000000006</c:v>
                </c:pt>
                <c:pt idx="183">
                  <c:v>5331.7440000000006</c:v>
                </c:pt>
                <c:pt idx="184">
                  <c:v>5331.7440000000006</c:v>
                </c:pt>
                <c:pt idx="185">
                  <c:v>5331.7440000000006</c:v>
                </c:pt>
                <c:pt idx="186">
                  <c:v>5331.7440000000006</c:v>
                </c:pt>
                <c:pt idx="187">
                  <c:v>5331.7440000000006</c:v>
                </c:pt>
                <c:pt idx="188">
                  <c:v>5331.7440000000006</c:v>
                </c:pt>
                <c:pt idx="189">
                  <c:v>5331.7440000000006</c:v>
                </c:pt>
                <c:pt idx="190">
                  <c:v>5331.7440000000006</c:v>
                </c:pt>
                <c:pt idx="191">
                  <c:v>5331.7440000000006</c:v>
                </c:pt>
                <c:pt idx="192">
                  <c:v>5331.7440000000006</c:v>
                </c:pt>
                <c:pt idx="193">
                  <c:v>5331.7440000000006</c:v>
                </c:pt>
                <c:pt idx="194">
                  <c:v>5331.7440000000006</c:v>
                </c:pt>
                <c:pt idx="195">
                  <c:v>5331.7440000000006</c:v>
                </c:pt>
                <c:pt idx="196">
                  <c:v>5331.7440000000006</c:v>
                </c:pt>
                <c:pt idx="197">
                  <c:v>5331.7440000000006</c:v>
                </c:pt>
                <c:pt idx="198">
                  <c:v>5331.7440000000006</c:v>
                </c:pt>
                <c:pt idx="199">
                  <c:v>5331.7440000000006</c:v>
                </c:pt>
                <c:pt idx="200">
                  <c:v>5331.7440000000006</c:v>
                </c:pt>
                <c:pt idx="201">
                  <c:v>5493.3120000000008</c:v>
                </c:pt>
                <c:pt idx="202">
                  <c:v>5493.3120000000008</c:v>
                </c:pt>
                <c:pt idx="203">
                  <c:v>5493.3120000000008</c:v>
                </c:pt>
                <c:pt idx="204">
                  <c:v>5493.3120000000008</c:v>
                </c:pt>
                <c:pt idx="205">
                  <c:v>5493.3120000000008</c:v>
                </c:pt>
                <c:pt idx="206">
                  <c:v>5493.3120000000008</c:v>
                </c:pt>
                <c:pt idx="207">
                  <c:v>5493.3120000000008</c:v>
                </c:pt>
                <c:pt idx="208">
                  <c:v>5493.3120000000008</c:v>
                </c:pt>
                <c:pt idx="209">
                  <c:v>5493.3120000000008</c:v>
                </c:pt>
                <c:pt idx="210">
                  <c:v>5493.3120000000008</c:v>
                </c:pt>
                <c:pt idx="211">
                  <c:v>5493.3120000000008</c:v>
                </c:pt>
                <c:pt idx="212">
                  <c:v>5493.3120000000008</c:v>
                </c:pt>
                <c:pt idx="213">
                  <c:v>5493.3120000000008</c:v>
                </c:pt>
                <c:pt idx="214">
                  <c:v>5493.3120000000008</c:v>
                </c:pt>
                <c:pt idx="215">
                  <c:v>5493.3120000000008</c:v>
                </c:pt>
                <c:pt idx="216">
                  <c:v>5493.3120000000008</c:v>
                </c:pt>
                <c:pt idx="217">
                  <c:v>5493.3120000000008</c:v>
                </c:pt>
                <c:pt idx="218">
                  <c:v>5493.3120000000008</c:v>
                </c:pt>
                <c:pt idx="219">
                  <c:v>5493.3120000000008</c:v>
                </c:pt>
                <c:pt idx="220">
                  <c:v>5493.3120000000008</c:v>
                </c:pt>
                <c:pt idx="221">
                  <c:v>5493.3120000000008</c:v>
                </c:pt>
                <c:pt idx="222">
                  <c:v>5493.3120000000008</c:v>
                </c:pt>
                <c:pt idx="223">
                  <c:v>5493.3120000000008</c:v>
                </c:pt>
                <c:pt idx="224">
                  <c:v>5493.3120000000008</c:v>
                </c:pt>
                <c:pt idx="225">
                  <c:v>5493.3120000000008</c:v>
                </c:pt>
                <c:pt idx="226">
                  <c:v>5493.3120000000008</c:v>
                </c:pt>
                <c:pt idx="227">
                  <c:v>5493.3120000000008</c:v>
                </c:pt>
                <c:pt idx="228">
                  <c:v>5493.3120000000008</c:v>
                </c:pt>
                <c:pt idx="229">
                  <c:v>5493.3120000000008</c:v>
                </c:pt>
                <c:pt idx="230">
                  <c:v>5493.3120000000008</c:v>
                </c:pt>
                <c:pt idx="231">
                  <c:v>5493.3120000000008</c:v>
                </c:pt>
                <c:pt idx="232">
                  <c:v>6462.72</c:v>
                </c:pt>
                <c:pt idx="233">
                  <c:v>6462.72</c:v>
                </c:pt>
                <c:pt idx="234">
                  <c:v>6462.72</c:v>
                </c:pt>
                <c:pt idx="235">
                  <c:v>6462.72</c:v>
                </c:pt>
                <c:pt idx="236">
                  <c:v>6462.72</c:v>
                </c:pt>
                <c:pt idx="237">
                  <c:v>6462.72</c:v>
                </c:pt>
                <c:pt idx="238">
                  <c:v>6462.72</c:v>
                </c:pt>
                <c:pt idx="239">
                  <c:v>6462.72</c:v>
                </c:pt>
                <c:pt idx="240">
                  <c:v>6462.72</c:v>
                </c:pt>
                <c:pt idx="241">
                  <c:v>6462.72</c:v>
                </c:pt>
                <c:pt idx="242">
                  <c:v>6462.72</c:v>
                </c:pt>
                <c:pt idx="243">
                  <c:v>6462.72</c:v>
                </c:pt>
                <c:pt idx="244">
                  <c:v>6462.72</c:v>
                </c:pt>
                <c:pt idx="245">
                  <c:v>6462.72</c:v>
                </c:pt>
                <c:pt idx="246">
                  <c:v>6462.72</c:v>
                </c:pt>
                <c:pt idx="247">
                  <c:v>6462.72</c:v>
                </c:pt>
                <c:pt idx="248">
                  <c:v>6462.72</c:v>
                </c:pt>
                <c:pt idx="249">
                  <c:v>6462.72</c:v>
                </c:pt>
                <c:pt idx="250">
                  <c:v>6462.72</c:v>
                </c:pt>
                <c:pt idx="251">
                  <c:v>6462.72</c:v>
                </c:pt>
                <c:pt idx="252">
                  <c:v>6462.72</c:v>
                </c:pt>
                <c:pt idx="253">
                  <c:v>6462.72</c:v>
                </c:pt>
                <c:pt idx="254">
                  <c:v>6462.72</c:v>
                </c:pt>
                <c:pt idx="255">
                  <c:v>6462.72</c:v>
                </c:pt>
                <c:pt idx="256">
                  <c:v>6462.72</c:v>
                </c:pt>
                <c:pt idx="257">
                  <c:v>6462.72</c:v>
                </c:pt>
                <c:pt idx="258">
                  <c:v>6462.72</c:v>
                </c:pt>
                <c:pt idx="259">
                  <c:v>6462.72</c:v>
                </c:pt>
                <c:pt idx="260">
                  <c:v>6462.72</c:v>
                </c:pt>
                <c:pt idx="261">
                  <c:v>7626.0096000000003</c:v>
                </c:pt>
                <c:pt idx="262">
                  <c:v>7626.0096000000003</c:v>
                </c:pt>
                <c:pt idx="263">
                  <c:v>7626.0096000000003</c:v>
                </c:pt>
                <c:pt idx="264">
                  <c:v>7626.0096000000003</c:v>
                </c:pt>
                <c:pt idx="265">
                  <c:v>7626.0096000000003</c:v>
                </c:pt>
                <c:pt idx="266">
                  <c:v>7626.0096000000003</c:v>
                </c:pt>
                <c:pt idx="267">
                  <c:v>7626.0096000000003</c:v>
                </c:pt>
                <c:pt idx="268">
                  <c:v>7626.0096000000003</c:v>
                </c:pt>
                <c:pt idx="269">
                  <c:v>7626.0096000000003</c:v>
                </c:pt>
                <c:pt idx="270">
                  <c:v>7626.0096000000003</c:v>
                </c:pt>
                <c:pt idx="271">
                  <c:v>7626.0096000000003</c:v>
                </c:pt>
                <c:pt idx="272">
                  <c:v>7626.0096000000003</c:v>
                </c:pt>
                <c:pt idx="273">
                  <c:v>7626.0096000000003</c:v>
                </c:pt>
                <c:pt idx="274">
                  <c:v>7626.0096000000003</c:v>
                </c:pt>
                <c:pt idx="275">
                  <c:v>7626.0096000000003</c:v>
                </c:pt>
                <c:pt idx="276">
                  <c:v>7626.0096000000003</c:v>
                </c:pt>
                <c:pt idx="277">
                  <c:v>7626.0096000000003</c:v>
                </c:pt>
                <c:pt idx="278">
                  <c:v>7626.0096000000003</c:v>
                </c:pt>
                <c:pt idx="279">
                  <c:v>7626.0096000000003</c:v>
                </c:pt>
                <c:pt idx="280">
                  <c:v>7626.0096000000003</c:v>
                </c:pt>
                <c:pt idx="281">
                  <c:v>7626.0096000000003</c:v>
                </c:pt>
                <c:pt idx="282">
                  <c:v>7626.0096000000003</c:v>
                </c:pt>
                <c:pt idx="283">
                  <c:v>7626.0096000000003</c:v>
                </c:pt>
                <c:pt idx="284">
                  <c:v>7626.0096000000003</c:v>
                </c:pt>
                <c:pt idx="285">
                  <c:v>7626.0096000000003</c:v>
                </c:pt>
                <c:pt idx="286">
                  <c:v>7626.0096000000003</c:v>
                </c:pt>
                <c:pt idx="287">
                  <c:v>7626.0096000000003</c:v>
                </c:pt>
                <c:pt idx="288">
                  <c:v>7626.0096000000003</c:v>
                </c:pt>
                <c:pt idx="289">
                  <c:v>7626.0096000000003</c:v>
                </c:pt>
                <c:pt idx="290">
                  <c:v>7626.0096000000003</c:v>
                </c:pt>
                <c:pt idx="291">
                  <c:v>7626.0096000000003</c:v>
                </c:pt>
                <c:pt idx="292">
                  <c:v>8789.2991999999995</c:v>
                </c:pt>
                <c:pt idx="293">
                  <c:v>8789.2991999999995</c:v>
                </c:pt>
                <c:pt idx="294">
                  <c:v>8789.2991999999995</c:v>
                </c:pt>
                <c:pt idx="295">
                  <c:v>8789.2991999999995</c:v>
                </c:pt>
                <c:pt idx="296">
                  <c:v>8789.2991999999995</c:v>
                </c:pt>
                <c:pt idx="297">
                  <c:v>8789.2991999999995</c:v>
                </c:pt>
                <c:pt idx="298">
                  <c:v>8789.2991999999995</c:v>
                </c:pt>
                <c:pt idx="299">
                  <c:v>8789.2991999999995</c:v>
                </c:pt>
                <c:pt idx="300">
                  <c:v>8789.2991999999995</c:v>
                </c:pt>
                <c:pt idx="301">
                  <c:v>8789.2991999999995</c:v>
                </c:pt>
                <c:pt idx="302">
                  <c:v>8789.2991999999995</c:v>
                </c:pt>
                <c:pt idx="303">
                  <c:v>8789.2991999999995</c:v>
                </c:pt>
                <c:pt idx="304">
                  <c:v>8789.2991999999995</c:v>
                </c:pt>
                <c:pt idx="305">
                  <c:v>8789.2991999999995</c:v>
                </c:pt>
                <c:pt idx="306">
                  <c:v>8789.2991999999995</c:v>
                </c:pt>
                <c:pt idx="307">
                  <c:v>8789.2991999999995</c:v>
                </c:pt>
                <c:pt idx="308">
                  <c:v>8789.2991999999995</c:v>
                </c:pt>
                <c:pt idx="309">
                  <c:v>8789.2991999999995</c:v>
                </c:pt>
                <c:pt idx="310">
                  <c:v>8789.2991999999995</c:v>
                </c:pt>
                <c:pt idx="311">
                  <c:v>8789.2991999999995</c:v>
                </c:pt>
                <c:pt idx="312">
                  <c:v>8789.2991999999995</c:v>
                </c:pt>
                <c:pt idx="313">
                  <c:v>8789.2991999999995</c:v>
                </c:pt>
                <c:pt idx="314">
                  <c:v>8789.2991999999995</c:v>
                </c:pt>
                <c:pt idx="315">
                  <c:v>8789.2991999999995</c:v>
                </c:pt>
                <c:pt idx="316">
                  <c:v>8789.2991999999995</c:v>
                </c:pt>
                <c:pt idx="317">
                  <c:v>8789.2991999999995</c:v>
                </c:pt>
                <c:pt idx="318">
                  <c:v>8789.2991999999995</c:v>
                </c:pt>
                <c:pt idx="319">
                  <c:v>8789.2991999999995</c:v>
                </c:pt>
                <c:pt idx="320">
                  <c:v>8789.2991999999995</c:v>
                </c:pt>
                <c:pt idx="321">
                  <c:v>8789.2991999999995</c:v>
                </c:pt>
                <c:pt idx="322">
                  <c:v>9887.9616000000005</c:v>
                </c:pt>
                <c:pt idx="323">
                  <c:v>9887.9616000000005</c:v>
                </c:pt>
                <c:pt idx="324">
                  <c:v>9887.9616000000005</c:v>
                </c:pt>
                <c:pt idx="325">
                  <c:v>9887.9616000000005</c:v>
                </c:pt>
                <c:pt idx="326">
                  <c:v>9887.9616000000005</c:v>
                </c:pt>
                <c:pt idx="327">
                  <c:v>9887.9616000000005</c:v>
                </c:pt>
                <c:pt idx="328">
                  <c:v>9887.9616000000005</c:v>
                </c:pt>
                <c:pt idx="329">
                  <c:v>9887.9616000000005</c:v>
                </c:pt>
                <c:pt idx="330">
                  <c:v>9887.9616000000005</c:v>
                </c:pt>
                <c:pt idx="331">
                  <c:v>9887.9616000000005</c:v>
                </c:pt>
                <c:pt idx="332">
                  <c:v>9887.9616000000005</c:v>
                </c:pt>
                <c:pt idx="333">
                  <c:v>9887.9616000000005</c:v>
                </c:pt>
                <c:pt idx="334">
                  <c:v>9887.9616000000005</c:v>
                </c:pt>
                <c:pt idx="335">
                  <c:v>9887.9616000000005</c:v>
                </c:pt>
                <c:pt idx="336">
                  <c:v>9887.9616000000005</c:v>
                </c:pt>
                <c:pt idx="337">
                  <c:v>9887.9616000000005</c:v>
                </c:pt>
                <c:pt idx="338">
                  <c:v>9887.9616000000005</c:v>
                </c:pt>
                <c:pt idx="339">
                  <c:v>9887.9616000000005</c:v>
                </c:pt>
                <c:pt idx="340">
                  <c:v>9887.9616000000005</c:v>
                </c:pt>
                <c:pt idx="341">
                  <c:v>9887.9616000000005</c:v>
                </c:pt>
                <c:pt idx="342">
                  <c:v>9887.9616000000005</c:v>
                </c:pt>
                <c:pt idx="343">
                  <c:v>9887.9616000000005</c:v>
                </c:pt>
                <c:pt idx="344">
                  <c:v>9887.9616000000005</c:v>
                </c:pt>
                <c:pt idx="345">
                  <c:v>9887.9616000000005</c:v>
                </c:pt>
                <c:pt idx="346">
                  <c:v>9887.9616000000005</c:v>
                </c:pt>
                <c:pt idx="347">
                  <c:v>9887.9616000000005</c:v>
                </c:pt>
                <c:pt idx="348">
                  <c:v>9887.9616000000005</c:v>
                </c:pt>
                <c:pt idx="349">
                  <c:v>9887.9616000000005</c:v>
                </c:pt>
                <c:pt idx="350">
                  <c:v>9887.9616000000005</c:v>
                </c:pt>
                <c:pt idx="351">
                  <c:v>9887.9616000000005</c:v>
                </c:pt>
                <c:pt idx="352">
                  <c:v>9887.9616000000005</c:v>
                </c:pt>
                <c:pt idx="353">
                  <c:v>10340.352000000001</c:v>
                </c:pt>
                <c:pt idx="354">
                  <c:v>10340.352000000001</c:v>
                </c:pt>
                <c:pt idx="355">
                  <c:v>10340.352000000001</c:v>
                </c:pt>
                <c:pt idx="356">
                  <c:v>10340.352000000001</c:v>
                </c:pt>
                <c:pt idx="357">
                  <c:v>10340.352000000001</c:v>
                </c:pt>
                <c:pt idx="358">
                  <c:v>10340.352000000001</c:v>
                </c:pt>
                <c:pt idx="359">
                  <c:v>10340.352000000001</c:v>
                </c:pt>
                <c:pt idx="360">
                  <c:v>10340.352000000001</c:v>
                </c:pt>
                <c:pt idx="361">
                  <c:v>10340.352000000001</c:v>
                </c:pt>
                <c:pt idx="362">
                  <c:v>10340.352000000001</c:v>
                </c:pt>
                <c:pt idx="363">
                  <c:v>10340.352000000001</c:v>
                </c:pt>
                <c:pt idx="364">
                  <c:v>10340.352000000001</c:v>
                </c:pt>
                <c:pt idx="365">
                  <c:v>10340.352000000001</c:v>
                </c:pt>
                <c:pt idx="366">
                  <c:v>10340.352000000001</c:v>
                </c:pt>
                <c:pt idx="367">
                  <c:v>10340.352000000001</c:v>
                </c:pt>
                <c:pt idx="368">
                  <c:v>10340.352000000001</c:v>
                </c:pt>
                <c:pt idx="369">
                  <c:v>10340.352000000001</c:v>
                </c:pt>
                <c:pt idx="370">
                  <c:v>10340.352000000001</c:v>
                </c:pt>
                <c:pt idx="371">
                  <c:v>10340.352000000001</c:v>
                </c:pt>
                <c:pt idx="372">
                  <c:v>10340.352000000001</c:v>
                </c:pt>
                <c:pt idx="373">
                  <c:v>10340.352000000001</c:v>
                </c:pt>
                <c:pt idx="374">
                  <c:v>10340.352000000001</c:v>
                </c:pt>
                <c:pt idx="375">
                  <c:v>10340.352000000001</c:v>
                </c:pt>
                <c:pt idx="376">
                  <c:v>10340.352000000001</c:v>
                </c:pt>
                <c:pt idx="377">
                  <c:v>10340.352000000001</c:v>
                </c:pt>
                <c:pt idx="378">
                  <c:v>10340.352000000001</c:v>
                </c:pt>
                <c:pt idx="379">
                  <c:v>10340.352000000001</c:v>
                </c:pt>
                <c:pt idx="380">
                  <c:v>10340.352000000001</c:v>
                </c:pt>
                <c:pt idx="381">
                  <c:v>10340.352000000001</c:v>
                </c:pt>
                <c:pt idx="382">
                  <c:v>10340.352000000001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B3-49D6-A098-33DF4833240D}"/>
            </c:ext>
          </c:extLst>
        </c:ser>
        <c:ser>
          <c:idx val="1"/>
          <c:order val="1"/>
          <c:tx>
            <c:v>Energy Out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numRef>
              <c:f>'Solar Energy'!$A$21:$A$1000</c:f>
              <c:numCache>
                <c:formatCode>General</c:formatCode>
                <c:ptCount val="98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'Solar Energy'!$J$4:$J$1000</c:f>
              <c:numCache>
                <c:formatCode>0.00</c:formatCode>
                <c:ptCount val="997"/>
                <c:pt idx="15">
                  <c:v>0</c:v>
                </c:pt>
                <c:pt idx="17">
                  <c:v>899.99999999999989</c:v>
                </c:pt>
                <c:pt idx="18">
                  <c:v>1483.4762505446647</c:v>
                </c:pt>
                <c:pt idx="19">
                  <c:v>2909.7515296538463</c:v>
                </c:pt>
                <c:pt idx="20">
                  <c:v>3947.0426417332515</c:v>
                </c:pt>
                <c:pt idx="21">
                  <c:v>8267.1243755639534</c:v>
                </c:pt>
                <c:pt idx="22">
                  <c:v>5308.48722633747</c:v>
                </c:pt>
                <c:pt idx="23">
                  <c:v>899.99999999999989</c:v>
                </c:pt>
                <c:pt idx="24">
                  <c:v>899.99999999999989</c:v>
                </c:pt>
                <c:pt idx="25">
                  <c:v>899.99999999999989</c:v>
                </c:pt>
                <c:pt idx="26">
                  <c:v>899.99999999999989</c:v>
                </c:pt>
                <c:pt idx="27">
                  <c:v>899.99999999999989</c:v>
                </c:pt>
                <c:pt idx="28">
                  <c:v>899.99999999999989</c:v>
                </c:pt>
                <c:pt idx="29">
                  <c:v>899.99999999999989</c:v>
                </c:pt>
                <c:pt idx="30">
                  <c:v>899.99999999999989</c:v>
                </c:pt>
                <c:pt idx="31">
                  <c:v>899.99999999999989</c:v>
                </c:pt>
                <c:pt idx="32">
                  <c:v>899.99999999999989</c:v>
                </c:pt>
                <c:pt idx="33">
                  <c:v>899.99999999999989</c:v>
                </c:pt>
                <c:pt idx="34">
                  <c:v>8267.1243755639534</c:v>
                </c:pt>
                <c:pt idx="35">
                  <c:v>1483.4762505446647</c:v>
                </c:pt>
                <c:pt idx="36">
                  <c:v>899.99999999999989</c:v>
                </c:pt>
                <c:pt idx="37">
                  <c:v>899.99999999999989</c:v>
                </c:pt>
                <c:pt idx="38">
                  <c:v>3493.2277801985124</c:v>
                </c:pt>
                <c:pt idx="39">
                  <c:v>6799.5931999516151</c:v>
                </c:pt>
                <c:pt idx="40">
                  <c:v>1094.4920835148882</c:v>
                </c:pt>
                <c:pt idx="41">
                  <c:v>899.99999999999989</c:v>
                </c:pt>
                <c:pt idx="42">
                  <c:v>899.99999999999989</c:v>
                </c:pt>
                <c:pt idx="43">
                  <c:v>899.99999999999989</c:v>
                </c:pt>
                <c:pt idx="44">
                  <c:v>899.99999999999989</c:v>
                </c:pt>
                <c:pt idx="45">
                  <c:v>899.99999999999989</c:v>
                </c:pt>
                <c:pt idx="46">
                  <c:v>899.99999999999989</c:v>
                </c:pt>
                <c:pt idx="47">
                  <c:v>899.99999999999989</c:v>
                </c:pt>
                <c:pt idx="48">
                  <c:v>899.99999999999989</c:v>
                </c:pt>
                <c:pt idx="49">
                  <c:v>899.99999999999989</c:v>
                </c:pt>
                <c:pt idx="50">
                  <c:v>899.99999999999989</c:v>
                </c:pt>
                <c:pt idx="51">
                  <c:v>899.99999999999989</c:v>
                </c:pt>
                <c:pt idx="52">
                  <c:v>899.99999999999989</c:v>
                </c:pt>
                <c:pt idx="53">
                  <c:v>899.99999999999989</c:v>
                </c:pt>
                <c:pt idx="54">
                  <c:v>899.99999999999989</c:v>
                </c:pt>
                <c:pt idx="55">
                  <c:v>899.99999999999989</c:v>
                </c:pt>
                <c:pt idx="56">
                  <c:v>899.99999999999989</c:v>
                </c:pt>
                <c:pt idx="57">
                  <c:v>899.99999999999989</c:v>
                </c:pt>
                <c:pt idx="58">
                  <c:v>899.99999999999989</c:v>
                </c:pt>
                <c:pt idx="59">
                  <c:v>899.99999999999989</c:v>
                </c:pt>
                <c:pt idx="60">
                  <c:v>899.99999999999989</c:v>
                </c:pt>
                <c:pt idx="61">
                  <c:v>899.99999999999989</c:v>
                </c:pt>
                <c:pt idx="62">
                  <c:v>899.99999999999989</c:v>
                </c:pt>
                <c:pt idx="63">
                  <c:v>899.99999999999989</c:v>
                </c:pt>
                <c:pt idx="64">
                  <c:v>899.99999999999989</c:v>
                </c:pt>
                <c:pt idx="65">
                  <c:v>899.99999999999989</c:v>
                </c:pt>
                <c:pt idx="66">
                  <c:v>899.99999999999989</c:v>
                </c:pt>
                <c:pt idx="67">
                  <c:v>899.99999999999989</c:v>
                </c:pt>
                <c:pt idx="68">
                  <c:v>899.99999999999989</c:v>
                </c:pt>
                <c:pt idx="69">
                  <c:v>899.99999999999989</c:v>
                </c:pt>
                <c:pt idx="70">
                  <c:v>899.99999999999989</c:v>
                </c:pt>
                <c:pt idx="71">
                  <c:v>899.99999999999989</c:v>
                </c:pt>
                <c:pt idx="72">
                  <c:v>899.99999999999989</c:v>
                </c:pt>
                <c:pt idx="73">
                  <c:v>899.99999999999989</c:v>
                </c:pt>
                <c:pt idx="74">
                  <c:v>899.99999999999989</c:v>
                </c:pt>
                <c:pt idx="75">
                  <c:v>1029.6613890099256</c:v>
                </c:pt>
                <c:pt idx="76">
                  <c:v>3428.3970856935493</c:v>
                </c:pt>
                <c:pt idx="77">
                  <c:v>2066.9525010893299</c:v>
                </c:pt>
                <c:pt idx="78">
                  <c:v>4336.0268087630284</c:v>
                </c:pt>
                <c:pt idx="79">
                  <c:v>1937.2911120794049</c:v>
                </c:pt>
                <c:pt idx="80">
                  <c:v>2909.7515296538463</c:v>
                </c:pt>
                <c:pt idx="81">
                  <c:v>899.99999999999989</c:v>
                </c:pt>
                <c:pt idx="82">
                  <c:v>899.99999999999989</c:v>
                </c:pt>
                <c:pt idx="83">
                  <c:v>899.99999999999989</c:v>
                </c:pt>
                <c:pt idx="84">
                  <c:v>899.99999999999989</c:v>
                </c:pt>
                <c:pt idx="85">
                  <c:v>899.99999999999989</c:v>
                </c:pt>
                <c:pt idx="86">
                  <c:v>899.99999999999989</c:v>
                </c:pt>
                <c:pt idx="87">
                  <c:v>899.99999999999989</c:v>
                </c:pt>
                <c:pt idx="88">
                  <c:v>899.99999999999989</c:v>
                </c:pt>
                <c:pt idx="89">
                  <c:v>899.99999999999989</c:v>
                </c:pt>
                <c:pt idx="90">
                  <c:v>899.99999999999989</c:v>
                </c:pt>
                <c:pt idx="91">
                  <c:v>899.99999999999989</c:v>
                </c:pt>
                <c:pt idx="92">
                  <c:v>899.99999999999989</c:v>
                </c:pt>
                <c:pt idx="93">
                  <c:v>899.99999999999989</c:v>
                </c:pt>
                <c:pt idx="94">
                  <c:v>899.99999999999989</c:v>
                </c:pt>
                <c:pt idx="95">
                  <c:v>899.99999999999989</c:v>
                </c:pt>
                <c:pt idx="96">
                  <c:v>8267.1243755639534</c:v>
                </c:pt>
                <c:pt idx="97">
                  <c:v>1029.6613890099256</c:v>
                </c:pt>
                <c:pt idx="98">
                  <c:v>899.99999999999989</c:v>
                </c:pt>
                <c:pt idx="99">
                  <c:v>1548.306945049628</c:v>
                </c:pt>
                <c:pt idx="100">
                  <c:v>4919.5030593076926</c:v>
                </c:pt>
                <c:pt idx="101">
                  <c:v>8267.1243755639534</c:v>
                </c:pt>
                <c:pt idx="102">
                  <c:v>1418.6455560397026</c:v>
                </c:pt>
                <c:pt idx="103">
                  <c:v>1094.4920835148882</c:v>
                </c:pt>
                <c:pt idx="104">
                  <c:v>3558.0584747034741</c:v>
                </c:pt>
                <c:pt idx="105">
                  <c:v>899.99999999999989</c:v>
                </c:pt>
                <c:pt idx="106">
                  <c:v>4919.5030593076926</c:v>
                </c:pt>
                <c:pt idx="107">
                  <c:v>2715.2594461389585</c:v>
                </c:pt>
                <c:pt idx="108">
                  <c:v>899.99999999999989</c:v>
                </c:pt>
                <c:pt idx="109">
                  <c:v>899.99999999999989</c:v>
                </c:pt>
                <c:pt idx="110">
                  <c:v>899.99999999999989</c:v>
                </c:pt>
                <c:pt idx="111">
                  <c:v>8267.1243755639534</c:v>
                </c:pt>
                <c:pt idx="112">
                  <c:v>2844.9208351488837</c:v>
                </c:pt>
                <c:pt idx="113">
                  <c:v>3882.2119472282884</c:v>
                </c:pt>
                <c:pt idx="114">
                  <c:v>1029.6613890099256</c:v>
                </c:pt>
                <c:pt idx="115">
                  <c:v>899.99999999999989</c:v>
                </c:pt>
                <c:pt idx="116">
                  <c:v>1353.8148615347395</c:v>
                </c:pt>
                <c:pt idx="117">
                  <c:v>1483.4762505446647</c:v>
                </c:pt>
                <c:pt idx="118">
                  <c:v>6669.9318109416881</c:v>
                </c:pt>
                <c:pt idx="119">
                  <c:v>5891.9634768821352</c:v>
                </c:pt>
                <c:pt idx="120">
                  <c:v>8267.1243755639534</c:v>
                </c:pt>
                <c:pt idx="121">
                  <c:v>8267.1243755639534</c:v>
                </c:pt>
                <c:pt idx="122">
                  <c:v>8267.1243755639534</c:v>
                </c:pt>
                <c:pt idx="123">
                  <c:v>2974.5822241588103</c:v>
                </c:pt>
                <c:pt idx="124">
                  <c:v>6475.4397274268003</c:v>
                </c:pt>
                <c:pt idx="125">
                  <c:v>8267.1243755639534</c:v>
                </c:pt>
                <c:pt idx="126">
                  <c:v>6345.7783384168752</c:v>
                </c:pt>
                <c:pt idx="127">
                  <c:v>8267.1243755639534</c:v>
                </c:pt>
                <c:pt idx="128">
                  <c:v>4400.8575032679928</c:v>
                </c:pt>
                <c:pt idx="129">
                  <c:v>8267.1243755639534</c:v>
                </c:pt>
                <c:pt idx="130">
                  <c:v>7836.8843120310175</c:v>
                </c:pt>
                <c:pt idx="131">
                  <c:v>3947.0426417332515</c:v>
                </c:pt>
                <c:pt idx="132">
                  <c:v>1418.6455560397026</c:v>
                </c:pt>
                <c:pt idx="133">
                  <c:v>7966.5457010409436</c:v>
                </c:pt>
                <c:pt idx="134">
                  <c:v>1677.9683340595534</c:v>
                </c:pt>
                <c:pt idx="135">
                  <c:v>8267.1243755639534</c:v>
                </c:pt>
                <c:pt idx="136">
                  <c:v>8267.1243755639534</c:v>
                </c:pt>
                <c:pt idx="137">
                  <c:v>3169.0743076736981</c:v>
                </c:pt>
                <c:pt idx="138">
                  <c:v>3817.3812527233254</c:v>
                </c:pt>
                <c:pt idx="139">
                  <c:v>5762.30208787221</c:v>
                </c:pt>
                <c:pt idx="140">
                  <c:v>2974.5822241588103</c:v>
                </c:pt>
                <c:pt idx="141">
                  <c:v>8267.1243755639534</c:v>
                </c:pt>
                <c:pt idx="142">
                  <c:v>8267.1243755639534</c:v>
                </c:pt>
                <c:pt idx="143">
                  <c:v>3817.3812527233254</c:v>
                </c:pt>
                <c:pt idx="144">
                  <c:v>2326.2752791091821</c:v>
                </c:pt>
                <c:pt idx="145">
                  <c:v>7447.9001450012411</c:v>
                </c:pt>
                <c:pt idx="146">
                  <c:v>1353.8148615347395</c:v>
                </c:pt>
                <c:pt idx="147">
                  <c:v>8267.1243755639534</c:v>
                </c:pt>
                <c:pt idx="148">
                  <c:v>899.99999999999989</c:v>
                </c:pt>
                <c:pt idx="149">
                  <c:v>899.99999999999989</c:v>
                </c:pt>
                <c:pt idx="150">
                  <c:v>899.99999999999989</c:v>
                </c:pt>
                <c:pt idx="151">
                  <c:v>899.99999999999989</c:v>
                </c:pt>
                <c:pt idx="152">
                  <c:v>899.99999999999989</c:v>
                </c:pt>
                <c:pt idx="153">
                  <c:v>899.99999999999989</c:v>
                </c:pt>
                <c:pt idx="154">
                  <c:v>899.99999999999989</c:v>
                </c:pt>
                <c:pt idx="155">
                  <c:v>899.99999999999989</c:v>
                </c:pt>
                <c:pt idx="156">
                  <c:v>899.99999999999989</c:v>
                </c:pt>
                <c:pt idx="157">
                  <c:v>899.99999999999989</c:v>
                </c:pt>
                <c:pt idx="158">
                  <c:v>2002.1218065843675</c:v>
                </c:pt>
                <c:pt idx="159">
                  <c:v>8267.1243755639534</c:v>
                </c:pt>
                <c:pt idx="160">
                  <c:v>8267.1243755639534</c:v>
                </c:pt>
                <c:pt idx="161">
                  <c:v>8267.1243755639534</c:v>
                </c:pt>
                <c:pt idx="162">
                  <c:v>5827.1327823771717</c:v>
                </c:pt>
                <c:pt idx="163">
                  <c:v>8267.1243755639534</c:v>
                </c:pt>
                <c:pt idx="164">
                  <c:v>5762.30208787221</c:v>
                </c:pt>
                <c:pt idx="165">
                  <c:v>8267.1243755639534</c:v>
                </c:pt>
                <c:pt idx="166">
                  <c:v>5762.30208787221</c:v>
                </c:pt>
                <c:pt idx="167">
                  <c:v>899.99999999999989</c:v>
                </c:pt>
                <c:pt idx="168">
                  <c:v>899.99999999999989</c:v>
                </c:pt>
                <c:pt idx="169">
                  <c:v>899.99999999999989</c:v>
                </c:pt>
                <c:pt idx="170">
                  <c:v>899.99999999999989</c:v>
                </c:pt>
                <c:pt idx="171">
                  <c:v>899.99999999999989</c:v>
                </c:pt>
                <c:pt idx="172">
                  <c:v>899.99999999999989</c:v>
                </c:pt>
                <c:pt idx="173">
                  <c:v>1288.9841670297765</c:v>
                </c:pt>
                <c:pt idx="174">
                  <c:v>8267.1243755639534</c:v>
                </c:pt>
                <c:pt idx="175">
                  <c:v>1159.3227780198511</c:v>
                </c:pt>
                <c:pt idx="176">
                  <c:v>5827.1327823771717</c:v>
                </c:pt>
                <c:pt idx="177">
                  <c:v>8267.1243755639534</c:v>
                </c:pt>
                <c:pt idx="178">
                  <c:v>8267.1243755639534</c:v>
                </c:pt>
                <c:pt idx="179">
                  <c:v>2326.2752791091821</c:v>
                </c:pt>
                <c:pt idx="180">
                  <c:v>6669.9318109416881</c:v>
                </c:pt>
                <c:pt idx="181">
                  <c:v>1353.8148615347395</c:v>
                </c:pt>
                <c:pt idx="182">
                  <c:v>1224.1534725248139</c:v>
                </c:pt>
                <c:pt idx="183">
                  <c:v>899.99999999999989</c:v>
                </c:pt>
                <c:pt idx="184">
                  <c:v>3817.3812527233254</c:v>
                </c:pt>
                <c:pt idx="185">
                  <c:v>7447.9001450012411</c:v>
                </c:pt>
                <c:pt idx="186">
                  <c:v>1159.3227780198511</c:v>
                </c:pt>
                <c:pt idx="187">
                  <c:v>8267.1243755639534</c:v>
                </c:pt>
                <c:pt idx="188">
                  <c:v>899.99999999999989</c:v>
                </c:pt>
                <c:pt idx="189">
                  <c:v>899.99999999999989</c:v>
                </c:pt>
                <c:pt idx="190">
                  <c:v>3752.5505582183637</c:v>
                </c:pt>
                <c:pt idx="191">
                  <c:v>4660.1802812878414</c:v>
                </c:pt>
                <c:pt idx="192">
                  <c:v>4141.5347252481397</c:v>
                </c:pt>
                <c:pt idx="193">
                  <c:v>1613.137639554591</c:v>
                </c:pt>
                <c:pt idx="194">
                  <c:v>1094.4920835148882</c:v>
                </c:pt>
                <c:pt idx="195">
                  <c:v>4206.3654197531032</c:v>
                </c:pt>
                <c:pt idx="196">
                  <c:v>2650.4287516339964</c:v>
                </c:pt>
                <c:pt idx="197">
                  <c:v>899.99999999999989</c:v>
                </c:pt>
                <c:pt idx="198">
                  <c:v>899.99999999999989</c:v>
                </c:pt>
                <c:pt idx="199">
                  <c:v>899.99999999999989</c:v>
                </c:pt>
                <c:pt idx="200">
                  <c:v>899.99999999999989</c:v>
                </c:pt>
                <c:pt idx="201">
                  <c:v>6994.085283466502</c:v>
                </c:pt>
                <c:pt idx="202">
                  <c:v>7318.2387559913186</c:v>
                </c:pt>
                <c:pt idx="203">
                  <c:v>899.99999999999989</c:v>
                </c:pt>
                <c:pt idx="204">
                  <c:v>899.99999999999989</c:v>
                </c:pt>
                <c:pt idx="205">
                  <c:v>899.99999999999989</c:v>
                </c:pt>
                <c:pt idx="206">
                  <c:v>2520.7673626240698</c:v>
                </c:pt>
                <c:pt idx="207">
                  <c:v>7512.7308395062046</c:v>
                </c:pt>
                <c:pt idx="208">
                  <c:v>8267.1243755639534</c:v>
                </c:pt>
                <c:pt idx="209">
                  <c:v>8267.1243755639534</c:v>
                </c:pt>
                <c:pt idx="210">
                  <c:v>8267.1243755639534</c:v>
                </c:pt>
                <c:pt idx="211">
                  <c:v>5567.8100043573195</c:v>
                </c:pt>
                <c:pt idx="212">
                  <c:v>8267.1243755639534</c:v>
                </c:pt>
                <c:pt idx="213">
                  <c:v>4011.8733362382136</c:v>
                </c:pt>
                <c:pt idx="214">
                  <c:v>2780.0901406439207</c:v>
                </c:pt>
                <c:pt idx="215">
                  <c:v>1418.6455560397026</c:v>
                </c:pt>
                <c:pt idx="216">
                  <c:v>1159.3227780198511</c:v>
                </c:pt>
                <c:pt idx="217">
                  <c:v>899.99999999999989</c:v>
                </c:pt>
                <c:pt idx="218">
                  <c:v>1742.7990285645162</c:v>
                </c:pt>
                <c:pt idx="219">
                  <c:v>1224.1534725248139</c:v>
                </c:pt>
                <c:pt idx="220">
                  <c:v>1094.4920835148882</c:v>
                </c:pt>
                <c:pt idx="221">
                  <c:v>1159.3227780198511</c:v>
                </c:pt>
                <c:pt idx="222">
                  <c:v>1094.4920835148882</c:v>
                </c:pt>
                <c:pt idx="223">
                  <c:v>899.99999999999989</c:v>
                </c:pt>
                <c:pt idx="224">
                  <c:v>899.99999999999989</c:v>
                </c:pt>
                <c:pt idx="225">
                  <c:v>899.99999999999989</c:v>
                </c:pt>
                <c:pt idx="226">
                  <c:v>899.99999999999989</c:v>
                </c:pt>
                <c:pt idx="227">
                  <c:v>6605.1011164367264</c:v>
                </c:pt>
                <c:pt idx="228">
                  <c:v>899.99999999999989</c:v>
                </c:pt>
                <c:pt idx="229">
                  <c:v>899.99999999999989</c:v>
                </c:pt>
                <c:pt idx="230">
                  <c:v>899.99999999999989</c:v>
                </c:pt>
                <c:pt idx="231">
                  <c:v>1742.7990285645162</c:v>
                </c:pt>
                <c:pt idx="232">
                  <c:v>1742.7990285645162</c:v>
                </c:pt>
                <c:pt idx="233">
                  <c:v>899.99999999999989</c:v>
                </c:pt>
                <c:pt idx="234">
                  <c:v>899.99999999999989</c:v>
                </c:pt>
                <c:pt idx="235">
                  <c:v>899.99999999999989</c:v>
                </c:pt>
                <c:pt idx="236">
                  <c:v>899.99999999999989</c:v>
                </c:pt>
                <c:pt idx="237">
                  <c:v>899.99999999999989</c:v>
                </c:pt>
                <c:pt idx="238">
                  <c:v>899.99999999999989</c:v>
                </c:pt>
                <c:pt idx="239">
                  <c:v>899.99999999999989</c:v>
                </c:pt>
                <c:pt idx="240">
                  <c:v>4854.67236480273</c:v>
                </c:pt>
                <c:pt idx="241">
                  <c:v>5243.6565318325074</c:v>
                </c:pt>
                <c:pt idx="242">
                  <c:v>8267.1243755639534</c:v>
                </c:pt>
                <c:pt idx="243">
                  <c:v>6345.7783384168752</c:v>
                </c:pt>
                <c:pt idx="244">
                  <c:v>5956.7941713870978</c:v>
                </c:pt>
                <c:pt idx="245">
                  <c:v>1872.4604175744419</c:v>
                </c:pt>
                <c:pt idx="246">
                  <c:v>4660.1802812878414</c:v>
                </c:pt>
                <c:pt idx="247">
                  <c:v>7058.9159779714637</c:v>
                </c:pt>
                <c:pt idx="248">
                  <c:v>3882.2119472282884</c:v>
                </c:pt>
                <c:pt idx="249">
                  <c:v>4984.3337538126571</c:v>
                </c:pt>
                <c:pt idx="250">
                  <c:v>7966.5457010409436</c:v>
                </c:pt>
                <c:pt idx="251">
                  <c:v>1677.9683340595534</c:v>
                </c:pt>
                <c:pt idx="252">
                  <c:v>1159.3227780198511</c:v>
                </c:pt>
                <c:pt idx="253">
                  <c:v>2455.9366681191068</c:v>
                </c:pt>
                <c:pt idx="254">
                  <c:v>5632.6406988622839</c:v>
                </c:pt>
                <c:pt idx="255">
                  <c:v>3104.2436131687355</c:v>
                </c:pt>
                <c:pt idx="256">
                  <c:v>899.99999999999989</c:v>
                </c:pt>
                <c:pt idx="257">
                  <c:v>1159.3227780198511</c:v>
                </c:pt>
                <c:pt idx="258">
                  <c:v>899.99999999999989</c:v>
                </c:pt>
                <c:pt idx="259">
                  <c:v>1029.6613890099256</c:v>
                </c:pt>
                <c:pt idx="260">
                  <c:v>1029.6613890099256</c:v>
                </c:pt>
                <c:pt idx="261">
                  <c:v>1548.306945049628</c:v>
                </c:pt>
                <c:pt idx="262">
                  <c:v>7058.9159779714637</c:v>
                </c:pt>
                <c:pt idx="263">
                  <c:v>1224.1534725248139</c:v>
                </c:pt>
                <c:pt idx="264">
                  <c:v>1677.9683340595534</c:v>
                </c:pt>
                <c:pt idx="265">
                  <c:v>8267.1243755639534</c:v>
                </c:pt>
                <c:pt idx="266">
                  <c:v>3687.7198637134006</c:v>
                </c:pt>
                <c:pt idx="267">
                  <c:v>8267.1243755639534</c:v>
                </c:pt>
                <c:pt idx="268">
                  <c:v>8267.1243755639534</c:v>
                </c:pt>
                <c:pt idx="269">
                  <c:v>4336.0268087630284</c:v>
                </c:pt>
                <c:pt idx="270">
                  <c:v>1677.9683340595534</c:v>
                </c:pt>
                <c:pt idx="271">
                  <c:v>899.99999999999989</c:v>
                </c:pt>
                <c:pt idx="272">
                  <c:v>1807.6297230694793</c:v>
                </c:pt>
                <c:pt idx="273">
                  <c:v>7447.9001450012411</c:v>
                </c:pt>
                <c:pt idx="274">
                  <c:v>5373.3179208424335</c:v>
                </c:pt>
                <c:pt idx="275">
                  <c:v>8267.1243755639534</c:v>
                </c:pt>
                <c:pt idx="276">
                  <c:v>2650.4287516339964</c:v>
                </c:pt>
                <c:pt idx="277">
                  <c:v>1029.6613890099256</c:v>
                </c:pt>
                <c:pt idx="278">
                  <c:v>8267.1243755639534</c:v>
                </c:pt>
                <c:pt idx="279">
                  <c:v>1418.6455560397026</c:v>
                </c:pt>
                <c:pt idx="280">
                  <c:v>1418.6455560397026</c:v>
                </c:pt>
                <c:pt idx="281">
                  <c:v>3363.5663911885863</c:v>
                </c:pt>
                <c:pt idx="282">
                  <c:v>1742.7990285645162</c:v>
                </c:pt>
                <c:pt idx="283">
                  <c:v>899.99999999999989</c:v>
                </c:pt>
                <c:pt idx="284">
                  <c:v>2196.6138900992564</c:v>
                </c:pt>
                <c:pt idx="285">
                  <c:v>8267.1243755639534</c:v>
                </c:pt>
                <c:pt idx="286">
                  <c:v>964.83069450496271</c:v>
                </c:pt>
                <c:pt idx="287">
                  <c:v>2326.2752791091821</c:v>
                </c:pt>
                <c:pt idx="288">
                  <c:v>8267.1243755639534</c:v>
                </c:pt>
                <c:pt idx="289">
                  <c:v>8267.1243755639534</c:v>
                </c:pt>
                <c:pt idx="290">
                  <c:v>1872.4604175744419</c:v>
                </c:pt>
                <c:pt idx="291">
                  <c:v>899.99999999999989</c:v>
                </c:pt>
                <c:pt idx="292">
                  <c:v>899.99999999999989</c:v>
                </c:pt>
                <c:pt idx="293">
                  <c:v>2715.2594461389585</c:v>
                </c:pt>
                <c:pt idx="294">
                  <c:v>7512.7308395062046</c:v>
                </c:pt>
                <c:pt idx="295">
                  <c:v>1742.7990285645162</c:v>
                </c:pt>
                <c:pt idx="296">
                  <c:v>6054.0402131445417</c:v>
                </c:pt>
                <c:pt idx="297">
                  <c:v>3947.0426417332515</c:v>
                </c:pt>
                <c:pt idx="298">
                  <c:v>5308.48722633747</c:v>
                </c:pt>
                <c:pt idx="299">
                  <c:v>2715.2594461389585</c:v>
                </c:pt>
                <c:pt idx="300">
                  <c:v>899.99999999999989</c:v>
                </c:pt>
                <c:pt idx="301">
                  <c:v>6280.9476439119126</c:v>
                </c:pt>
                <c:pt idx="302">
                  <c:v>899.99999999999989</c:v>
                </c:pt>
                <c:pt idx="303">
                  <c:v>899.99999999999989</c:v>
                </c:pt>
                <c:pt idx="304">
                  <c:v>899.99999999999989</c:v>
                </c:pt>
                <c:pt idx="305">
                  <c:v>5697.4713933672465</c:v>
                </c:pt>
                <c:pt idx="306">
                  <c:v>7642.3922285161298</c:v>
                </c:pt>
                <c:pt idx="307">
                  <c:v>8267.1243755639534</c:v>
                </c:pt>
                <c:pt idx="308">
                  <c:v>4076.7040307431771</c:v>
                </c:pt>
                <c:pt idx="309">
                  <c:v>1515.8915977971465</c:v>
                </c:pt>
                <c:pt idx="310">
                  <c:v>7707.2229230210924</c:v>
                </c:pt>
                <c:pt idx="311">
                  <c:v>8267.1243755639534</c:v>
                </c:pt>
                <c:pt idx="312">
                  <c:v>899.99999999999989</c:v>
                </c:pt>
                <c:pt idx="313">
                  <c:v>2326.2752791091821</c:v>
                </c:pt>
                <c:pt idx="314">
                  <c:v>5049.1644483176196</c:v>
                </c:pt>
                <c:pt idx="315">
                  <c:v>8267.1243755639534</c:v>
                </c:pt>
                <c:pt idx="316">
                  <c:v>1483.4762505446647</c:v>
                </c:pt>
                <c:pt idx="317">
                  <c:v>8267.1243755639534</c:v>
                </c:pt>
                <c:pt idx="318">
                  <c:v>3233.9050021786602</c:v>
                </c:pt>
                <c:pt idx="319">
                  <c:v>1159.3227780198511</c:v>
                </c:pt>
                <c:pt idx="320">
                  <c:v>932.4153472524813</c:v>
                </c:pt>
                <c:pt idx="321">
                  <c:v>899.99999999999989</c:v>
                </c:pt>
                <c:pt idx="322">
                  <c:v>899.99999999999989</c:v>
                </c:pt>
                <c:pt idx="323">
                  <c:v>1548.306945049628</c:v>
                </c:pt>
                <c:pt idx="324">
                  <c:v>2391.1059736141442</c:v>
                </c:pt>
                <c:pt idx="325">
                  <c:v>2131.7831955942934</c:v>
                </c:pt>
                <c:pt idx="326">
                  <c:v>899.99999999999989</c:v>
                </c:pt>
                <c:pt idx="327">
                  <c:v>899.99999999999989</c:v>
                </c:pt>
                <c:pt idx="328">
                  <c:v>899.99999999999989</c:v>
                </c:pt>
                <c:pt idx="329">
                  <c:v>899.99999999999989</c:v>
                </c:pt>
                <c:pt idx="330">
                  <c:v>899.99999999999989</c:v>
                </c:pt>
                <c:pt idx="331">
                  <c:v>964.83069450496271</c:v>
                </c:pt>
                <c:pt idx="332">
                  <c:v>899.99999999999989</c:v>
                </c:pt>
                <c:pt idx="333">
                  <c:v>964.83069450496271</c:v>
                </c:pt>
                <c:pt idx="334">
                  <c:v>899.99999999999989</c:v>
                </c:pt>
                <c:pt idx="335">
                  <c:v>899.99999999999989</c:v>
                </c:pt>
                <c:pt idx="336">
                  <c:v>899.99999999999989</c:v>
                </c:pt>
                <c:pt idx="337">
                  <c:v>1807.6297230694793</c:v>
                </c:pt>
                <c:pt idx="338">
                  <c:v>899.99999999999989</c:v>
                </c:pt>
                <c:pt idx="339">
                  <c:v>899.99999999999989</c:v>
                </c:pt>
                <c:pt idx="340">
                  <c:v>899.99999999999989</c:v>
                </c:pt>
                <c:pt idx="341">
                  <c:v>899.99999999999989</c:v>
                </c:pt>
                <c:pt idx="342">
                  <c:v>3558.0584747034741</c:v>
                </c:pt>
                <c:pt idx="343">
                  <c:v>8267.1243755639534</c:v>
                </c:pt>
                <c:pt idx="344">
                  <c:v>1159.3227780198511</c:v>
                </c:pt>
                <c:pt idx="345">
                  <c:v>2585.5980571290329</c:v>
                </c:pt>
                <c:pt idx="346">
                  <c:v>8267.1243755639534</c:v>
                </c:pt>
                <c:pt idx="347">
                  <c:v>899.99999999999989</c:v>
                </c:pt>
                <c:pt idx="348">
                  <c:v>2326.2752791091821</c:v>
                </c:pt>
                <c:pt idx="349">
                  <c:v>899.99999999999989</c:v>
                </c:pt>
                <c:pt idx="350">
                  <c:v>899.99999999999989</c:v>
                </c:pt>
                <c:pt idx="351">
                  <c:v>899.99999999999989</c:v>
                </c:pt>
                <c:pt idx="352">
                  <c:v>899.99999999999989</c:v>
                </c:pt>
                <c:pt idx="353">
                  <c:v>899.99999999999989</c:v>
                </c:pt>
                <c:pt idx="354">
                  <c:v>899.99999999999989</c:v>
                </c:pt>
                <c:pt idx="355">
                  <c:v>899.99999999999989</c:v>
                </c:pt>
                <c:pt idx="356">
                  <c:v>899.99999999999989</c:v>
                </c:pt>
                <c:pt idx="357">
                  <c:v>899.99999999999989</c:v>
                </c:pt>
                <c:pt idx="358">
                  <c:v>899.99999999999989</c:v>
                </c:pt>
                <c:pt idx="359">
                  <c:v>899.99999999999989</c:v>
                </c:pt>
                <c:pt idx="360">
                  <c:v>964.83069450496271</c:v>
                </c:pt>
                <c:pt idx="361">
                  <c:v>899.99999999999989</c:v>
                </c:pt>
                <c:pt idx="362">
                  <c:v>899.99999999999989</c:v>
                </c:pt>
                <c:pt idx="363">
                  <c:v>899.99999999999989</c:v>
                </c:pt>
                <c:pt idx="364">
                  <c:v>899.99999999999989</c:v>
                </c:pt>
                <c:pt idx="365">
                  <c:v>899.99999999999989</c:v>
                </c:pt>
                <c:pt idx="366">
                  <c:v>2066.9525010893299</c:v>
                </c:pt>
                <c:pt idx="367">
                  <c:v>899.99999999999989</c:v>
                </c:pt>
                <c:pt idx="368">
                  <c:v>899.99999999999989</c:v>
                </c:pt>
                <c:pt idx="369">
                  <c:v>899.99999999999989</c:v>
                </c:pt>
                <c:pt idx="370">
                  <c:v>1418.6455560397026</c:v>
                </c:pt>
                <c:pt idx="371">
                  <c:v>7642.3922285161298</c:v>
                </c:pt>
                <c:pt idx="372">
                  <c:v>1937.2911120794049</c:v>
                </c:pt>
                <c:pt idx="373">
                  <c:v>1288.9841670297765</c:v>
                </c:pt>
                <c:pt idx="374">
                  <c:v>899.99999999999989</c:v>
                </c:pt>
                <c:pt idx="375">
                  <c:v>5891.9634768821352</c:v>
                </c:pt>
                <c:pt idx="376">
                  <c:v>1288.9841670297765</c:v>
                </c:pt>
                <c:pt idx="377">
                  <c:v>899.99999999999989</c:v>
                </c:pt>
                <c:pt idx="378">
                  <c:v>2780.0901406439207</c:v>
                </c:pt>
                <c:pt idx="379">
                  <c:v>7512.7308395062046</c:v>
                </c:pt>
                <c:pt idx="380">
                  <c:v>7512.7308395062046</c:v>
                </c:pt>
                <c:pt idx="381">
                  <c:v>1094.4920835148882</c:v>
                </c:pt>
                <c:pt idx="382">
                  <c:v>899.99999999999989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B3-49D6-A098-33DF4833240D}"/>
            </c:ext>
          </c:extLst>
        </c:ser>
        <c:ser>
          <c:idx val="2"/>
          <c:order val="2"/>
          <c:tx>
            <c:v>Energy Stored in Batteries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3"/>
              </a:solidFill>
              <a:ln cmpd="sng">
                <a:solidFill>
                  <a:schemeClr val="accent3"/>
                </a:solidFill>
              </a:ln>
            </c:spPr>
          </c:marker>
          <c:xVal>
            <c:numRef>
              <c:f>'Solar Energy'!$A$21:$A$1000</c:f>
              <c:numCache>
                <c:formatCode>General</c:formatCode>
                <c:ptCount val="98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'Solar Energy'!$K$4:$K$1000</c:f>
              <c:numCache>
                <c:formatCode>General</c:formatCode>
                <c:ptCount val="997"/>
                <c:pt idx="15">
                  <c:v>0</c:v>
                </c:pt>
                <c:pt idx="17">
                  <c:v>14000</c:v>
                </c:pt>
                <c:pt idx="18" formatCode="0.00">
                  <c:v>14000</c:v>
                </c:pt>
                <c:pt idx="19" formatCode="0.00">
                  <c:v>14000</c:v>
                </c:pt>
                <c:pt idx="20" formatCode="0.00">
                  <c:v>14000</c:v>
                </c:pt>
                <c:pt idx="21" formatCode="0.00">
                  <c:v>14000</c:v>
                </c:pt>
                <c:pt idx="22" formatCode="0.00">
                  <c:v>14000</c:v>
                </c:pt>
                <c:pt idx="23" formatCode="0.00">
                  <c:v>14000</c:v>
                </c:pt>
                <c:pt idx="24" formatCode="0.00">
                  <c:v>14000</c:v>
                </c:pt>
                <c:pt idx="25" formatCode="0.00">
                  <c:v>14000</c:v>
                </c:pt>
                <c:pt idx="26" formatCode="0.00">
                  <c:v>14000</c:v>
                </c:pt>
                <c:pt idx="27" formatCode="0.00">
                  <c:v>14000</c:v>
                </c:pt>
                <c:pt idx="28" formatCode="0.00">
                  <c:v>14000</c:v>
                </c:pt>
                <c:pt idx="29" formatCode="0.00">
                  <c:v>14000</c:v>
                </c:pt>
                <c:pt idx="30" formatCode="0.00">
                  <c:v>14000</c:v>
                </c:pt>
                <c:pt idx="31" formatCode="0.00">
                  <c:v>14000</c:v>
                </c:pt>
                <c:pt idx="32" formatCode="0.00">
                  <c:v>14000</c:v>
                </c:pt>
                <c:pt idx="33" formatCode="0.00">
                  <c:v>14000</c:v>
                </c:pt>
                <c:pt idx="34" formatCode="0.00">
                  <c:v>14000</c:v>
                </c:pt>
                <c:pt idx="35" formatCode="0.00">
                  <c:v>14000</c:v>
                </c:pt>
                <c:pt idx="36" formatCode="0.00">
                  <c:v>14000</c:v>
                </c:pt>
                <c:pt idx="37" formatCode="0.00">
                  <c:v>14000</c:v>
                </c:pt>
                <c:pt idx="38" formatCode="0.00">
                  <c:v>14000</c:v>
                </c:pt>
                <c:pt idx="39" formatCode="0.00">
                  <c:v>14000</c:v>
                </c:pt>
                <c:pt idx="40" formatCode="0.00">
                  <c:v>14000</c:v>
                </c:pt>
                <c:pt idx="41" formatCode="0.00">
                  <c:v>14000</c:v>
                </c:pt>
                <c:pt idx="42" formatCode="0.00">
                  <c:v>14000</c:v>
                </c:pt>
                <c:pt idx="43" formatCode="0.00">
                  <c:v>14000</c:v>
                </c:pt>
                <c:pt idx="44" formatCode="0.00">
                  <c:v>14000</c:v>
                </c:pt>
                <c:pt idx="45" formatCode="0.00">
                  <c:v>14000</c:v>
                </c:pt>
                <c:pt idx="46" formatCode="0.00">
                  <c:v>14000</c:v>
                </c:pt>
                <c:pt idx="47" formatCode="0.00">
                  <c:v>14000</c:v>
                </c:pt>
                <c:pt idx="48" formatCode="0.00">
                  <c:v>14000</c:v>
                </c:pt>
                <c:pt idx="49" formatCode="0.00">
                  <c:v>14000</c:v>
                </c:pt>
                <c:pt idx="50" formatCode="0.00">
                  <c:v>14000</c:v>
                </c:pt>
                <c:pt idx="51" formatCode="0.00">
                  <c:v>14000</c:v>
                </c:pt>
                <c:pt idx="52" formatCode="0.00">
                  <c:v>14000</c:v>
                </c:pt>
                <c:pt idx="53" formatCode="0.00">
                  <c:v>14000</c:v>
                </c:pt>
                <c:pt idx="54" formatCode="0.00">
                  <c:v>14000</c:v>
                </c:pt>
                <c:pt idx="55" formatCode="0.00">
                  <c:v>14000</c:v>
                </c:pt>
                <c:pt idx="56" formatCode="0.00">
                  <c:v>14000</c:v>
                </c:pt>
                <c:pt idx="57" formatCode="0.00">
                  <c:v>14000</c:v>
                </c:pt>
                <c:pt idx="58" formatCode="0.00">
                  <c:v>14000</c:v>
                </c:pt>
                <c:pt idx="59" formatCode="0.00">
                  <c:v>14000</c:v>
                </c:pt>
                <c:pt idx="60" formatCode="0.00">
                  <c:v>14000</c:v>
                </c:pt>
                <c:pt idx="61" formatCode="0.00">
                  <c:v>14000</c:v>
                </c:pt>
                <c:pt idx="62" formatCode="0.00">
                  <c:v>14000</c:v>
                </c:pt>
                <c:pt idx="63" formatCode="0.00">
                  <c:v>14000</c:v>
                </c:pt>
                <c:pt idx="64" formatCode="0.00">
                  <c:v>14000</c:v>
                </c:pt>
                <c:pt idx="65" formatCode="0.00">
                  <c:v>14000</c:v>
                </c:pt>
                <c:pt idx="66" formatCode="0.00">
                  <c:v>14000</c:v>
                </c:pt>
                <c:pt idx="67" formatCode="0.00">
                  <c:v>14000</c:v>
                </c:pt>
                <c:pt idx="68" formatCode="0.00">
                  <c:v>14000</c:v>
                </c:pt>
                <c:pt idx="69" formatCode="0.00">
                  <c:v>14000</c:v>
                </c:pt>
                <c:pt idx="70" formatCode="0.00">
                  <c:v>14000</c:v>
                </c:pt>
                <c:pt idx="71" formatCode="0.00">
                  <c:v>14000</c:v>
                </c:pt>
                <c:pt idx="72" formatCode="0.00">
                  <c:v>14000</c:v>
                </c:pt>
                <c:pt idx="73" formatCode="0.00">
                  <c:v>14000</c:v>
                </c:pt>
                <c:pt idx="74" formatCode="0.00">
                  <c:v>14000</c:v>
                </c:pt>
                <c:pt idx="75" formatCode="0.00">
                  <c:v>14000</c:v>
                </c:pt>
                <c:pt idx="76" formatCode="0.00">
                  <c:v>14000</c:v>
                </c:pt>
                <c:pt idx="77" formatCode="0.00">
                  <c:v>14000</c:v>
                </c:pt>
                <c:pt idx="78" formatCode="0.00">
                  <c:v>14000</c:v>
                </c:pt>
                <c:pt idx="79" formatCode="0.00">
                  <c:v>14000</c:v>
                </c:pt>
                <c:pt idx="80" formatCode="0.00">
                  <c:v>14000</c:v>
                </c:pt>
                <c:pt idx="81" formatCode="0.00">
                  <c:v>14000</c:v>
                </c:pt>
                <c:pt idx="82" formatCode="0.00">
                  <c:v>14000</c:v>
                </c:pt>
                <c:pt idx="83" formatCode="0.00">
                  <c:v>14000</c:v>
                </c:pt>
                <c:pt idx="84" formatCode="0.00">
                  <c:v>14000</c:v>
                </c:pt>
                <c:pt idx="85" formatCode="0.00">
                  <c:v>14000</c:v>
                </c:pt>
                <c:pt idx="86" formatCode="0.00">
                  <c:v>14000</c:v>
                </c:pt>
                <c:pt idx="87" formatCode="0.00">
                  <c:v>14000</c:v>
                </c:pt>
                <c:pt idx="88" formatCode="0.00">
                  <c:v>14000</c:v>
                </c:pt>
                <c:pt idx="89" formatCode="0.00">
                  <c:v>14000</c:v>
                </c:pt>
                <c:pt idx="90" formatCode="0.00">
                  <c:v>14000</c:v>
                </c:pt>
                <c:pt idx="91" formatCode="0.00">
                  <c:v>14000</c:v>
                </c:pt>
                <c:pt idx="92" formatCode="0.00">
                  <c:v>14000</c:v>
                </c:pt>
                <c:pt idx="93" formatCode="0.00">
                  <c:v>14000</c:v>
                </c:pt>
                <c:pt idx="94" formatCode="0.00">
                  <c:v>14000</c:v>
                </c:pt>
                <c:pt idx="95" formatCode="0.00">
                  <c:v>14000</c:v>
                </c:pt>
                <c:pt idx="96" formatCode="0.00">
                  <c:v>14000</c:v>
                </c:pt>
                <c:pt idx="97" formatCode="0.00">
                  <c:v>13811.275624436048</c:v>
                </c:pt>
                <c:pt idx="98" formatCode="0.00">
                  <c:v>14000</c:v>
                </c:pt>
                <c:pt idx="99" formatCode="0.00">
                  <c:v>14000</c:v>
                </c:pt>
                <c:pt idx="100" formatCode="0.00">
                  <c:v>14000</c:v>
                </c:pt>
                <c:pt idx="101" formatCode="0.00">
                  <c:v>14000</c:v>
                </c:pt>
                <c:pt idx="102" formatCode="0.00">
                  <c:v>13811.275624436048</c:v>
                </c:pt>
                <c:pt idx="103" formatCode="0.00">
                  <c:v>14000</c:v>
                </c:pt>
                <c:pt idx="104" formatCode="0.00">
                  <c:v>14000</c:v>
                </c:pt>
                <c:pt idx="105" formatCode="0.00">
                  <c:v>14000</c:v>
                </c:pt>
                <c:pt idx="106" formatCode="0.00">
                  <c:v>14000</c:v>
                </c:pt>
                <c:pt idx="107" formatCode="0.00">
                  <c:v>14000</c:v>
                </c:pt>
                <c:pt idx="108" formatCode="0.00">
                  <c:v>14000</c:v>
                </c:pt>
                <c:pt idx="109" formatCode="0.00">
                  <c:v>14000</c:v>
                </c:pt>
                <c:pt idx="110" formatCode="0.00">
                  <c:v>14000</c:v>
                </c:pt>
                <c:pt idx="111" formatCode="0.00">
                  <c:v>14000</c:v>
                </c:pt>
                <c:pt idx="112" formatCode="0.00">
                  <c:v>12680.299624436046</c:v>
                </c:pt>
                <c:pt idx="113" formatCode="0.00">
                  <c:v>14000</c:v>
                </c:pt>
                <c:pt idx="114" formatCode="0.00">
                  <c:v>14000</c:v>
                </c:pt>
                <c:pt idx="115" formatCode="0.00">
                  <c:v>14000</c:v>
                </c:pt>
                <c:pt idx="116" formatCode="0.00">
                  <c:v>14000</c:v>
                </c:pt>
                <c:pt idx="117" formatCode="0.00">
                  <c:v>14000</c:v>
                </c:pt>
                <c:pt idx="118" formatCode="0.00">
                  <c:v>14000</c:v>
                </c:pt>
                <c:pt idx="119" formatCode="0.00">
                  <c:v>14000</c:v>
                </c:pt>
                <c:pt idx="120" formatCode="0.00">
                  <c:v>14000</c:v>
                </c:pt>
                <c:pt idx="121" formatCode="0.00">
                  <c:v>12680.299624436046</c:v>
                </c:pt>
                <c:pt idx="122" formatCode="0.00">
                  <c:v>11360.599248872093</c:v>
                </c:pt>
                <c:pt idx="123" formatCode="0.00">
                  <c:v>10040.898873308141</c:v>
                </c:pt>
                <c:pt idx="124" formatCode="0.00">
                  <c:v>14000</c:v>
                </c:pt>
                <c:pt idx="125" formatCode="0.00">
                  <c:v>14000</c:v>
                </c:pt>
                <c:pt idx="126" formatCode="0.00">
                  <c:v>12680.299624436046</c:v>
                </c:pt>
                <c:pt idx="127" formatCode="0.00">
                  <c:v>13281.94528601917</c:v>
                </c:pt>
                <c:pt idx="128" formatCode="0.00">
                  <c:v>11962.244910455216</c:v>
                </c:pt>
                <c:pt idx="129" formatCode="0.00">
                  <c:v>14000</c:v>
                </c:pt>
                <c:pt idx="130" formatCode="0.00">
                  <c:v>12680.299624436046</c:v>
                </c:pt>
                <c:pt idx="131" formatCode="0.00">
                  <c:v>11790.839312405029</c:v>
                </c:pt>
                <c:pt idx="132" formatCode="0.00">
                  <c:v>14000</c:v>
                </c:pt>
                <c:pt idx="133" formatCode="0.00">
                  <c:v>14000</c:v>
                </c:pt>
                <c:pt idx="134" formatCode="0.00">
                  <c:v>12980.878298959055</c:v>
                </c:pt>
                <c:pt idx="135" formatCode="0.00">
                  <c:v>14000</c:v>
                </c:pt>
                <c:pt idx="136" formatCode="0.00">
                  <c:v>12680.299624436046</c:v>
                </c:pt>
                <c:pt idx="137" formatCode="0.00">
                  <c:v>11360.599248872093</c:v>
                </c:pt>
                <c:pt idx="138" formatCode="0.00">
                  <c:v>14000</c:v>
                </c:pt>
                <c:pt idx="139" formatCode="0.00">
                  <c:v>14000</c:v>
                </c:pt>
                <c:pt idx="140" formatCode="0.00">
                  <c:v>14000</c:v>
                </c:pt>
                <c:pt idx="141" formatCode="0.00">
                  <c:v>14000</c:v>
                </c:pt>
                <c:pt idx="142" formatCode="0.00">
                  <c:v>11549.323624436047</c:v>
                </c:pt>
                <c:pt idx="143" formatCode="0.00">
                  <c:v>9098.6472488720956</c:v>
                </c:pt>
                <c:pt idx="144" formatCode="0.00">
                  <c:v>11097.71399614877</c:v>
                </c:pt>
                <c:pt idx="145" formatCode="0.00">
                  <c:v>14000</c:v>
                </c:pt>
                <c:pt idx="146" formatCode="0.00">
                  <c:v>12368.54785499876</c:v>
                </c:pt>
                <c:pt idx="147" formatCode="0.00">
                  <c:v>14000</c:v>
                </c:pt>
                <c:pt idx="148" formatCode="0.00">
                  <c:v>11549.323624436047</c:v>
                </c:pt>
                <c:pt idx="149" formatCode="0.00">
                  <c:v>14000</c:v>
                </c:pt>
                <c:pt idx="150" formatCode="0.00">
                  <c:v>14000</c:v>
                </c:pt>
                <c:pt idx="151" formatCode="0.00">
                  <c:v>14000</c:v>
                </c:pt>
                <c:pt idx="152" formatCode="0.00">
                  <c:v>14000</c:v>
                </c:pt>
                <c:pt idx="153" formatCode="0.00">
                  <c:v>14000</c:v>
                </c:pt>
                <c:pt idx="154" formatCode="0.00">
                  <c:v>14000</c:v>
                </c:pt>
                <c:pt idx="155" formatCode="0.00">
                  <c:v>14000</c:v>
                </c:pt>
                <c:pt idx="156" formatCode="0.00">
                  <c:v>14000</c:v>
                </c:pt>
                <c:pt idx="157" formatCode="0.00">
                  <c:v>14000</c:v>
                </c:pt>
                <c:pt idx="158" formatCode="0.00">
                  <c:v>14000</c:v>
                </c:pt>
                <c:pt idx="159" formatCode="0.00">
                  <c:v>14000</c:v>
                </c:pt>
                <c:pt idx="160" formatCode="0.00">
                  <c:v>11549.323624436047</c:v>
                </c:pt>
                <c:pt idx="161" formatCode="0.00">
                  <c:v>9098.6472488720956</c:v>
                </c:pt>
                <c:pt idx="162" formatCode="0.00">
                  <c:v>6647.9708733081425</c:v>
                </c:pt>
                <c:pt idx="163" formatCode="0.00">
                  <c:v>6637.2860909309711</c:v>
                </c:pt>
                <c:pt idx="164" formatCode="0.00">
                  <c:v>4186.609715367018</c:v>
                </c:pt>
                <c:pt idx="165" formatCode="0.00">
                  <c:v>4240.7556274948083</c:v>
                </c:pt>
                <c:pt idx="166" formatCode="0.00">
                  <c:v>1790.0792519308543</c:v>
                </c:pt>
                <c:pt idx="167" formatCode="0.00">
                  <c:v>1844.2251640586446</c:v>
                </c:pt>
                <c:pt idx="168" formatCode="0.00">
                  <c:v>6760.6731640586449</c:v>
                </c:pt>
                <c:pt idx="169" formatCode="0.00">
                  <c:v>11677.121164058644</c:v>
                </c:pt>
                <c:pt idx="170" formatCode="0.00">
                  <c:v>14000</c:v>
                </c:pt>
                <c:pt idx="171" formatCode="0.00">
                  <c:v>14000</c:v>
                </c:pt>
                <c:pt idx="172" formatCode="0.00">
                  <c:v>14000</c:v>
                </c:pt>
                <c:pt idx="173" formatCode="0.00">
                  <c:v>14000</c:v>
                </c:pt>
                <c:pt idx="174" formatCode="0.00">
                  <c:v>14000</c:v>
                </c:pt>
                <c:pt idx="175" formatCode="0.00">
                  <c:v>11064.619624436045</c:v>
                </c:pt>
                <c:pt idx="176" formatCode="0.00">
                  <c:v>14000</c:v>
                </c:pt>
                <c:pt idx="177" formatCode="0.00">
                  <c:v>13504.611217622827</c:v>
                </c:pt>
                <c:pt idx="178" formatCode="0.00">
                  <c:v>10569.230842058872</c:v>
                </c:pt>
                <c:pt idx="179" formatCode="0.00">
                  <c:v>7633.8504664949196</c:v>
                </c:pt>
                <c:pt idx="180" formatCode="0.00">
                  <c:v>10639.319187385738</c:v>
                </c:pt>
                <c:pt idx="181" formatCode="0.00">
                  <c:v>9301.1313764440492</c:v>
                </c:pt>
                <c:pt idx="182" formatCode="0.00">
                  <c:v>13279.06051490931</c:v>
                </c:pt>
                <c:pt idx="183" formatCode="0.00">
                  <c:v>14000</c:v>
                </c:pt>
                <c:pt idx="184" formatCode="0.00">
                  <c:v>14000</c:v>
                </c:pt>
                <c:pt idx="185" formatCode="0.00">
                  <c:v>14000</c:v>
                </c:pt>
                <c:pt idx="186" formatCode="0.00">
                  <c:v>11883.843854998759</c:v>
                </c:pt>
                <c:pt idx="187" formatCode="0.00">
                  <c:v>14000</c:v>
                </c:pt>
                <c:pt idx="188" formatCode="0.00">
                  <c:v>11064.619624436045</c:v>
                </c:pt>
                <c:pt idx="189" formatCode="0.00">
                  <c:v>14000</c:v>
                </c:pt>
                <c:pt idx="190" formatCode="0.00">
                  <c:v>14000</c:v>
                </c:pt>
                <c:pt idx="191" formatCode="0.00">
                  <c:v>14000</c:v>
                </c:pt>
                <c:pt idx="192" formatCode="0.00">
                  <c:v>14000</c:v>
                </c:pt>
                <c:pt idx="193" formatCode="0.00">
                  <c:v>14000</c:v>
                </c:pt>
                <c:pt idx="194" formatCode="0.00">
                  <c:v>14000</c:v>
                </c:pt>
                <c:pt idx="195" formatCode="0.00">
                  <c:v>14000</c:v>
                </c:pt>
                <c:pt idx="196" formatCode="0.00">
                  <c:v>14000</c:v>
                </c:pt>
                <c:pt idx="197" formatCode="0.00">
                  <c:v>14000</c:v>
                </c:pt>
                <c:pt idx="198" formatCode="0.00">
                  <c:v>14000</c:v>
                </c:pt>
                <c:pt idx="199" formatCode="0.00">
                  <c:v>14000</c:v>
                </c:pt>
                <c:pt idx="200" formatCode="0.00">
                  <c:v>14000</c:v>
                </c:pt>
                <c:pt idx="201" formatCode="0.00">
                  <c:v>14000</c:v>
                </c:pt>
                <c:pt idx="202" formatCode="0.00">
                  <c:v>12499.2267165335</c:v>
                </c:pt>
                <c:pt idx="203" formatCode="0.00">
                  <c:v>10674.299960542183</c:v>
                </c:pt>
                <c:pt idx="204" formatCode="0.00">
                  <c:v>14000</c:v>
                </c:pt>
                <c:pt idx="205" formatCode="0.00">
                  <c:v>14000</c:v>
                </c:pt>
                <c:pt idx="206" formatCode="0.00">
                  <c:v>14000</c:v>
                </c:pt>
                <c:pt idx="207" formatCode="0.00">
                  <c:v>14000</c:v>
                </c:pt>
                <c:pt idx="208" formatCode="0.00">
                  <c:v>11980.581160493797</c:v>
                </c:pt>
                <c:pt idx="209" formatCode="0.00">
                  <c:v>9206.7687849298436</c:v>
                </c:pt>
                <c:pt idx="210" formatCode="0.00">
                  <c:v>6432.9564093658901</c:v>
                </c:pt>
                <c:pt idx="211" formatCode="0.00">
                  <c:v>3659.1440338019365</c:v>
                </c:pt>
                <c:pt idx="212" formatCode="0.00">
                  <c:v>3584.6460294446169</c:v>
                </c:pt>
                <c:pt idx="213" formatCode="0.00">
                  <c:v>810.83365388066341</c:v>
                </c:pt>
                <c:pt idx="214" formatCode="0.00">
                  <c:v>2292.2723176424506</c:v>
                </c:pt>
                <c:pt idx="215" formatCode="0.00">
                  <c:v>5005.4941769985307</c:v>
                </c:pt>
                <c:pt idx="216" formatCode="0.00">
                  <c:v>9080.1606209588299</c:v>
                </c:pt>
                <c:pt idx="217" formatCode="0.00">
                  <c:v>13414.149842938979</c:v>
                </c:pt>
                <c:pt idx="218" formatCode="0.00">
                  <c:v>14000</c:v>
                </c:pt>
                <c:pt idx="219" formatCode="0.00">
                  <c:v>14000</c:v>
                </c:pt>
                <c:pt idx="220" formatCode="0.00">
                  <c:v>14000</c:v>
                </c:pt>
                <c:pt idx="221" formatCode="0.00">
                  <c:v>14000</c:v>
                </c:pt>
                <c:pt idx="222" formatCode="0.00">
                  <c:v>14000</c:v>
                </c:pt>
                <c:pt idx="223" formatCode="0.00">
                  <c:v>14000</c:v>
                </c:pt>
                <c:pt idx="224" formatCode="0.00">
                  <c:v>14000</c:v>
                </c:pt>
                <c:pt idx="225" formatCode="0.00">
                  <c:v>14000</c:v>
                </c:pt>
                <c:pt idx="226" formatCode="0.00">
                  <c:v>14000</c:v>
                </c:pt>
                <c:pt idx="227" formatCode="0.00">
                  <c:v>14000</c:v>
                </c:pt>
                <c:pt idx="228" formatCode="0.00">
                  <c:v>12888.210883563275</c:v>
                </c:pt>
                <c:pt idx="229" formatCode="0.00">
                  <c:v>14000</c:v>
                </c:pt>
                <c:pt idx="230" formatCode="0.00">
                  <c:v>14000</c:v>
                </c:pt>
                <c:pt idx="231" formatCode="0.00">
                  <c:v>14000</c:v>
                </c:pt>
                <c:pt idx="232" formatCode="0.00">
                  <c:v>14000</c:v>
                </c:pt>
                <c:pt idx="233" formatCode="0.00">
                  <c:v>14000</c:v>
                </c:pt>
                <c:pt idx="234" formatCode="0.00">
                  <c:v>14000</c:v>
                </c:pt>
                <c:pt idx="235" formatCode="0.00">
                  <c:v>14000</c:v>
                </c:pt>
                <c:pt idx="236" formatCode="0.00">
                  <c:v>14000</c:v>
                </c:pt>
                <c:pt idx="237" formatCode="0.00">
                  <c:v>14000</c:v>
                </c:pt>
                <c:pt idx="238" formatCode="0.00">
                  <c:v>14000</c:v>
                </c:pt>
                <c:pt idx="239" formatCode="0.00">
                  <c:v>14000</c:v>
                </c:pt>
                <c:pt idx="240" formatCode="0.00">
                  <c:v>14000</c:v>
                </c:pt>
                <c:pt idx="241" formatCode="0.00">
                  <c:v>14000</c:v>
                </c:pt>
                <c:pt idx="242" formatCode="0.00">
                  <c:v>14000</c:v>
                </c:pt>
                <c:pt idx="243" formatCode="0.00">
                  <c:v>12195.595624436048</c:v>
                </c:pt>
                <c:pt idx="244" formatCode="0.00">
                  <c:v>12312.537286019171</c:v>
                </c:pt>
                <c:pt idx="245" formatCode="0.00">
                  <c:v>12818.463114632075</c:v>
                </c:pt>
                <c:pt idx="246" formatCode="0.00">
                  <c:v>14000</c:v>
                </c:pt>
                <c:pt idx="247" formatCode="0.00">
                  <c:v>14000</c:v>
                </c:pt>
                <c:pt idx="248" formatCode="0.00">
                  <c:v>13403.804022028537</c:v>
                </c:pt>
                <c:pt idx="249" formatCode="0.00">
                  <c:v>14000</c:v>
                </c:pt>
                <c:pt idx="250" formatCode="0.00">
                  <c:v>14000</c:v>
                </c:pt>
                <c:pt idx="251" formatCode="0.00">
                  <c:v>12496.174298959057</c:v>
                </c:pt>
                <c:pt idx="252" formatCode="0.00">
                  <c:v>14000</c:v>
                </c:pt>
                <c:pt idx="253" formatCode="0.00">
                  <c:v>14000</c:v>
                </c:pt>
                <c:pt idx="254" formatCode="0.00">
                  <c:v>14000</c:v>
                </c:pt>
                <c:pt idx="255" formatCode="0.00">
                  <c:v>14000</c:v>
                </c:pt>
                <c:pt idx="256" formatCode="0.00">
                  <c:v>14000</c:v>
                </c:pt>
                <c:pt idx="257" formatCode="0.00">
                  <c:v>14000</c:v>
                </c:pt>
                <c:pt idx="258" formatCode="0.00">
                  <c:v>14000</c:v>
                </c:pt>
                <c:pt idx="259" formatCode="0.00">
                  <c:v>14000</c:v>
                </c:pt>
                <c:pt idx="260" formatCode="0.00">
                  <c:v>14000</c:v>
                </c:pt>
                <c:pt idx="261" formatCode="0.00">
                  <c:v>14000</c:v>
                </c:pt>
                <c:pt idx="262" formatCode="0.00">
                  <c:v>14000</c:v>
                </c:pt>
                <c:pt idx="263" formatCode="0.00">
                  <c:v>14000</c:v>
                </c:pt>
                <c:pt idx="264" formatCode="0.00">
                  <c:v>14000</c:v>
                </c:pt>
                <c:pt idx="265" formatCode="0.00">
                  <c:v>14000</c:v>
                </c:pt>
                <c:pt idx="266" formatCode="0.00">
                  <c:v>13358.885224436048</c:v>
                </c:pt>
                <c:pt idx="267" formatCode="0.00">
                  <c:v>14000</c:v>
                </c:pt>
                <c:pt idx="268" formatCode="0.00">
                  <c:v>13358.885224436048</c:v>
                </c:pt>
                <c:pt idx="269" formatCode="0.00">
                  <c:v>12717.770448872094</c:v>
                </c:pt>
                <c:pt idx="270" formatCode="0.00">
                  <c:v>14000</c:v>
                </c:pt>
                <c:pt idx="271" formatCode="0.00">
                  <c:v>14000</c:v>
                </c:pt>
                <c:pt idx="272" formatCode="0.00">
                  <c:v>14000</c:v>
                </c:pt>
                <c:pt idx="273" formatCode="0.00">
                  <c:v>14000</c:v>
                </c:pt>
                <c:pt idx="274" formatCode="0.00">
                  <c:v>14000</c:v>
                </c:pt>
                <c:pt idx="275" formatCode="0.00">
                  <c:v>14000</c:v>
                </c:pt>
                <c:pt idx="276" formatCode="0.00">
                  <c:v>13358.885224436048</c:v>
                </c:pt>
                <c:pt idx="277" formatCode="0.00">
                  <c:v>14000</c:v>
                </c:pt>
                <c:pt idx="278" formatCode="0.00">
                  <c:v>14000</c:v>
                </c:pt>
                <c:pt idx="279" formatCode="0.00">
                  <c:v>13358.885224436048</c:v>
                </c:pt>
                <c:pt idx="280" formatCode="0.00">
                  <c:v>14000</c:v>
                </c:pt>
                <c:pt idx="281" formatCode="0.00">
                  <c:v>14000</c:v>
                </c:pt>
                <c:pt idx="282" formatCode="0.00">
                  <c:v>14000</c:v>
                </c:pt>
                <c:pt idx="283" formatCode="0.00">
                  <c:v>14000</c:v>
                </c:pt>
                <c:pt idx="284" formatCode="0.00">
                  <c:v>14000</c:v>
                </c:pt>
                <c:pt idx="285" formatCode="0.00">
                  <c:v>14000</c:v>
                </c:pt>
                <c:pt idx="286" formatCode="0.00">
                  <c:v>13358.885224436048</c:v>
                </c:pt>
                <c:pt idx="287" formatCode="0.00">
                  <c:v>14000</c:v>
                </c:pt>
                <c:pt idx="288" formatCode="0.00">
                  <c:v>14000</c:v>
                </c:pt>
                <c:pt idx="289" formatCode="0.00">
                  <c:v>13358.885224436048</c:v>
                </c:pt>
                <c:pt idx="290" formatCode="0.00">
                  <c:v>12717.770448872094</c:v>
                </c:pt>
                <c:pt idx="291" formatCode="0.00">
                  <c:v>14000</c:v>
                </c:pt>
                <c:pt idx="292" formatCode="0.00">
                  <c:v>14000</c:v>
                </c:pt>
                <c:pt idx="293" formatCode="0.00">
                  <c:v>14000</c:v>
                </c:pt>
                <c:pt idx="294" formatCode="0.00">
                  <c:v>14000</c:v>
                </c:pt>
                <c:pt idx="295" formatCode="0.00">
                  <c:v>14000</c:v>
                </c:pt>
                <c:pt idx="296" formatCode="0.00">
                  <c:v>14000</c:v>
                </c:pt>
                <c:pt idx="297" formatCode="0.00">
                  <c:v>14000</c:v>
                </c:pt>
                <c:pt idx="298" formatCode="0.00">
                  <c:v>14000</c:v>
                </c:pt>
                <c:pt idx="299" formatCode="0.00">
                  <c:v>14000</c:v>
                </c:pt>
                <c:pt idx="300" formatCode="0.00">
                  <c:v>14000</c:v>
                </c:pt>
                <c:pt idx="301" formatCode="0.00">
                  <c:v>14000</c:v>
                </c:pt>
                <c:pt idx="302" formatCode="0.00">
                  <c:v>14000</c:v>
                </c:pt>
                <c:pt idx="303" formatCode="0.00">
                  <c:v>14000</c:v>
                </c:pt>
                <c:pt idx="304" formatCode="0.00">
                  <c:v>14000</c:v>
                </c:pt>
                <c:pt idx="305" formatCode="0.00">
                  <c:v>14000</c:v>
                </c:pt>
                <c:pt idx="306" formatCode="0.00">
                  <c:v>14000</c:v>
                </c:pt>
                <c:pt idx="307" formatCode="0.00">
                  <c:v>14000</c:v>
                </c:pt>
                <c:pt idx="308" formatCode="0.00">
                  <c:v>14000</c:v>
                </c:pt>
                <c:pt idx="309" formatCode="0.00">
                  <c:v>14000</c:v>
                </c:pt>
                <c:pt idx="310" formatCode="0.00">
                  <c:v>14000</c:v>
                </c:pt>
                <c:pt idx="311" formatCode="0.00">
                  <c:v>14000</c:v>
                </c:pt>
                <c:pt idx="312" formatCode="0.00">
                  <c:v>14000</c:v>
                </c:pt>
                <c:pt idx="313" formatCode="0.00">
                  <c:v>14000</c:v>
                </c:pt>
                <c:pt idx="314" formatCode="0.00">
                  <c:v>14000</c:v>
                </c:pt>
                <c:pt idx="315" formatCode="0.00">
                  <c:v>14000</c:v>
                </c:pt>
                <c:pt idx="316" formatCode="0.00">
                  <c:v>14000</c:v>
                </c:pt>
                <c:pt idx="317" formatCode="0.00">
                  <c:v>14000</c:v>
                </c:pt>
                <c:pt idx="318" formatCode="0.00">
                  <c:v>14000</c:v>
                </c:pt>
                <c:pt idx="319" formatCode="0.00">
                  <c:v>14000</c:v>
                </c:pt>
                <c:pt idx="320" formatCode="0.00">
                  <c:v>14000</c:v>
                </c:pt>
                <c:pt idx="321" formatCode="0.00">
                  <c:v>14000</c:v>
                </c:pt>
                <c:pt idx="322" formatCode="0.00">
                  <c:v>14000</c:v>
                </c:pt>
                <c:pt idx="323" formatCode="0.00">
                  <c:v>14000</c:v>
                </c:pt>
                <c:pt idx="324" formatCode="0.00">
                  <c:v>14000</c:v>
                </c:pt>
                <c:pt idx="325" formatCode="0.00">
                  <c:v>14000</c:v>
                </c:pt>
                <c:pt idx="326" formatCode="0.00">
                  <c:v>14000</c:v>
                </c:pt>
                <c:pt idx="327" formatCode="0.00">
                  <c:v>14000</c:v>
                </c:pt>
                <c:pt idx="328" formatCode="0.00">
                  <c:v>14000</c:v>
                </c:pt>
                <c:pt idx="329" formatCode="0.00">
                  <c:v>14000</c:v>
                </c:pt>
                <c:pt idx="330" formatCode="0.00">
                  <c:v>14000</c:v>
                </c:pt>
                <c:pt idx="331" formatCode="0.00">
                  <c:v>14000</c:v>
                </c:pt>
                <c:pt idx="332" formatCode="0.00">
                  <c:v>14000</c:v>
                </c:pt>
                <c:pt idx="333" formatCode="0.00">
                  <c:v>14000</c:v>
                </c:pt>
                <c:pt idx="334" formatCode="0.00">
                  <c:v>14000</c:v>
                </c:pt>
                <c:pt idx="335" formatCode="0.00">
                  <c:v>14000</c:v>
                </c:pt>
                <c:pt idx="336" formatCode="0.00">
                  <c:v>14000</c:v>
                </c:pt>
                <c:pt idx="337" formatCode="0.00">
                  <c:v>14000</c:v>
                </c:pt>
                <c:pt idx="338" formatCode="0.00">
                  <c:v>14000</c:v>
                </c:pt>
                <c:pt idx="339" formatCode="0.00">
                  <c:v>14000</c:v>
                </c:pt>
                <c:pt idx="340" formatCode="0.00">
                  <c:v>14000</c:v>
                </c:pt>
                <c:pt idx="341" formatCode="0.00">
                  <c:v>14000</c:v>
                </c:pt>
                <c:pt idx="342" formatCode="0.00">
                  <c:v>14000</c:v>
                </c:pt>
                <c:pt idx="343" formatCode="0.00">
                  <c:v>14000</c:v>
                </c:pt>
                <c:pt idx="344" formatCode="0.00">
                  <c:v>14000</c:v>
                </c:pt>
                <c:pt idx="345" formatCode="0.00">
                  <c:v>14000</c:v>
                </c:pt>
                <c:pt idx="346" formatCode="0.00">
                  <c:v>14000</c:v>
                </c:pt>
                <c:pt idx="347" formatCode="0.00">
                  <c:v>14000</c:v>
                </c:pt>
                <c:pt idx="348" formatCode="0.00">
                  <c:v>14000</c:v>
                </c:pt>
                <c:pt idx="349" formatCode="0.00">
                  <c:v>14000</c:v>
                </c:pt>
                <c:pt idx="350" formatCode="0.00">
                  <c:v>14000</c:v>
                </c:pt>
                <c:pt idx="351" formatCode="0.00">
                  <c:v>14000</c:v>
                </c:pt>
                <c:pt idx="352" formatCode="0.00">
                  <c:v>14000</c:v>
                </c:pt>
                <c:pt idx="353" formatCode="0.00">
                  <c:v>14000</c:v>
                </c:pt>
                <c:pt idx="354" formatCode="0.00">
                  <c:v>14000</c:v>
                </c:pt>
                <c:pt idx="355" formatCode="0.00">
                  <c:v>14000</c:v>
                </c:pt>
                <c:pt idx="356" formatCode="0.00">
                  <c:v>14000</c:v>
                </c:pt>
                <c:pt idx="357" formatCode="0.00">
                  <c:v>14000</c:v>
                </c:pt>
                <c:pt idx="358" formatCode="0.00">
                  <c:v>14000</c:v>
                </c:pt>
                <c:pt idx="359" formatCode="0.00">
                  <c:v>14000</c:v>
                </c:pt>
                <c:pt idx="360" formatCode="0.00">
                  <c:v>14000</c:v>
                </c:pt>
                <c:pt idx="361" formatCode="0.00">
                  <c:v>14000</c:v>
                </c:pt>
                <c:pt idx="362" formatCode="0.00">
                  <c:v>14000</c:v>
                </c:pt>
                <c:pt idx="363" formatCode="0.00">
                  <c:v>14000</c:v>
                </c:pt>
                <c:pt idx="364" formatCode="0.00">
                  <c:v>14000</c:v>
                </c:pt>
                <c:pt idx="365" formatCode="0.00">
                  <c:v>14000</c:v>
                </c:pt>
                <c:pt idx="366" formatCode="0.00">
                  <c:v>14000</c:v>
                </c:pt>
                <c:pt idx="367" formatCode="0.00">
                  <c:v>14000</c:v>
                </c:pt>
                <c:pt idx="368" formatCode="0.00">
                  <c:v>14000</c:v>
                </c:pt>
                <c:pt idx="369" formatCode="0.00">
                  <c:v>14000</c:v>
                </c:pt>
                <c:pt idx="370" formatCode="0.00">
                  <c:v>14000</c:v>
                </c:pt>
                <c:pt idx="371" formatCode="0.00">
                  <c:v>14000</c:v>
                </c:pt>
                <c:pt idx="372" formatCode="0.00">
                  <c:v>14000</c:v>
                </c:pt>
                <c:pt idx="373" formatCode="0.00">
                  <c:v>14000</c:v>
                </c:pt>
                <c:pt idx="374" formatCode="0.00">
                  <c:v>14000</c:v>
                </c:pt>
                <c:pt idx="375" formatCode="0.00">
                  <c:v>14000</c:v>
                </c:pt>
                <c:pt idx="376" formatCode="0.00">
                  <c:v>14000</c:v>
                </c:pt>
                <c:pt idx="377" formatCode="0.00">
                  <c:v>14000</c:v>
                </c:pt>
                <c:pt idx="378" formatCode="0.00">
                  <c:v>14000</c:v>
                </c:pt>
                <c:pt idx="379" formatCode="0.00">
                  <c:v>14000</c:v>
                </c:pt>
                <c:pt idx="380" formatCode="0.00">
                  <c:v>14000</c:v>
                </c:pt>
                <c:pt idx="381" formatCode="0.00">
                  <c:v>14000</c:v>
                </c:pt>
                <c:pt idx="382" formatCode="0.00">
                  <c:v>14000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B3-49D6-A098-33DF48332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1167534"/>
        <c:axId val="1834250098"/>
      </c:scatterChart>
      <c:valAx>
        <c:axId val="152116753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Verdana"/>
                  </a:defRPr>
                </a:pPr>
                <a:r>
                  <a:rPr lang="en-CA" b="0">
                    <a:solidFill>
                      <a:srgbClr val="000000"/>
                    </a:solidFill>
                    <a:latin typeface="Verdana"/>
                  </a:rPr>
                  <a:t>Day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Verdana"/>
              </a:defRPr>
            </a:pPr>
            <a:endParaRPr lang="en-US"/>
          </a:p>
        </c:txPr>
        <c:crossAx val="1834250098"/>
        <c:crosses val="autoZero"/>
        <c:crossBetween val="midCat"/>
      </c:valAx>
      <c:valAx>
        <c:axId val="18342500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Verdana"/>
                  </a:defRPr>
                </a:pPr>
                <a:r>
                  <a:rPr lang="en-CA" b="0">
                    <a:solidFill>
                      <a:srgbClr val="000000"/>
                    </a:solidFill>
                    <a:latin typeface="Verdana"/>
                  </a:rPr>
                  <a:t>Energy (Wh)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Verdana"/>
              </a:defRPr>
            </a:pPr>
            <a:endParaRPr lang="en-US"/>
          </a:p>
        </c:txPr>
        <c:crossAx val="152116753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Verdana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Verdana"/>
              </a:defRPr>
            </a:pPr>
            <a:r>
              <a:rPr lang="en-CA" b="1">
                <a:solidFill>
                  <a:srgbClr val="000000"/>
                </a:solidFill>
                <a:latin typeface="Verdana"/>
              </a:rPr>
              <a:t>Pump Pressure and System Curve Pressure Over Flow Rate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'Pump Data'!$I$1</c:f>
              <c:strCache>
                <c:ptCount val="1"/>
                <c:pt idx="0">
                  <c:v>System Curve Pressure [kPa]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'Pump Data'!$C$2:$C$1000</c:f>
              <c:numCache>
                <c:formatCode>0.00</c:formatCode>
                <c:ptCount val="999"/>
                <c:pt idx="0">
                  <c:v>0</c:v>
                </c:pt>
                <c:pt idx="1">
                  <c:v>1.8849555921538761</c:v>
                </c:pt>
                <c:pt idx="2">
                  <c:v>3.7699111843077522</c:v>
                </c:pt>
                <c:pt idx="3">
                  <c:v>5.6548667764616267</c:v>
                </c:pt>
                <c:pt idx="4">
                  <c:v>7.5398223686155044</c:v>
                </c:pt>
                <c:pt idx="5">
                  <c:v>9.4247779607693793</c:v>
                </c:pt>
                <c:pt idx="6">
                  <c:v>11.309733552923253</c:v>
                </c:pt>
                <c:pt idx="7">
                  <c:v>13.194689145077131</c:v>
                </c:pt>
                <c:pt idx="8">
                  <c:v>15.079644737231009</c:v>
                </c:pt>
                <c:pt idx="9">
                  <c:v>16.964600329384883</c:v>
                </c:pt>
                <c:pt idx="10">
                  <c:v>18.849555921538759</c:v>
                </c:pt>
                <c:pt idx="11">
                  <c:v>20.734511513692635</c:v>
                </c:pt>
                <c:pt idx="12">
                  <c:v>22.619467105846507</c:v>
                </c:pt>
                <c:pt idx="13">
                  <c:v>24.504422698000386</c:v>
                </c:pt>
                <c:pt idx="14">
                  <c:v>26.389378290154262</c:v>
                </c:pt>
                <c:pt idx="15">
                  <c:v>28.274333882308138</c:v>
                </c:pt>
                <c:pt idx="16">
                  <c:v>30.159289474462017</c:v>
                </c:pt>
                <c:pt idx="17">
                  <c:v>32.044245066615886</c:v>
                </c:pt>
                <c:pt idx="18">
                  <c:v>33.929200658769766</c:v>
                </c:pt>
                <c:pt idx="19">
                  <c:v>35.814156250923638</c:v>
                </c:pt>
                <c:pt idx="20">
                  <c:v>37.699111843077517</c:v>
                </c:pt>
                <c:pt idx="21">
                  <c:v>39.584067435231397</c:v>
                </c:pt>
                <c:pt idx="22">
                  <c:v>41.469023027385269</c:v>
                </c:pt>
                <c:pt idx="23">
                  <c:v>43.353978619539141</c:v>
                </c:pt>
                <c:pt idx="24">
                  <c:v>45.238934211693014</c:v>
                </c:pt>
                <c:pt idx="25">
                  <c:v>47.123889803846893</c:v>
                </c:pt>
                <c:pt idx="26">
                  <c:v>49.008845396000773</c:v>
                </c:pt>
                <c:pt idx="27">
                  <c:v>50.893800988154652</c:v>
                </c:pt>
                <c:pt idx="28">
                  <c:v>52.778756580308524</c:v>
                </c:pt>
                <c:pt idx="29">
                  <c:v>54.663712172462397</c:v>
                </c:pt>
                <c:pt idx="30">
                  <c:v>56.548667764616276</c:v>
                </c:pt>
              </c:numCache>
            </c:numRef>
          </c:cat>
          <c:val>
            <c:numRef>
              <c:f>'Pump Data'!$I$2:$I$1000</c:f>
              <c:numCache>
                <c:formatCode>0.00</c:formatCode>
                <c:ptCount val="999"/>
                <c:pt idx="0">
                  <c:v>63.765000000000001</c:v>
                </c:pt>
                <c:pt idx="1">
                  <c:v>64.634219039551766</c:v>
                </c:pt>
                <c:pt idx="2">
                  <c:v>66.377950508207064</c:v>
                </c:pt>
                <c:pt idx="3">
                  <c:v>68.996194405965909</c:v>
                </c:pt>
                <c:pt idx="4">
                  <c:v>72.488950732828272</c:v>
                </c:pt>
                <c:pt idx="5">
                  <c:v>76.856219488794181</c:v>
                </c:pt>
                <c:pt idx="6">
                  <c:v>82.098000673863623</c:v>
                </c:pt>
                <c:pt idx="7">
                  <c:v>88.214294288036598</c:v>
                </c:pt>
                <c:pt idx="8">
                  <c:v>95.205100331313133</c:v>
                </c:pt>
                <c:pt idx="9">
                  <c:v>103.07041880369317</c:v>
                </c:pt>
                <c:pt idx="10">
                  <c:v>111.81024970517676</c:v>
                </c:pt>
                <c:pt idx="11">
                  <c:v>121.42459303576391</c:v>
                </c:pt>
                <c:pt idx="12">
                  <c:v>131.91344879545454</c:v>
                </c:pt>
                <c:pt idx="13">
                  <c:v>143.27681698424877</c:v>
                </c:pt>
                <c:pt idx="14">
                  <c:v>155.51469760214641</c:v>
                </c:pt>
                <c:pt idx="15">
                  <c:v>168.62709064914773</c:v>
                </c:pt>
                <c:pt idx="16">
                  <c:v>182.61399612525253</c:v>
                </c:pt>
                <c:pt idx="17">
                  <c:v>197.47541403046085</c:v>
                </c:pt>
                <c:pt idx="18">
                  <c:v>213.21134436477269</c:v>
                </c:pt>
                <c:pt idx="19">
                  <c:v>229.82178712818813</c:v>
                </c:pt>
                <c:pt idx="20">
                  <c:v>247.30674232070703</c:v>
                </c:pt>
                <c:pt idx="21">
                  <c:v>265.66620994232949</c:v>
                </c:pt>
                <c:pt idx="22">
                  <c:v>284.90018999305562</c:v>
                </c:pt>
                <c:pt idx="23">
                  <c:v>305.00868247288508</c:v>
                </c:pt>
                <c:pt idx="24">
                  <c:v>325.99168738181817</c:v>
                </c:pt>
                <c:pt idx="25">
                  <c:v>347.84920471985481</c:v>
                </c:pt>
                <c:pt idx="26">
                  <c:v>370.58123448699496</c:v>
                </c:pt>
                <c:pt idx="27">
                  <c:v>394.18777668323861</c:v>
                </c:pt>
                <c:pt idx="28">
                  <c:v>418.66883130858577</c:v>
                </c:pt>
                <c:pt idx="29">
                  <c:v>444.0243983630366</c:v>
                </c:pt>
                <c:pt idx="30">
                  <c:v>470.25447784659093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321-451E-90E4-F2B714720330}"/>
            </c:ext>
          </c:extLst>
        </c:ser>
        <c:ser>
          <c:idx val="1"/>
          <c:order val="1"/>
          <c:tx>
            <c:strRef>
              <c:f>'Pump Data'!$D$1</c:f>
              <c:strCache>
                <c:ptCount val="1"/>
                <c:pt idx="0">
                  <c:v>Pump Pressure [kPa]</c:v>
                </c:pt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'Pump Data'!$C$2:$C$1000</c:f>
              <c:numCache>
                <c:formatCode>0.00</c:formatCode>
                <c:ptCount val="999"/>
                <c:pt idx="0">
                  <c:v>0</c:v>
                </c:pt>
                <c:pt idx="1">
                  <c:v>1.8849555921538761</c:v>
                </c:pt>
                <c:pt idx="2">
                  <c:v>3.7699111843077522</c:v>
                </c:pt>
                <c:pt idx="3">
                  <c:v>5.6548667764616267</c:v>
                </c:pt>
                <c:pt idx="4">
                  <c:v>7.5398223686155044</c:v>
                </c:pt>
                <c:pt idx="5">
                  <c:v>9.4247779607693793</c:v>
                </c:pt>
                <c:pt idx="6">
                  <c:v>11.309733552923253</c:v>
                </c:pt>
                <c:pt idx="7">
                  <c:v>13.194689145077131</c:v>
                </c:pt>
                <c:pt idx="8">
                  <c:v>15.079644737231009</c:v>
                </c:pt>
                <c:pt idx="9">
                  <c:v>16.964600329384883</c:v>
                </c:pt>
                <c:pt idx="10">
                  <c:v>18.849555921538759</c:v>
                </c:pt>
                <c:pt idx="11">
                  <c:v>20.734511513692635</c:v>
                </c:pt>
                <c:pt idx="12">
                  <c:v>22.619467105846507</c:v>
                </c:pt>
                <c:pt idx="13">
                  <c:v>24.504422698000386</c:v>
                </c:pt>
                <c:pt idx="14">
                  <c:v>26.389378290154262</c:v>
                </c:pt>
                <c:pt idx="15">
                  <c:v>28.274333882308138</c:v>
                </c:pt>
                <c:pt idx="16">
                  <c:v>30.159289474462017</c:v>
                </c:pt>
                <c:pt idx="17">
                  <c:v>32.044245066615886</c:v>
                </c:pt>
                <c:pt idx="18">
                  <c:v>33.929200658769766</c:v>
                </c:pt>
                <c:pt idx="19">
                  <c:v>35.814156250923638</c:v>
                </c:pt>
                <c:pt idx="20">
                  <c:v>37.699111843077517</c:v>
                </c:pt>
                <c:pt idx="21">
                  <c:v>39.584067435231397</c:v>
                </c:pt>
                <c:pt idx="22">
                  <c:v>41.469023027385269</c:v>
                </c:pt>
                <c:pt idx="23">
                  <c:v>43.353978619539141</c:v>
                </c:pt>
                <c:pt idx="24">
                  <c:v>45.238934211693014</c:v>
                </c:pt>
                <c:pt idx="25">
                  <c:v>47.123889803846893</c:v>
                </c:pt>
                <c:pt idx="26">
                  <c:v>49.008845396000773</c:v>
                </c:pt>
                <c:pt idx="27">
                  <c:v>50.893800988154652</c:v>
                </c:pt>
                <c:pt idx="28">
                  <c:v>52.778756580308524</c:v>
                </c:pt>
                <c:pt idx="29">
                  <c:v>54.663712172462397</c:v>
                </c:pt>
                <c:pt idx="30">
                  <c:v>56.548667764616276</c:v>
                </c:pt>
              </c:numCache>
            </c:numRef>
          </c:cat>
          <c:val>
            <c:numRef>
              <c:f>'Pump Data'!$D$2:$D$1000</c:f>
              <c:numCache>
                <c:formatCode>0.00</c:formatCode>
                <c:ptCount val="999"/>
                <c:pt idx="0">
                  <c:v>150.9</c:v>
                </c:pt>
                <c:pt idx="1">
                  <c:v>150.15936091857699</c:v>
                </c:pt>
                <c:pt idx="2">
                  <c:v>149.29649665625087</c:v>
                </c:pt>
                <c:pt idx="3">
                  <c:v>148.31140721302168</c:v>
                </c:pt>
                <c:pt idx="4">
                  <c:v>147.20409258888938</c:v>
                </c:pt>
                <c:pt idx="5">
                  <c:v>145.97455278385402</c:v>
                </c:pt>
                <c:pt idx="6">
                  <c:v>144.62278779791555</c:v>
                </c:pt>
                <c:pt idx="7">
                  <c:v>143.14879763107399</c:v>
                </c:pt>
                <c:pt idx="8">
                  <c:v>141.55258228332931</c:v>
                </c:pt>
                <c:pt idx="9">
                  <c:v>139.83414175468158</c:v>
                </c:pt>
                <c:pt idx="10">
                  <c:v>137.99347604513076</c:v>
                </c:pt>
                <c:pt idx="11">
                  <c:v>136.03058515467683</c:v>
                </c:pt>
                <c:pt idx="12">
                  <c:v>133.94546908331981</c:v>
                </c:pt>
                <c:pt idx="13">
                  <c:v>131.73812783105973</c:v>
                </c:pt>
                <c:pt idx="14">
                  <c:v>129.40856139789651</c:v>
                </c:pt>
                <c:pt idx="15">
                  <c:v>126.95676978383023</c:v>
                </c:pt>
                <c:pt idx="16">
                  <c:v>124.38275298886084</c:v>
                </c:pt>
                <c:pt idx="17">
                  <c:v>121.68651101298839</c:v>
                </c:pt>
                <c:pt idx="18">
                  <c:v>118.86804385621284</c:v>
                </c:pt>
                <c:pt idx="19">
                  <c:v>115.92735151853418</c:v>
                </c:pt>
                <c:pt idx="20">
                  <c:v>112.86443399995244</c:v>
                </c:pt>
                <c:pt idx="21">
                  <c:v>109.67929130046761</c:v>
                </c:pt>
                <c:pt idx="22">
                  <c:v>106.3719234200797</c:v>
                </c:pt>
                <c:pt idx="23">
                  <c:v>102.94233035878868</c:v>
                </c:pt>
                <c:pt idx="24">
                  <c:v>99.390512116594579</c:v>
                </c:pt>
                <c:pt idx="25">
                  <c:v>95.71646869349739</c:v>
                </c:pt>
                <c:pt idx="26">
                  <c:v>91.920200089497115</c:v>
                </c:pt>
                <c:pt idx="27">
                  <c:v>88.001706304593725</c:v>
                </c:pt>
                <c:pt idx="28">
                  <c:v>83.960987338787277</c:v>
                </c:pt>
                <c:pt idx="29">
                  <c:v>79.798043192077714</c:v>
                </c:pt>
                <c:pt idx="30">
                  <c:v>75.512873864465064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321-451E-90E4-F2B714720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0648648"/>
        <c:axId val="1300860112"/>
      </c:lineChart>
      <c:catAx>
        <c:axId val="1490648648"/>
        <c:scaling>
          <c:orientation val="minMax"/>
          <c:max val="5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Verdana"/>
                  </a:defRPr>
                </a:pPr>
                <a:r>
                  <a:rPr lang="en-CA" b="0">
                    <a:solidFill>
                      <a:srgbClr val="000000"/>
                    </a:solidFill>
                    <a:latin typeface="Verdana"/>
                  </a:rPr>
                  <a:t>Flow Rate, Q [LPM]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Verdana"/>
              </a:defRPr>
            </a:pPr>
            <a:endParaRPr lang="en-US"/>
          </a:p>
        </c:txPr>
        <c:crossAx val="1300860112"/>
        <c:crosses val="autoZero"/>
        <c:auto val="1"/>
        <c:lblAlgn val="ctr"/>
        <c:lblOffset val="100"/>
        <c:noMultiLvlLbl val="1"/>
      </c:catAx>
      <c:valAx>
        <c:axId val="13008601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Verdana"/>
                  </a:defRPr>
                </a:pPr>
                <a:r>
                  <a:rPr lang="en-CA" b="0">
                    <a:solidFill>
                      <a:srgbClr val="000000"/>
                    </a:solidFill>
                    <a:latin typeface="Verdana"/>
                  </a:rPr>
                  <a:t>Pressure [kPa]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Verdana"/>
              </a:defRPr>
            </a:pPr>
            <a:endParaRPr lang="en-US"/>
          </a:p>
        </c:txPr>
        <c:crossAx val="149064864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Verdana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Verdana"/>
              </a:defRPr>
            </a:pPr>
            <a:r>
              <a:rPr lang="en-CA" b="1">
                <a:solidFill>
                  <a:srgbClr val="000000"/>
                </a:solidFill>
                <a:latin typeface="Verdana"/>
              </a:rPr>
              <a:t>Model of Water from Storage Tank to House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'Pump Data'!$T$1</c:f>
              <c:strCache>
                <c:ptCount val="1"/>
                <c:pt idx="0">
                  <c:v>Tank Pressure (Gravity) [kPa]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'Pump Data'!$S$2:$S$1000</c:f>
              <c:numCache>
                <c:formatCode>0.00</c:formatCode>
                <c:ptCount val="999"/>
                <c:pt idx="0" formatCode="General">
                  <c:v>0</c:v>
                </c:pt>
                <c:pt idx="1">
                  <c:v>1.8849555921538761</c:v>
                </c:pt>
                <c:pt idx="2">
                  <c:v>3.7699111843077522</c:v>
                </c:pt>
                <c:pt idx="3">
                  <c:v>5.6548667764616267</c:v>
                </c:pt>
                <c:pt idx="4">
                  <c:v>7.5398223686155044</c:v>
                </c:pt>
                <c:pt idx="5">
                  <c:v>9.4247779607693793</c:v>
                </c:pt>
                <c:pt idx="6">
                  <c:v>11.309733552923253</c:v>
                </c:pt>
                <c:pt idx="7">
                  <c:v>13.194689145077131</c:v>
                </c:pt>
                <c:pt idx="8">
                  <c:v>15.079644737231009</c:v>
                </c:pt>
                <c:pt idx="9">
                  <c:v>16.964600329384883</c:v>
                </c:pt>
                <c:pt idx="10">
                  <c:v>18.849555921538759</c:v>
                </c:pt>
                <c:pt idx="11">
                  <c:v>20.734511513692635</c:v>
                </c:pt>
                <c:pt idx="12">
                  <c:v>22.619467105846507</c:v>
                </c:pt>
                <c:pt idx="13">
                  <c:v>24.504422698000386</c:v>
                </c:pt>
                <c:pt idx="14">
                  <c:v>26.389378290154262</c:v>
                </c:pt>
                <c:pt idx="15">
                  <c:v>28.274333882308138</c:v>
                </c:pt>
                <c:pt idx="16">
                  <c:v>30.159289474462017</c:v>
                </c:pt>
                <c:pt idx="17">
                  <c:v>32.044245066615886</c:v>
                </c:pt>
                <c:pt idx="18">
                  <c:v>33.929200658769766</c:v>
                </c:pt>
                <c:pt idx="19">
                  <c:v>35.814156250923638</c:v>
                </c:pt>
                <c:pt idx="20">
                  <c:v>37.699111843077517</c:v>
                </c:pt>
                <c:pt idx="21">
                  <c:v>39.584067435231397</c:v>
                </c:pt>
                <c:pt idx="22">
                  <c:v>41.469023027385269</c:v>
                </c:pt>
                <c:pt idx="23">
                  <c:v>43.353978619539141</c:v>
                </c:pt>
                <c:pt idx="24">
                  <c:v>45.238934211693014</c:v>
                </c:pt>
                <c:pt idx="25">
                  <c:v>47.123889803846893</c:v>
                </c:pt>
                <c:pt idx="26">
                  <c:v>49.008845396000773</c:v>
                </c:pt>
                <c:pt idx="27">
                  <c:v>50.893800988154652</c:v>
                </c:pt>
                <c:pt idx="28">
                  <c:v>52.778756580308524</c:v>
                </c:pt>
                <c:pt idx="29">
                  <c:v>54.663712172462397</c:v>
                </c:pt>
                <c:pt idx="30">
                  <c:v>56.548667764616276</c:v>
                </c:pt>
              </c:numCache>
            </c:numRef>
          </c:cat>
          <c:val>
            <c:numRef>
              <c:f>'Pump Data'!$T$2:$T$1000</c:f>
              <c:numCache>
                <c:formatCode>General</c:formatCode>
                <c:ptCount val="999"/>
                <c:pt idx="0">
                  <c:v>49.05</c:v>
                </c:pt>
                <c:pt idx="1">
                  <c:v>49.05</c:v>
                </c:pt>
                <c:pt idx="2">
                  <c:v>49.05</c:v>
                </c:pt>
                <c:pt idx="3">
                  <c:v>49.05</c:v>
                </c:pt>
                <c:pt idx="4">
                  <c:v>49.05</c:v>
                </c:pt>
                <c:pt idx="5">
                  <c:v>49.05</c:v>
                </c:pt>
                <c:pt idx="6">
                  <c:v>49.05</c:v>
                </c:pt>
                <c:pt idx="7">
                  <c:v>49.05</c:v>
                </c:pt>
                <c:pt idx="8">
                  <c:v>49.05</c:v>
                </c:pt>
                <c:pt idx="9">
                  <c:v>49.05</c:v>
                </c:pt>
                <c:pt idx="10">
                  <c:v>49.05</c:v>
                </c:pt>
                <c:pt idx="11">
                  <c:v>49.05</c:v>
                </c:pt>
                <c:pt idx="12">
                  <c:v>49.05</c:v>
                </c:pt>
                <c:pt idx="13">
                  <c:v>49.05</c:v>
                </c:pt>
                <c:pt idx="14">
                  <c:v>49.05</c:v>
                </c:pt>
                <c:pt idx="15">
                  <c:v>49.05</c:v>
                </c:pt>
                <c:pt idx="16">
                  <c:v>49.05</c:v>
                </c:pt>
                <c:pt idx="17">
                  <c:v>49.05</c:v>
                </c:pt>
                <c:pt idx="18">
                  <c:v>49.05</c:v>
                </c:pt>
                <c:pt idx="19">
                  <c:v>49.05</c:v>
                </c:pt>
                <c:pt idx="20">
                  <c:v>49.05</c:v>
                </c:pt>
                <c:pt idx="21">
                  <c:v>49.05</c:v>
                </c:pt>
                <c:pt idx="22">
                  <c:v>49.05</c:v>
                </c:pt>
                <c:pt idx="23">
                  <c:v>49.05</c:v>
                </c:pt>
                <c:pt idx="24">
                  <c:v>49.05</c:v>
                </c:pt>
                <c:pt idx="25">
                  <c:v>49.05</c:v>
                </c:pt>
                <c:pt idx="26">
                  <c:v>49.05</c:v>
                </c:pt>
                <c:pt idx="27">
                  <c:v>49.05</c:v>
                </c:pt>
                <c:pt idx="28">
                  <c:v>49.05</c:v>
                </c:pt>
                <c:pt idx="29">
                  <c:v>49.05</c:v>
                </c:pt>
                <c:pt idx="30">
                  <c:v>49.05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FF-4663-95FE-2BB7DEC677BF}"/>
            </c:ext>
          </c:extLst>
        </c:ser>
        <c:ser>
          <c:idx val="1"/>
          <c:order val="1"/>
          <c:tx>
            <c:strRef>
              <c:f>'Pump Data'!$W$1</c:f>
              <c:strCache>
                <c:ptCount val="1"/>
                <c:pt idx="0">
                  <c:v>System Curve Pressure [kPa]</c:v>
                </c:pt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'Pump Data'!$S$2:$S$1000</c:f>
              <c:numCache>
                <c:formatCode>0.00</c:formatCode>
                <c:ptCount val="999"/>
                <c:pt idx="0" formatCode="General">
                  <c:v>0</c:v>
                </c:pt>
                <c:pt idx="1">
                  <c:v>1.8849555921538761</c:v>
                </c:pt>
                <c:pt idx="2">
                  <c:v>3.7699111843077522</c:v>
                </c:pt>
                <c:pt idx="3">
                  <c:v>5.6548667764616267</c:v>
                </c:pt>
                <c:pt idx="4">
                  <c:v>7.5398223686155044</c:v>
                </c:pt>
                <c:pt idx="5">
                  <c:v>9.4247779607693793</c:v>
                </c:pt>
                <c:pt idx="6">
                  <c:v>11.309733552923253</c:v>
                </c:pt>
                <c:pt idx="7">
                  <c:v>13.194689145077131</c:v>
                </c:pt>
                <c:pt idx="8">
                  <c:v>15.079644737231009</c:v>
                </c:pt>
                <c:pt idx="9">
                  <c:v>16.964600329384883</c:v>
                </c:pt>
                <c:pt idx="10">
                  <c:v>18.849555921538759</c:v>
                </c:pt>
                <c:pt idx="11">
                  <c:v>20.734511513692635</c:v>
                </c:pt>
                <c:pt idx="12">
                  <c:v>22.619467105846507</c:v>
                </c:pt>
                <c:pt idx="13">
                  <c:v>24.504422698000386</c:v>
                </c:pt>
                <c:pt idx="14">
                  <c:v>26.389378290154262</c:v>
                </c:pt>
                <c:pt idx="15">
                  <c:v>28.274333882308138</c:v>
                </c:pt>
                <c:pt idx="16">
                  <c:v>30.159289474462017</c:v>
                </c:pt>
                <c:pt idx="17">
                  <c:v>32.044245066615886</c:v>
                </c:pt>
                <c:pt idx="18">
                  <c:v>33.929200658769766</c:v>
                </c:pt>
                <c:pt idx="19">
                  <c:v>35.814156250923638</c:v>
                </c:pt>
                <c:pt idx="20">
                  <c:v>37.699111843077517</c:v>
                </c:pt>
                <c:pt idx="21">
                  <c:v>39.584067435231397</c:v>
                </c:pt>
                <c:pt idx="22">
                  <c:v>41.469023027385269</c:v>
                </c:pt>
                <c:pt idx="23">
                  <c:v>43.353978619539141</c:v>
                </c:pt>
                <c:pt idx="24">
                  <c:v>45.238934211693014</c:v>
                </c:pt>
                <c:pt idx="25">
                  <c:v>47.123889803846893</c:v>
                </c:pt>
                <c:pt idx="26">
                  <c:v>49.008845396000773</c:v>
                </c:pt>
                <c:pt idx="27">
                  <c:v>50.893800988154652</c:v>
                </c:pt>
                <c:pt idx="28">
                  <c:v>52.778756580308524</c:v>
                </c:pt>
                <c:pt idx="29">
                  <c:v>54.663712172462397</c:v>
                </c:pt>
                <c:pt idx="30">
                  <c:v>56.548667764616276</c:v>
                </c:pt>
              </c:numCache>
            </c:numRef>
          </c:cat>
          <c:val>
            <c:numRef>
              <c:f>'Pump Data'!$W$2:$W$1000</c:f>
              <c:numCache>
                <c:formatCode>0.00</c:formatCode>
                <c:ptCount val="999"/>
                <c:pt idx="0">
                  <c:v>0</c:v>
                </c:pt>
                <c:pt idx="1">
                  <c:v>0.45725621455176768</c:v>
                </c:pt>
                <c:pt idx="2">
                  <c:v>1.8290248582070707</c:v>
                </c:pt>
                <c:pt idx="3">
                  <c:v>4.115305930965909</c:v>
                </c:pt>
                <c:pt idx="4">
                  <c:v>7.3160994328282829</c:v>
                </c:pt>
                <c:pt idx="5">
                  <c:v>11.431405363794191</c:v>
                </c:pt>
                <c:pt idx="6">
                  <c:v>16.461223723863636</c:v>
                </c:pt>
                <c:pt idx="7">
                  <c:v>22.405554513036613</c:v>
                </c:pt>
                <c:pt idx="8">
                  <c:v>29.264397731313132</c:v>
                </c:pt>
                <c:pt idx="9">
                  <c:v>37.037753378693175</c:v>
                </c:pt>
                <c:pt idx="10">
                  <c:v>45.725621455176764</c:v>
                </c:pt>
                <c:pt idx="11">
                  <c:v>55.328001960763899</c:v>
                </c:pt>
                <c:pt idx="12">
                  <c:v>65.844894895454544</c:v>
                </c:pt>
                <c:pt idx="13">
                  <c:v>77.276300259248742</c:v>
                </c:pt>
                <c:pt idx="14">
                  <c:v>89.622218052146451</c:v>
                </c:pt>
                <c:pt idx="15">
                  <c:v>102.88264827414773</c:v>
                </c:pt>
                <c:pt idx="16">
                  <c:v>117.05759092525253</c:v>
                </c:pt>
                <c:pt idx="17">
                  <c:v>132.14704600546082</c:v>
                </c:pt>
                <c:pt idx="18">
                  <c:v>148.1510135147727</c:v>
                </c:pt>
                <c:pt idx="19">
                  <c:v>165.06949345318813</c:v>
                </c:pt>
                <c:pt idx="20">
                  <c:v>182.90248582070706</c:v>
                </c:pt>
                <c:pt idx="21">
                  <c:v>201.64999061732951</c:v>
                </c:pt>
                <c:pt idx="22">
                  <c:v>221.3120078430556</c:v>
                </c:pt>
                <c:pt idx="23">
                  <c:v>241.88853749788507</c:v>
                </c:pt>
                <c:pt idx="24">
                  <c:v>263.37957958181818</c:v>
                </c:pt>
                <c:pt idx="25">
                  <c:v>285.78513409485481</c:v>
                </c:pt>
                <c:pt idx="26">
                  <c:v>309.10520103699497</c:v>
                </c:pt>
                <c:pt idx="27">
                  <c:v>333.33978040823865</c:v>
                </c:pt>
                <c:pt idx="28">
                  <c:v>358.4888722085858</c:v>
                </c:pt>
                <c:pt idx="29">
                  <c:v>384.55247643803659</c:v>
                </c:pt>
                <c:pt idx="30">
                  <c:v>411.53059309659091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FF-4663-95FE-2BB7DEC67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1160478"/>
        <c:axId val="854600132"/>
      </c:lineChart>
      <c:catAx>
        <c:axId val="17711604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Verdana"/>
                  </a:defRPr>
                </a:pPr>
                <a:r>
                  <a:rPr lang="en-CA" b="0">
                    <a:solidFill>
                      <a:srgbClr val="000000"/>
                    </a:solidFill>
                    <a:latin typeface="Verdana"/>
                  </a:rPr>
                  <a:t>On Demand Flow Rate, Q_d [LPM]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Verdana"/>
              </a:defRPr>
            </a:pPr>
            <a:endParaRPr lang="en-US"/>
          </a:p>
        </c:txPr>
        <c:crossAx val="854600132"/>
        <c:crosses val="autoZero"/>
        <c:auto val="1"/>
        <c:lblAlgn val="ctr"/>
        <c:lblOffset val="100"/>
        <c:noMultiLvlLbl val="1"/>
      </c:catAx>
      <c:valAx>
        <c:axId val="8546001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Verdana"/>
                  </a:defRPr>
                </a:pPr>
                <a:r>
                  <a:rPr lang="en-CA" b="0">
                    <a:solidFill>
                      <a:srgbClr val="000000"/>
                    </a:solidFill>
                    <a:latin typeface="Verdana"/>
                  </a:rPr>
                  <a:t>Pressure [kPa']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Verdana"/>
              </a:defRPr>
            </a:pPr>
            <a:endParaRPr lang="en-US"/>
          </a:p>
        </c:txPr>
        <c:crossAx val="177116047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Verdana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514350</xdr:colOff>
      <xdr:row>0</xdr:row>
      <xdr:rowOff>114300</xdr:rowOff>
    </xdr:from>
    <xdr:ext cx="5715000" cy="353377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 editAs="absolute">
    <xdr:from>
      <xdr:col>5</xdr:col>
      <xdr:colOff>142875</xdr:colOff>
      <xdr:row>14</xdr:row>
      <xdr:rowOff>95250</xdr:rowOff>
    </xdr:from>
    <xdr:to>
      <xdr:col>9</xdr:col>
      <xdr:colOff>142875</xdr:colOff>
      <xdr:row>20</xdr:row>
      <xdr:rowOff>38100</xdr:rowOff>
    </xdr:to>
    <xdr:sp macro="" textlink="">
      <xdr:nvSpPr>
        <xdr:cNvPr id="2049" name="Text Box 1" hidden="1">
          <a:extLst>
            <a:ext uri="{FF2B5EF4-FFF2-40B4-BE49-F238E27FC236}">
              <a16:creationId xmlns:a16="http://schemas.microsoft.com/office/drawing/2014/main" id="{1BF50F2C-EC89-7480-84FB-C4834BAA059A}"/>
            </a:ext>
          </a:extLst>
        </xdr:cNvPr>
        <xdr:cNvSpPr txBox="1">
          <a:spLocks noChangeArrowheads="1"/>
        </xdr:cNvSpPr>
      </xdr:nvSpPr>
      <xdr:spPr bwMode="auto">
        <a:xfrm>
          <a:off x="4643438" y="2895600"/>
          <a:ext cx="3600450" cy="11430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9525</xdr:colOff>
      <xdr:row>0</xdr:row>
      <xdr:rowOff>647700</xdr:rowOff>
    </xdr:from>
    <xdr:ext cx="5829300" cy="360997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9</xdr:col>
      <xdr:colOff>66675</xdr:colOff>
      <xdr:row>27</xdr:row>
      <xdr:rowOff>85725</xdr:rowOff>
    </xdr:from>
    <xdr:ext cx="5715000" cy="3533775"/>
    <xdr:graphicFrame macro="">
      <xdr:nvGraphicFramePr>
        <xdr:cNvPr id="3" name="Chart 3" titl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 editAs="absolute">
    <xdr:from>
      <xdr:col>11</xdr:col>
      <xdr:colOff>142875</xdr:colOff>
      <xdr:row>27</xdr:row>
      <xdr:rowOff>95250</xdr:rowOff>
    </xdr:from>
    <xdr:to>
      <xdr:col>15</xdr:col>
      <xdr:colOff>142875</xdr:colOff>
      <xdr:row>33</xdr:row>
      <xdr:rowOff>38100</xdr:rowOff>
    </xdr:to>
    <xdr:sp macro="" textlink="">
      <xdr:nvSpPr>
        <xdr:cNvPr id="3073" name="Text Box 1" hidden="1">
          <a:extLst>
            <a:ext uri="{FF2B5EF4-FFF2-40B4-BE49-F238E27FC236}">
              <a16:creationId xmlns:a16="http://schemas.microsoft.com/office/drawing/2014/main" id="{02E109A8-40FF-5EA5-93DC-3250E07B4ACB}"/>
            </a:ext>
          </a:extLst>
        </xdr:cNvPr>
        <xdr:cNvSpPr txBox="1">
          <a:spLocks noChangeArrowheads="1"/>
        </xdr:cNvSpPr>
      </xdr:nvSpPr>
      <xdr:spPr bwMode="auto">
        <a:xfrm>
          <a:off x="10144125" y="5495925"/>
          <a:ext cx="2843213" cy="9429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22"/>
  <sheetViews>
    <sheetView tabSelected="1" topLeftCell="A3" workbookViewId="0">
      <selection activeCell="C18" sqref="C18"/>
    </sheetView>
  </sheetViews>
  <sheetFormatPr defaultColWidth="12.59765625" defaultRowHeight="15.75" customHeight="1" x14ac:dyDescent="0.35"/>
  <cols>
    <col min="1" max="1" width="27.59765625" customWidth="1"/>
    <col min="2" max="2" width="13.265625" customWidth="1"/>
    <col min="3" max="3" width="12.265625" customWidth="1"/>
    <col min="4" max="4" width="34" customWidth="1"/>
    <col min="5" max="5" width="11" customWidth="1"/>
    <col min="6" max="6" width="9.59765625" customWidth="1"/>
    <col min="7" max="7" width="8.59765625" customWidth="1"/>
    <col min="8" max="8" width="9.265625" customWidth="1"/>
    <col min="9" max="9" width="24.3984375" customWidth="1"/>
    <col min="10" max="10" width="15.3984375" customWidth="1"/>
    <col min="11" max="11" width="14.46484375" customWidth="1"/>
    <col min="12" max="12" width="18" customWidth="1"/>
    <col min="13" max="13" width="19.86328125" customWidth="1"/>
    <col min="14" max="14" width="15.59765625" customWidth="1"/>
  </cols>
  <sheetData>
    <row r="1" spans="1:26" ht="15.75" customHeight="1" x14ac:dyDescent="0.4">
      <c r="A1" s="4" t="s">
        <v>1</v>
      </c>
      <c r="B1" s="6" t="s">
        <v>2</v>
      </c>
      <c r="C1" s="8"/>
      <c r="D1" s="10" t="s">
        <v>4</v>
      </c>
      <c r="E1" s="8"/>
      <c r="F1" s="8"/>
      <c r="G1" s="8"/>
      <c r="H1" s="8"/>
      <c r="I1" s="12"/>
      <c r="J1" s="8"/>
      <c r="K1" s="8"/>
      <c r="L1" s="12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 x14ac:dyDescent="0.4">
      <c r="A2" s="12"/>
      <c r="B2" s="8"/>
      <c r="C2" s="8"/>
      <c r="D2" s="8"/>
      <c r="E2" s="8"/>
      <c r="F2" s="8"/>
      <c r="G2" s="8"/>
      <c r="H2" s="8"/>
      <c r="I2" s="12"/>
      <c r="J2" s="8"/>
      <c r="K2" s="8"/>
      <c r="L2" s="12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5.75" customHeight="1" x14ac:dyDescent="0.4">
      <c r="A3" s="14" t="s">
        <v>6</v>
      </c>
      <c r="B3" s="246" t="s">
        <v>7</v>
      </c>
      <c r="C3" s="247" t="s">
        <v>8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5.75" customHeight="1" x14ac:dyDescent="0.45">
      <c r="A4" s="19" t="s">
        <v>10</v>
      </c>
      <c r="B4" s="248">
        <v>641</v>
      </c>
      <c r="C4" s="249" t="s">
        <v>12</v>
      </c>
      <c r="D4" s="23" t="s">
        <v>13</v>
      </c>
      <c r="E4" s="25" t="s">
        <v>14</v>
      </c>
      <c r="F4" s="25" t="s">
        <v>15</v>
      </c>
      <c r="G4" s="25" t="s">
        <v>16</v>
      </c>
      <c r="H4" s="25" t="s">
        <v>17</v>
      </c>
      <c r="I4" s="25" t="s">
        <v>18</v>
      </c>
      <c r="J4" s="25" t="s">
        <v>20</v>
      </c>
      <c r="K4" s="12"/>
      <c r="L4" s="12"/>
      <c r="M4" s="12"/>
      <c r="N4" s="12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5.75" customHeight="1" x14ac:dyDescent="0.45">
      <c r="A5" s="27" t="s">
        <v>21</v>
      </c>
      <c r="B5" s="250">
        <v>29</v>
      </c>
      <c r="C5" s="251" t="s">
        <v>22</v>
      </c>
      <c r="D5" s="32" t="s">
        <v>24</v>
      </c>
      <c r="E5" s="252">
        <f>B55</f>
        <v>641</v>
      </c>
      <c r="F5" s="253">
        <v>0.18</v>
      </c>
      <c r="G5" s="254">
        <v>125</v>
      </c>
      <c r="H5" s="254">
        <v>745</v>
      </c>
      <c r="I5" s="36" t="s">
        <v>12</v>
      </c>
      <c r="J5" s="255">
        <f>IF(E5&lt;G5,0,IF(E5&gt;H5,1, 1/2 * (1 - COS(((E5 - G5) / (H5 - G5)) * PI()))))</f>
        <v>0.93216571873486875</v>
      </c>
      <c r="K5" s="12"/>
      <c r="L5" s="12"/>
      <c r="M5" s="12"/>
      <c r="N5" s="12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5.75" customHeight="1" x14ac:dyDescent="0.45">
      <c r="A6" s="27" t="s">
        <v>29</v>
      </c>
      <c r="B6" s="250">
        <v>-12</v>
      </c>
      <c r="C6" s="251" t="s">
        <v>22</v>
      </c>
      <c r="D6" s="32" t="s">
        <v>30</v>
      </c>
      <c r="E6" s="256">
        <f>Cost!J7</f>
        <v>0.35295654442332414</v>
      </c>
      <c r="F6" s="253">
        <v>0.23</v>
      </c>
      <c r="G6" s="254">
        <v>0.3</v>
      </c>
      <c r="H6" s="254">
        <v>1.1499999999999999</v>
      </c>
      <c r="I6" s="36" t="s">
        <v>33</v>
      </c>
      <c r="J6" s="255">
        <f>IF(G6&gt;E6,1,IF(E6&gt;H6,"Doesn't meet requirement",1/2*(1+COS(((E6-G6)/(H6-G6)*PI())))))</f>
        <v>0.99045327777626557</v>
      </c>
      <c r="K6" s="12"/>
      <c r="L6" s="12"/>
      <c r="M6" s="12"/>
      <c r="N6" s="12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5.75" customHeight="1" x14ac:dyDescent="0.45">
      <c r="A7" s="27" t="str">
        <f>F25</f>
        <v>Storage Tank Size</v>
      </c>
      <c r="B7" s="250">
        <v>50</v>
      </c>
      <c r="C7" s="251" t="s">
        <v>27</v>
      </c>
      <c r="D7" s="32" t="s">
        <v>36</v>
      </c>
      <c r="E7" s="257">
        <v>1</v>
      </c>
      <c r="F7" s="253">
        <v>0.14000000000000001</v>
      </c>
      <c r="G7" s="254">
        <v>1</v>
      </c>
      <c r="H7" s="254">
        <v>24</v>
      </c>
      <c r="I7" s="36" t="s">
        <v>37</v>
      </c>
      <c r="J7" s="255">
        <f>IF(G7&gt;E7,1,IF(E7&gt;H7,"Doesn't meet requirement",1/2*(1+COS((E7-G7)/(H7-G7)*PI()))))</f>
        <v>1</v>
      </c>
      <c r="K7" s="12"/>
      <c r="L7" s="12"/>
      <c r="M7" s="12"/>
      <c r="N7" s="12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5.75" customHeight="1" x14ac:dyDescent="0.45">
      <c r="A8" s="27" t="str">
        <f>A27</f>
        <v>Storage Tank Tower Height</v>
      </c>
      <c r="B8" s="250">
        <v>0</v>
      </c>
      <c r="C8" s="251" t="s">
        <v>22</v>
      </c>
      <c r="D8" s="32" t="s">
        <v>38</v>
      </c>
      <c r="E8" s="256">
        <f>GHG!H3</f>
        <v>0.86417487255742864</v>
      </c>
      <c r="F8" s="253">
        <v>0.1</v>
      </c>
      <c r="G8" s="254">
        <v>0.15</v>
      </c>
      <c r="H8" s="258">
        <v>1.1000000000000001</v>
      </c>
      <c r="I8" s="36" t="s">
        <v>33</v>
      </c>
      <c r="J8" s="255">
        <f>IF(G8&gt;E8,1,IF(E8&gt;H8,"Doesn't meet requirement",IF('Solar Energy'!O10&gt;0,"Powerless Days",1/2*(1+COS((E8-G8)/(H8-G8)*PI())))))</f>
        <v>0.14449381539474293</v>
      </c>
      <c r="K8" s="12"/>
      <c r="L8" s="12"/>
      <c r="M8" s="12"/>
      <c r="N8" s="12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5.75" customHeight="1" x14ac:dyDescent="0.45">
      <c r="A9" s="55" t="str">
        <f>A31</f>
        <v>Chosen Pump</v>
      </c>
      <c r="B9" s="259" t="s">
        <v>46</v>
      </c>
      <c r="C9" s="260"/>
      <c r="D9" s="32" t="s">
        <v>47</v>
      </c>
      <c r="E9" s="252">
        <f>INT('Energy Usage'!S7+'Energy Usage'!V7+I36+E30)</f>
        <v>25</v>
      </c>
      <c r="F9" s="253">
        <v>0.1</v>
      </c>
      <c r="G9" s="254">
        <v>10</v>
      </c>
      <c r="H9" s="254">
        <v>60</v>
      </c>
      <c r="I9" s="36" t="s">
        <v>49</v>
      </c>
      <c r="J9" s="255">
        <f>IF(G9&gt;E9,1,IF(E9&gt;H9,"Doesn't meet requirement",1/2*(1+COS((E9-G9)/(H9-G9)*PI()))))</f>
        <v>0.79389262614623657</v>
      </c>
      <c r="K9" s="12"/>
      <c r="L9" s="12"/>
      <c r="M9" s="12"/>
      <c r="N9" s="12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5.75" customHeight="1" x14ac:dyDescent="0.45">
      <c r="A10" s="19" t="str">
        <f t="shared" ref="A10:A14" si="0">L25</f>
        <v>Catchment Choice</v>
      </c>
      <c r="B10" s="261" t="s">
        <v>51</v>
      </c>
      <c r="C10" s="249"/>
      <c r="D10" s="32" t="s">
        <v>52</v>
      </c>
      <c r="E10" s="252">
        <v>0</v>
      </c>
      <c r="F10" s="253">
        <v>0.05</v>
      </c>
      <c r="G10" s="254">
        <v>0</v>
      </c>
      <c r="H10" s="254">
        <v>0.3</v>
      </c>
      <c r="I10" s="36" t="s">
        <v>53</v>
      </c>
      <c r="J10" s="255">
        <f>IF(E10&lt;=G10,0,IF(E10&gt;H10,1,1/2*(1-COS(((E10-G10)/(H10-G10)*PI())))))</f>
        <v>0</v>
      </c>
      <c r="K10" s="12"/>
      <c r="L10" s="12"/>
      <c r="M10" s="12"/>
      <c r="N10" s="12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5.75" customHeight="1" x14ac:dyDescent="0.45">
      <c r="A11" s="19" t="str">
        <f t="shared" si="0"/>
        <v>Additional Catchment?</v>
      </c>
      <c r="B11" s="261" t="s">
        <v>56</v>
      </c>
      <c r="C11" s="249"/>
      <c r="D11" s="32" t="s">
        <v>57</v>
      </c>
      <c r="E11" s="252">
        <f>'Pump Data'!K27</f>
        <v>20.73</v>
      </c>
      <c r="F11" s="253">
        <v>0.05</v>
      </c>
      <c r="G11" s="254">
        <v>18</v>
      </c>
      <c r="H11" s="254">
        <v>40</v>
      </c>
      <c r="I11" s="36" t="s">
        <v>59</v>
      </c>
      <c r="J11" s="255">
        <f>IF(E11&lt;G11,"Doesn't meet requirement",IF(E11&gt;H11,1,0.5*(1-COS((E11-G11)/(H11-G11)*PI()))))</f>
        <v>3.7515647773993521E-2</v>
      </c>
      <c r="K11" s="12"/>
      <c r="L11" s="12"/>
      <c r="M11" s="12"/>
      <c r="N11" s="12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5.75" customHeight="1" x14ac:dyDescent="0.45">
      <c r="A12" s="19" t="str">
        <f t="shared" si="0"/>
        <v>Additional Catchment Size (optional)</v>
      </c>
      <c r="B12" s="248">
        <v>10</v>
      </c>
      <c r="C12" s="249" t="s">
        <v>25</v>
      </c>
      <c r="D12" s="32" t="s">
        <v>64</v>
      </c>
      <c r="E12" s="252">
        <f>365-'Energy Usage'!B8</f>
        <v>353</v>
      </c>
      <c r="F12" s="253">
        <v>0.15</v>
      </c>
      <c r="G12" s="254">
        <v>200</v>
      </c>
      <c r="H12" s="254">
        <v>365</v>
      </c>
      <c r="I12" s="36" t="s">
        <v>66</v>
      </c>
      <c r="J12" s="255">
        <f>IF(E12&lt;G12,"Doesn't meet requirement",IF(E12&gt;H12,1,1/2*(1-COS((E12-G12)/(H12-G12)*PI()))))</f>
        <v>0.98700595847116679</v>
      </c>
      <c r="K12" s="12"/>
      <c r="L12" s="12"/>
      <c r="M12" s="12"/>
      <c r="N12" s="12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5.75" customHeight="1" x14ac:dyDescent="0.45">
      <c r="A13" s="19" t="str">
        <f t="shared" si="0"/>
        <v>Extra Catchment x-location</v>
      </c>
      <c r="B13" s="248">
        <v>21</v>
      </c>
      <c r="C13" s="249" t="s">
        <v>22</v>
      </c>
      <c r="D13" s="290" t="s">
        <v>70</v>
      </c>
      <c r="E13" s="291"/>
      <c r="F13" s="291"/>
      <c r="G13" s="291"/>
      <c r="H13" s="291"/>
      <c r="I13" s="292"/>
      <c r="J13" s="262">
        <f>F5*J5+F6*J6+F7*J7+F8*J8+F9*J9+F10*J10+F11*J11+F12*J12</f>
        <v>0.77935940357429012</v>
      </c>
      <c r="K13" s="12"/>
      <c r="L13" s="12"/>
      <c r="M13" s="12"/>
      <c r="N13" s="12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5.75" customHeight="1" x14ac:dyDescent="0.4">
      <c r="A14" s="19" t="str">
        <f t="shared" si="0"/>
        <v>Extra Catchment y-location</v>
      </c>
      <c r="B14" s="248">
        <v>0</v>
      </c>
      <c r="C14" s="249" t="s">
        <v>22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5.75" customHeight="1" x14ac:dyDescent="0.4">
      <c r="A15" s="19" t="str">
        <f>L34</f>
        <v>Collection Tank Size</v>
      </c>
      <c r="B15" s="261">
        <v>2500</v>
      </c>
      <c r="C15" s="249" t="s">
        <v>74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5.75" customHeight="1" x14ac:dyDescent="0.4">
      <c r="A16" s="81" t="str">
        <f>D29</f>
        <v>UV System</v>
      </c>
      <c r="B16" s="263">
        <v>36</v>
      </c>
      <c r="C16" s="264" t="s">
        <v>72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5.75" customHeight="1" x14ac:dyDescent="0.4">
      <c r="A17" s="83" t="str">
        <f t="shared" ref="A17:A18" si="1">CONCATENATE(F29," Filter")</f>
        <v>200μ Filter</v>
      </c>
      <c r="B17" s="84" t="s">
        <v>56</v>
      </c>
      <c r="C17" s="265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5.75" customHeight="1" x14ac:dyDescent="0.4">
      <c r="A18" s="83" t="str">
        <f t="shared" si="1"/>
        <v>5μ Filter</v>
      </c>
      <c r="B18" s="84" t="s">
        <v>56</v>
      </c>
      <c r="C18" s="265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5.75" customHeight="1" x14ac:dyDescent="0.4">
      <c r="A19" s="55" t="s">
        <v>77</v>
      </c>
      <c r="B19" s="266" t="s">
        <v>79</v>
      </c>
      <c r="C19" s="260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5.75" customHeight="1" x14ac:dyDescent="0.4">
      <c r="A20" s="55" t="str">
        <f t="shared" ref="A20:A22" si="2">D37</f>
        <v>Quantity of Panels</v>
      </c>
      <c r="B20" s="259">
        <v>9</v>
      </c>
      <c r="C20" s="260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5.75" customHeight="1" x14ac:dyDescent="0.4">
      <c r="A21" s="55" t="str">
        <f t="shared" si="2"/>
        <v>Number of Batteries</v>
      </c>
      <c r="B21" s="259">
        <v>7</v>
      </c>
      <c r="C21" s="260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5.75" customHeight="1" x14ac:dyDescent="0.4">
      <c r="A22" s="89" t="str">
        <f t="shared" si="2"/>
        <v>DC-AC Power Inverter</v>
      </c>
      <c r="B22" s="91" t="s">
        <v>56</v>
      </c>
      <c r="C22" s="267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5.75" customHeight="1" x14ac:dyDescent="0.4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5.75" customHeight="1" x14ac:dyDescent="0.45">
      <c r="A24" s="93" t="s">
        <v>82</v>
      </c>
      <c r="B24" s="93" t="s">
        <v>83</v>
      </c>
      <c r="C24" s="93" t="s">
        <v>8</v>
      </c>
      <c r="D24" s="268" t="s">
        <v>84</v>
      </c>
      <c r="E24" s="12"/>
      <c r="F24" s="12"/>
      <c r="G24" s="12"/>
      <c r="H24" s="12"/>
      <c r="I24" s="12"/>
      <c r="J24" s="12"/>
      <c r="K24" s="12"/>
      <c r="L24" s="269" t="s">
        <v>0</v>
      </c>
      <c r="M24" s="12"/>
      <c r="N24" s="12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5.75" customHeight="1" x14ac:dyDescent="0.45">
      <c r="A25" s="96" t="s">
        <v>86</v>
      </c>
      <c r="B25" s="270">
        <f>SQRT(E26^2+E27^2+(B26+B27)^2)</f>
        <v>31.780497164141408</v>
      </c>
      <c r="C25" s="96" t="s">
        <v>88</v>
      </c>
      <c r="D25" s="293" t="s">
        <v>89</v>
      </c>
      <c r="E25" s="292"/>
      <c r="F25" s="101" t="s">
        <v>90</v>
      </c>
      <c r="G25" s="103">
        <f>B7</f>
        <v>50</v>
      </c>
      <c r="H25" s="271" t="s">
        <v>27</v>
      </c>
      <c r="I25" s="12"/>
      <c r="J25" s="12"/>
      <c r="K25" s="80"/>
      <c r="L25" s="113" t="s">
        <v>109</v>
      </c>
      <c r="M25" s="272" t="str">
        <f t="shared" ref="M25:M29" si="3">B10</f>
        <v>Full Roof</v>
      </c>
      <c r="N25" s="273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5.75" customHeight="1" x14ac:dyDescent="0.45">
      <c r="A26" s="96" t="s">
        <v>113</v>
      </c>
      <c r="B26" s="132">
        <f t="array" ref="B26">INDEX('Land Model'!B2:DR122,101-E27,21+E26)</f>
        <v>5</v>
      </c>
      <c r="C26" s="96" t="s">
        <v>88</v>
      </c>
      <c r="D26" s="274" t="s">
        <v>118</v>
      </c>
      <c r="E26" s="275">
        <f t="shared" ref="E26:E27" si="4">B5</f>
        <v>29</v>
      </c>
      <c r="F26" s="271" t="s">
        <v>121</v>
      </c>
      <c r="G26" s="103" t="str">
        <f>IF(G25&lt;1,"Bad",IF(G25&gt;50,"Bad","Good"))</f>
        <v>Good</v>
      </c>
      <c r="H26" s="271" t="s">
        <v>122</v>
      </c>
      <c r="I26" s="12"/>
      <c r="J26" s="12"/>
      <c r="K26" s="80"/>
      <c r="L26" s="113" t="s">
        <v>123</v>
      </c>
      <c r="M26" s="272" t="str">
        <f t="shared" si="3"/>
        <v>y</v>
      </c>
      <c r="N26" s="273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5.75" customHeight="1" x14ac:dyDescent="0.45">
      <c r="A27" s="96" t="s">
        <v>124</v>
      </c>
      <c r="B27" s="132">
        <f>B8</f>
        <v>0</v>
      </c>
      <c r="C27" s="96" t="s">
        <v>88</v>
      </c>
      <c r="D27" s="274" t="s">
        <v>125</v>
      </c>
      <c r="E27" s="275">
        <f t="shared" si="4"/>
        <v>-12</v>
      </c>
      <c r="F27" s="276"/>
      <c r="G27" s="276"/>
      <c r="H27" s="276"/>
      <c r="I27" s="12"/>
      <c r="J27" s="12"/>
      <c r="K27" s="80"/>
      <c r="L27" s="113" t="s">
        <v>126</v>
      </c>
      <c r="M27" s="272">
        <f t="shared" si="3"/>
        <v>10</v>
      </c>
      <c r="N27" s="273" t="s">
        <v>25</v>
      </c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52.9" x14ac:dyDescent="0.45">
      <c r="A28" s="96" t="s">
        <v>127</v>
      </c>
      <c r="B28" s="132">
        <f>B26+B27+1.5</f>
        <v>6.5</v>
      </c>
      <c r="C28" s="96" t="s">
        <v>88</v>
      </c>
      <c r="D28" s="274" t="s">
        <v>128</v>
      </c>
      <c r="E28" s="275" t="str">
        <f>IF(AND(E26&gt;-20,E27&gt;-20),IF(AND(E26&lt;20,E27&lt;20),"Bad","Good"),"Bad")</f>
        <v>Good</v>
      </c>
      <c r="F28" s="128" t="s">
        <v>129</v>
      </c>
      <c r="G28" s="129" t="s">
        <v>130</v>
      </c>
      <c r="H28" s="129" t="s">
        <v>131</v>
      </c>
      <c r="I28" s="96" t="s">
        <v>132</v>
      </c>
      <c r="J28" s="96" t="s">
        <v>133</v>
      </c>
      <c r="K28" s="96" t="s">
        <v>134</v>
      </c>
      <c r="L28" s="113" t="s">
        <v>135</v>
      </c>
      <c r="M28" s="272">
        <f t="shared" si="3"/>
        <v>21</v>
      </c>
      <c r="N28" s="273" t="s">
        <v>22</v>
      </c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28.5" x14ac:dyDescent="0.45">
      <c r="A29" s="96" t="s">
        <v>136</v>
      </c>
      <c r="B29" s="277">
        <v>1000</v>
      </c>
      <c r="C29" s="96" t="s">
        <v>137</v>
      </c>
      <c r="D29" s="278" t="s">
        <v>138</v>
      </c>
      <c r="E29" s="279">
        <f>B16</f>
        <v>36</v>
      </c>
      <c r="F29" s="96" t="s">
        <v>139</v>
      </c>
      <c r="G29" s="132" t="str">
        <f t="shared" ref="G29:G30" si="5">B17</f>
        <v>y</v>
      </c>
      <c r="H29" s="277">
        <v>100</v>
      </c>
      <c r="I29" s="280">
        <v>50</v>
      </c>
      <c r="J29" s="280">
        <v>4.1700000000000001E-3</v>
      </c>
      <c r="K29" s="281">
        <f>IF(G29="n","N/A",25000)</f>
        <v>25000</v>
      </c>
      <c r="L29" s="113" t="s">
        <v>140</v>
      </c>
      <c r="M29" s="272">
        <f t="shared" si="3"/>
        <v>0</v>
      </c>
      <c r="N29" s="273" t="s">
        <v>22</v>
      </c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28.5" x14ac:dyDescent="0.45">
      <c r="A30" s="96" t="s">
        <v>141</v>
      </c>
      <c r="B30" s="277">
        <v>9.81</v>
      </c>
      <c r="C30" s="96" t="s">
        <v>142</v>
      </c>
      <c r="D30" s="133" t="s">
        <v>143</v>
      </c>
      <c r="E30" s="282">
        <v>1</v>
      </c>
      <c r="F30" s="129" t="s">
        <v>144</v>
      </c>
      <c r="G30" s="132" t="str">
        <f t="shared" si="5"/>
        <v>y</v>
      </c>
      <c r="H30" s="283">
        <v>110</v>
      </c>
      <c r="I30" s="283">
        <v>60</v>
      </c>
      <c r="J30" s="280">
        <v>8.3299999999999999E-2</v>
      </c>
      <c r="K30" s="281">
        <f>IF(G30="n","N/A",IF(G29="y",20000,10000))</f>
        <v>20000</v>
      </c>
      <c r="L30" s="113" t="s">
        <v>145</v>
      </c>
      <c r="M30" s="272">
        <f t="array" ref="M30">INDEX('Land Model'!B2:DR122,101-M29,21+M28)</f>
        <v>0</v>
      </c>
      <c r="N30" s="273" t="s">
        <v>22</v>
      </c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85.5" x14ac:dyDescent="0.45">
      <c r="A31" s="96" t="s">
        <v>146</v>
      </c>
      <c r="B31" s="284" t="str">
        <f>B9</f>
        <v>A</v>
      </c>
      <c r="C31" s="96"/>
      <c r="D31" s="80"/>
      <c r="E31" s="12"/>
      <c r="F31" s="129" t="s">
        <v>147</v>
      </c>
      <c r="G31" s="134" t="s">
        <v>56</v>
      </c>
      <c r="H31" s="280">
        <v>125</v>
      </c>
      <c r="I31" s="280">
        <v>75</v>
      </c>
      <c r="J31" s="280">
        <v>0.16700000000000001</v>
      </c>
      <c r="K31" s="281">
        <f>IF(G30="y",20000,IF(G29="y",15000,5000))</f>
        <v>20000</v>
      </c>
      <c r="L31" s="113" t="s">
        <v>148</v>
      </c>
      <c r="M31" s="272">
        <f>IF(B11="y",SQRT(M28^2+M29^2+M30^2),0)</f>
        <v>21</v>
      </c>
      <c r="N31" s="273" t="s">
        <v>22</v>
      </c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39.75" x14ac:dyDescent="0.45">
      <c r="A32" s="96" t="s">
        <v>149</v>
      </c>
      <c r="B32" s="132">
        <f t="shared" ref="B32:B36" si="6">IF($B$31="C",B44,IF($B$31="B",C44,D44))</f>
        <v>-1.72E-2</v>
      </c>
      <c r="C32" s="96" t="s">
        <v>150</v>
      </c>
      <c r="D32" s="139" t="s">
        <v>151</v>
      </c>
      <c r="E32" s="136" t="s">
        <v>152</v>
      </c>
      <c r="F32" s="136" t="s">
        <v>153</v>
      </c>
      <c r="G32" s="136" t="s">
        <v>154</v>
      </c>
      <c r="H32" s="136" t="s">
        <v>155</v>
      </c>
      <c r="I32" s="136" t="s">
        <v>156</v>
      </c>
      <c r="J32" s="12"/>
      <c r="K32" s="12"/>
      <c r="L32" s="113" t="s">
        <v>157</v>
      </c>
      <c r="M32" s="272">
        <f>IF(M25="Half Roof",50,IF(M25="Full Roof",100,0))+IF(M26="y",M27,0)</f>
        <v>110</v>
      </c>
      <c r="N32" s="273" t="s">
        <v>25</v>
      </c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42.75" x14ac:dyDescent="0.45">
      <c r="A33" s="96" t="s">
        <v>158</v>
      </c>
      <c r="B33" s="132">
        <f t="shared" si="6"/>
        <v>-0.36049999999999999</v>
      </c>
      <c r="C33" s="96" t="s">
        <v>150</v>
      </c>
      <c r="D33" s="285" t="s">
        <v>79</v>
      </c>
      <c r="E33" s="285">
        <v>550</v>
      </c>
      <c r="F33" s="285">
        <v>1.6</v>
      </c>
      <c r="G33" s="285">
        <v>496</v>
      </c>
      <c r="H33" s="137">
        <v>0.17</v>
      </c>
      <c r="I33" s="136"/>
      <c r="J33" s="12"/>
      <c r="K33" s="12"/>
      <c r="L33" s="113" t="s">
        <v>159</v>
      </c>
      <c r="M33" s="272">
        <f>IF(M25="Half Roof",150,350)+IF(M26="y",500+10*M27+40*M31,IF(M26="n",0))</f>
        <v>1790</v>
      </c>
      <c r="N33" s="273" t="s">
        <v>122</v>
      </c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4.25" x14ac:dyDescent="0.45">
      <c r="A34" s="96" t="s">
        <v>160</v>
      </c>
      <c r="B34" s="132">
        <f t="shared" si="6"/>
        <v>150.9</v>
      </c>
      <c r="C34" s="96" t="s">
        <v>150</v>
      </c>
      <c r="D34" s="285" t="s">
        <v>161</v>
      </c>
      <c r="E34" s="285">
        <v>205</v>
      </c>
      <c r="F34" s="285">
        <v>0.62</v>
      </c>
      <c r="G34" s="285">
        <v>192</v>
      </c>
      <c r="H34" s="137">
        <v>0.15</v>
      </c>
      <c r="I34" s="136"/>
      <c r="J34" s="12"/>
      <c r="K34" s="12"/>
      <c r="L34" s="113" t="s">
        <v>162</v>
      </c>
      <c r="M34" s="272">
        <f>B15</f>
        <v>2500</v>
      </c>
      <c r="N34" s="273" t="s">
        <v>74</v>
      </c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4.25" x14ac:dyDescent="0.45">
      <c r="A35" s="96" t="s">
        <v>163</v>
      </c>
      <c r="B35" s="132">
        <f t="shared" si="6"/>
        <v>0.7</v>
      </c>
      <c r="C35" s="96" t="s">
        <v>150</v>
      </c>
      <c r="D35" s="285" t="s">
        <v>164</v>
      </c>
      <c r="E35" s="285">
        <v>450</v>
      </c>
      <c r="F35" s="285">
        <v>2</v>
      </c>
      <c r="G35" s="285">
        <v>620</v>
      </c>
      <c r="H35" s="137">
        <v>0.16</v>
      </c>
      <c r="I35" s="136"/>
      <c r="J35" s="12"/>
      <c r="K35" s="12"/>
      <c r="L35" s="113" t="s">
        <v>165</v>
      </c>
      <c r="M35" s="272">
        <f>IF(M34=400,200,IF(M34=1500,500,IF(M34=2500,900,IF(M34=5000,1500,IF(M34=10000,2000,"not specified")))))</f>
        <v>900</v>
      </c>
      <c r="N35" s="273" t="s">
        <v>122</v>
      </c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28.5" x14ac:dyDescent="0.45">
      <c r="A36" s="96" t="s">
        <v>166</v>
      </c>
      <c r="B36" s="132">
        <f t="shared" si="6"/>
        <v>0.39</v>
      </c>
      <c r="C36" s="96" t="s">
        <v>150</v>
      </c>
      <c r="D36" s="286" t="str">
        <f>B19</f>
        <v>HES-260</v>
      </c>
      <c r="E36" s="286">
        <f>VLOOKUP($D$36,$D$33:$H$35,2,FALSE)</f>
        <v>550</v>
      </c>
      <c r="F36" s="286">
        <f>VLOOKUP($D$36,$D$33:$H$35,3,FALSE)</f>
        <v>1.6</v>
      </c>
      <c r="G36" s="286">
        <f>VLOOKUP($D$36,$D$33:$H$35,4,FALSE)</f>
        <v>496</v>
      </c>
      <c r="H36" s="138">
        <f>VLOOKUP($D$36,$D$33:$H$35,5,FALSE)</f>
        <v>0.17</v>
      </c>
      <c r="I36" s="287">
        <v>4</v>
      </c>
      <c r="J36" s="12"/>
      <c r="K36" s="12"/>
      <c r="L36" s="113" t="s">
        <v>167</v>
      </c>
      <c r="M36" s="272">
        <f>M33+M35</f>
        <v>2690</v>
      </c>
      <c r="N36" s="273" t="s">
        <v>122</v>
      </c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4.25" x14ac:dyDescent="0.45">
      <c r="A37" s="96" t="s">
        <v>168</v>
      </c>
      <c r="B37" s="277">
        <v>20</v>
      </c>
      <c r="C37" s="96" t="s">
        <v>169</v>
      </c>
      <c r="D37" s="136" t="s">
        <v>170</v>
      </c>
      <c r="E37" s="286">
        <f t="shared" ref="E37:E39" si="7">B20</f>
        <v>9</v>
      </c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4.25" x14ac:dyDescent="0.45">
      <c r="A38" s="96" t="s">
        <v>171</v>
      </c>
      <c r="B38" s="277">
        <v>0.05</v>
      </c>
      <c r="C38" s="96" t="s">
        <v>150</v>
      </c>
      <c r="D38" s="136" t="s">
        <v>172</v>
      </c>
      <c r="E38" s="286">
        <f t="shared" si="7"/>
        <v>7</v>
      </c>
      <c r="F38" s="12"/>
      <c r="G38" s="12"/>
      <c r="H38" s="12"/>
      <c r="I38" s="12"/>
      <c r="J38" s="12"/>
      <c r="K38" s="12"/>
      <c r="L38" s="12"/>
      <c r="M38" s="12"/>
      <c r="N38" s="12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28.5" x14ac:dyDescent="0.45">
      <c r="A39" s="96" t="s">
        <v>173</v>
      </c>
      <c r="B39" s="277">
        <v>8</v>
      </c>
      <c r="C39" s="96" t="s">
        <v>150</v>
      </c>
      <c r="D39" s="136" t="s">
        <v>174</v>
      </c>
      <c r="E39" s="286" t="str">
        <f t="shared" si="7"/>
        <v>y</v>
      </c>
      <c r="F39" s="12"/>
      <c r="G39" s="12"/>
      <c r="H39" s="12"/>
      <c r="I39" s="12"/>
      <c r="J39" s="12"/>
      <c r="K39" s="12"/>
      <c r="L39" s="12"/>
      <c r="M39" s="12"/>
      <c r="N39" s="12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28.5" x14ac:dyDescent="0.45">
      <c r="A40" s="96" t="s">
        <v>175</v>
      </c>
      <c r="B40" s="277">
        <v>12</v>
      </c>
      <c r="C40" s="96" t="s">
        <v>150</v>
      </c>
      <c r="D40" s="136" t="s">
        <v>176</v>
      </c>
      <c r="E40" s="286" t="str">
        <f>'Solar Energy'!P10</f>
        <v>Enough Power</v>
      </c>
      <c r="F40" s="12"/>
      <c r="G40" s="12"/>
      <c r="H40" s="12"/>
      <c r="I40" s="12"/>
      <c r="J40" s="12"/>
      <c r="K40" s="12"/>
      <c r="L40" s="12"/>
      <c r="M40" s="12"/>
      <c r="N40" s="12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28.5" x14ac:dyDescent="0.45">
      <c r="A41" s="96" t="s">
        <v>177</v>
      </c>
      <c r="B41" s="277">
        <v>16975</v>
      </c>
      <c r="C41" s="96" t="s">
        <v>178</v>
      </c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28.5" x14ac:dyDescent="0.45">
      <c r="A42" s="96" t="s">
        <v>179</v>
      </c>
      <c r="B42" s="132">
        <f>B41*(J31+IF(G30="y",J30,0)+IF(G29="y",J29,0))</f>
        <v>4319.6282500000007</v>
      </c>
      <c r="C42" s="96" t="s">
        <v>178</v>
      </c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3.15" x14ac:dyDescent="0.4">
      <c r="A43" s="139" t="s">
        <v>180</v>
      </c>
      <c r="B43" s="136" t="s">
        <v>181</v>
      </c>
      <c r="C43" s="136" t="s">
        <v>182</v>
      </c>
      <c r="D43" s="136" t="s">
        <v>46</v>
      </c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3.15" x14ac:dyDescent="0.4">
      <c r="A44" s="136" t="s">
        <v>183</v>
      </c>
      <c r="B44" s="285">
        <v>-1.5100000000000001E-2</v>
      </c>
      <c r="C44" s="288">
        <v>-3.8999999999999998E-3</v>
      </c>
      <c r="D44" s="288">
        <v>-1.72E-2</v>
      </c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3.15" x14ac:dyDescent="0.4">
      <c r="A45" s="136" t="s">
        <v>184</v>
      </c>
      <c r="B45" s="285">
        <v>-0.55159999999999998</v>
      </c>
      <c r="C45" s="288">
        <v>-9.6000000000000002E-2</v>
      </c>
      <c r="D45" s="288">
        <v>-0.36049999999999999</v>
      </c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3.15" x14ac:dyDescent="0.4">
      <c r="A46" s="136" t="s">
        <v>185</v>
      </c>
      <c r="B46" s="285">
        <v>356.8</v>
      </c>
      <c r="C46" s="288">
        <v>237.86</v>
      </c>
      <c r="D46" s="288">
        <v>150.9</v>
      </c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3.15" x14ac:dyDescent="0.4">
      <c r="A47" s="136" t="s">
        <v>163</v>
      </c>
      <c r="B47" s="285">
        <v>0.72</v>
      </c>
      <c r="C47" s="288">
        <v>0.94</v>
      </c>
      <c r="D47" s="288">
        <v>0.7</v>
      </c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3.15" x14ac:dyDescent="0.4">
      <c r="A48" s="136" t="s">
        <v>166</v>
      </c>
      <c r="B48" s="285">
        <v>0.55000000000000004</v>
      </c>
      <c r="C48" s="288">
        <v>0.85</v>
      </c>
      <c r="D48" s="288">
        <v>0.39</v>
      </c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3.15" x14ac:dyDescent="0.4">
      <c r="A49" s="136" t="s">
        <v>186</v>
      </c>
      <c r="B49" s="285">
        <v>136.5</v>
      </c>
      <c r="C49" s="288">
        <v>245.7</v>
      </c>
      <c r="D49" s="288">
        <v>83.7</v>
      </c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3.15" x14ac:dyDescent="0.4">
      <c r="A50" s="136" t="s">
        <v>187</v>
      </c>
      <c r="B50" s="289">
        <f>1.2*B47*(EXP('Pump Data'!$L$21/B49)-1-1.72*('Pump Data'!$L$21/B49)^4)^B48</f>
        <v>0.4388666158861953</v>
      </c>
      <c r="C50" s="289">
        <f>1.2*C47*(EXP('Pump Data'!$L$21/C49)-1-1.72*('Pump Data'!$L$21/C49)^4)^C48</f>
        <v>0.23268361206915134</v>
      </c>
      <c r="D50" s="289">
        <f>1.2*D47*(EXP('Pump Data'!$L$21/D49)-1-1.72*('Pump Data'!$L$21/D49)^4)^D48</f>
        <v>0.62900682885864234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3.15" x14ac:dyDescent="0.4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12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4.25" x14ac:dyDescent="0.45">
      <c r="A52" s="1" t="s">
        <v>0</v>
      </c>
      <c r="B52" s="2"/>
      <c r="C52" s="3"/>
      <c r="D52" s="8"/>
      <c r="E52" s="8"/>
      <c r="F52" s="8"/>
      <c r="G52" s="8"/>
      <c r="H52" s="8"/>
      <c r="I52" s="8"/>
      <c r="J52" s="8"/>
      <c r="K52" s="8"/>
      <c r="L52" s="12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4.25" x14ac:dyDescent="0.45">
      <c r="A53" s="31" t="s">
        <v>23</v>
      </c>
      <c r="B53" s="33">
        <f>M32</f>
        <v>110</v>
      </c>
      <c r="C53" s="34" t="s">
        <v>25</v>
      </c>
      <c r="D53" s="8"/>
      <c r="E53" s="8"/>
      <c r="F53" s="8"/>
      <c r="G53" s="8"/>
      <c r="H53" s="8"/>
      <c r="I53" s="8"/>
      <c r="J53" s="8"/>
      <c r="K53" s="8"/>
      <c r="L53" s="12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4.25" x14ac:dyDescent="0.45">
      <c r="A54" s="31" t="s">
        <v>188</v>
      </c>
      <c r="B54" s="33">
        <f>M34/1000</f>
        <v>2.5</v>
      </c>
      <c r="C54" s="34" t="s">
        <v>27</v>
      </c>
      <c r="D54" s="8"/>
      <c r="E54" s="8"/>
      <c r="F54" s="8"/>
      <c r="G54" s="8"/>
      <c r="H54" s="8"/>
      <c r="I54" s="12"/>
      <c r="J54" s="8"/>
      <c r="K54" s="8"/>
      <c r="L54" s="12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4.25" x14ac:dyDescent="0.45">
      <c r="A55" s="31" t="s">
        <v>10</v>
      </c>
      <c r="B55" s="33">
        <f>B4</f>
        <v>641</v>
      </c>
      <c r="C55" s="34" t="s">
        <v>12</v>
      </c>
      <c r="D55" s="8"/>
      <c r="E55" s="8"/>
      <c r="F55" s="8"/>
      <c r="G55" s="8"/>
      <c r="H55" s="8"/>
      <c r="I55" s="12"/>
      <c r="J55" s="8"/>
      <c r="K55" s="8"/>
      <c r="L55" s="12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4.25" x14ac:dyDescent="0.45">
      <c r="A56" s="66" t="s">
        <v>63</v>
      </c>
      <c r="B56" s="140">
        <v>0</v>
      </c>
      <c r="C56" s="68" t="s">
        <v>27</v>
      </c>
      <c r="D56" s="8"/>
      <c r="E56" s="8"/>
      <c r="F56" s="8"/>
      <c r="G56" s="8"/>
      <c r="H56" s="8"/>
      <c r="I56" s="12"/>
      <c r="J56" s="8"/>
      <c r="K56" s="8"/>
      <c r="L56" s="12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4.25" x14ac:dyDescent="0.45">
      <c r="A57" s="7" t="s">
        <v>3</v>
      </c>
      <c r="B57" s="9"/>
      <c r="C57" s="11"/>
      <c r="D57" s="8"/>
      <c r="E57" s="8"/>
      <c r="F57" s="8"/>
      <c r="G57" s="8"/>
      <c r="H57" s="8"/>
      <c r="I57" s="12"/>
      <c r="J57" s="8"/>
      <c r="K57" s="8"/>
      <c r="L57" s="12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4.25" x14ac:dyDescent="0.45">
      <c r="A58" s="35" t="s">
        <v>26</v>
      </c>
      <c r="B58" s="37">
        <f>G25</f>
        <v>50</v>
      </c>
      <c r="C58" s="38" t="s">
        <v>27</v>
      </c>
      <c r="D58" s="8"/>
      <c r="E58" s="8"/>
      <c r="F58" s="8"/>
      <c r="G58" s="8"/>
      <c r="H58" s="8"/>
      <c r="I58" s="12"/>
      <c r="J58" s="8"/>
      <c r="K58" s="8"/>
      <c r="L58" s="12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4.25" x14ac:dyDescent="0.45">
      <c r="A59" s="35" t="s">
        <v>39</v>
      </c>
      <c r="B59" s="37">
        <f>B28</f>
        <v>6.5</v>
      </c>
      <c r="C59" s="38" t="s">
        <v>22</v>
      </c>
      <c r="D59" s="8"/>
      <c r="E59" s="8"/>
      <c r="F59" s="8"/>
      <c r="G59" s="8"/>
      <c r="H59" s="8"/>
      <c r="I59" s="12"/>
      <c r="J59" s="8"/>
      <c r="K59" s="8"/>
      <c r="L59" s="12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4.25" x14ac:dyDescent="0.45">
      <c r="A60" s="57" t="s">
        <v>48</v>
      </c>
      <c r="B60" s="58">
        <f>B25+B13</f>
        <v>52.780497164141408</v>
      </c>
      <c r="C60" s="59" t="s">
        <v>22</v>
      </c>
      <c r="D60" s="8"/>
      <c r="E60" s="8"/>
      <c r="F60" s="8"/>
      <c r="G60" s="8"/>
      <c r="H60" s="8"/>
      <c r="I60" s="12"/>
      <c r="J60" s="8"/>
      <c r="K60" s="8"/>
      <c r="L60" s="12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4.25" x14ac:dyDescent="0.45">
      <c r="A61" s="13" t="s">
        <v>5</v>
      </c>
      <c r="B61" s="15"/>
      <c r="C61" s="16"/>
      <c r="D61" s="8"/>
      <c r="E61" s="8"/>
      <c r="F61" s="8"/>
      <c r="G61" s="8"/>
      <c r="H61" s="8"/>
      <c r="I61" s="12"/>
      <c r="J61" s="8"/>
      <c r="K61" s="8"/>
      <c r="L61" s="12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4.25" x14ac:dyDescent="0.45">
      <c r="A62" s="39" t="s">
        <v>28</v>
      </c>
      <c r="B62" s="40" t="str">
        <f>B31</f>
        <v>A</v>
      </c>
      <c r="C62" s="41" t="s">
        <v>31</v>
      </c>
      <c r="D62" s="8"/>
      <c r="E62" s="8"/>
      <c r="F62" s="8"/>
      <c r="G62" s="8"/>
      <c r="H62" s="8"/>
      <c r="I62" s="12"/>
      <c r="J62" s="8"/>
      <c r="K62" s="8"/>
      <c r="L62" s="12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4.25" x14ac:dyDescent="0.45">
      <c r="A63" s="39" t="s">
        <v>40</v>
      </c>
      <c r="B63" s="141">
        <f>IF(B62="A",D50,IF(B62="B",C50,B50))</f>
        <v>0.62900682885864234</v>
      </c>
      <c r="C63" s="41" t="s">
        <v>41</v>
      </c>
      <c r="D63" s="8"/>
      <c r="E63" s="8"/>
      <c r="F63" s="8"/>
      <c r="G63" s="8"/>
      <c r="H63" s="8"/>
      <c r="I63" s="12"/>
      <c r="J63" s="8"/>
      <c r="K63" s="8"/>
      <c r="L63" s="12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4.25" x14ac:dyDescent="0.45">
      <c r="A64" s="60" t="s">
        <v>50</v>
      </c>
      <c r="B64" s="142"/>
      <c r="C64" s="62" t="s">
        <v>54</v>
      </c>
      <c r="D64" s="8"/>
      <c r="E64" s="8"/>
      <c r="F64" s="8"/>
      <c r="G64" s="8"/>
      <c r="H64" s="8"/>
      <c r="I64" s="12"/>
      <c r="J64" s="8"/>
      <c r="K64" s="8"/>
      <c r="L64" s="12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4.25" x14ac:dyDescent="0.45">
      <c r="A65" s="17" t="s">
        <v>9</v>
      </c>
      <c r="B65" s="18"/>
      <c r="C65" s="143"/>
      <c r="D65" s="8"/>
      <c r="E65" s="8"/>
      <c r="F65" s="8"/>
      <c r="G65" s="8"/>
      <c r="H65" s="8"/>
      <c r="I65" s="12"/>
      <c r="J65" s="8"/>
      <c r="K65" s="8"/>
      <c r="L65" s="12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4.25" x14ac:dyDescent="0.45">
      <c r="A66" s="42" t="s">
        <v>32</v>
      </c>
      <c r="B66" s="144" t="s">
        <v>189</v>
      </c>
      <c r="C66" s="143"/>
      <c r="D66" s="8"/>
      <c r="E66" s="8"/>
      <c r="F66" s="8"/>
      <c r="G66" s="8"/>
      <c r="H66" s="8"/>
      <c r="I66" s="12"/>
      <c r="J66" s="8"/>
      <c r="K66" s="8"/>
      <c r="L66" s="12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4.25" x14ac:dyDescent="0.45">
      <c r="A67" s="42" t="s">
        <v>42</v>
      </c>
      <c r="B67" s="52" t="str">
        <f>CONCATENATE(IF(G29="y",F29),", ",IF(G30="y",F30))</f>
        <v>200μ, 5μ</v>
      </c>
      <c r="C67" s="143"/>
      <c r="D67" s="8"/>
      <c r="E67" s="8"/>
      <c r="F67" s="8"/>
      <c r="G67" s="8"/>
      <c r="H67" s="8"/>
      <c r="I67" s="12"/>
      <c r="J67" s="8"/>
      <c r="K67" s="8"/>
      <c r="L67" s="12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4.25" x14ac:dyDescent="0.45">
      <c r="A68" s="63" t="s">
        <v>55</v>
      </c>
      <c r="B68" s="64">
        <f>B42</f>
        <v>4319.6282500000007</v>
      </c>
      <c r="C68" s="143"/>
      <c r="D68" s="8"/>
      <c r="E68" s="8"/>
      <c r="F68" s="8"/>
      <c r="G68" s="8"/>
      <c r="H68" s="8"/>
      <c r="I68" s="12"/>
      <c r="J68" s="8"/>
      <c r="K68" s="8"/>
      <c r="L68" s="12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4.25" x14ac:dyDescent="0.45">
      <c r="A69" s="145" t="s">
        <v>11</v>
      </c>
      <c r="B69" s="21"/>
      <c r="C69" s="22"/>
      <c r="D69" s="8"/>
      <c r="E69" s="8"/>
      <c r="F69" s="8"/>
      <c r="G69" s="8"/>
      <c r="H69" s="8"/>
      <c r="I69" s="12"/>
      <c r="J69" s="8"/>
      <c r="K69" s="8"/>
      <c r="L69" s="12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4.25" x14ac:dyDescent="0.45">
      <c r="A70" s="146" t="s">
        <v>34</v>
      </c>
      <c r="B70" s="147" t="s">
        <v>190</v>
      </c>
      <c r="C70" s="46"/>
      <c r="D70" s="8"/>
      <c r="E70" s="8"/>
      <c r="F70" s="8"/>
      <c r="G70" s="8"/>
      <c r="H70" s="8"/>
      <c r="I70" s="12"/>
      <c r="J70" s="8"/>
      <c r="K70" s="8"/>
      <c r="L70" s="12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4.25" x14ac:dyDescent="0.45">
      <c r="A71" s="146" t="s">
        <v>43</v>
      </c>
      <c r="B71" s="148">
        <v>10</v>
      </c>
      <c r="C71" s="54" t="s">
        <v>44</v>
      </c>
      <c r="D71" s="8"/>
      <c r="E71" s="8"/>
      <c r="F71" s="8"/>
      <c r="G71" s="8"/>
      <c r="H71" s="8"/>
      <c r="I71" s="12"/>
      <c r="J71" s="8"/>
      <c r="K71" s="8"/>
      <c r="L71" s="12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4.25" x14ac:dyDescent="0.45">
      <c r="A72" s="146" t="s">
        <v>58</v>
      </c>
      <c r="B72" s="148">
        <v>50</v>
      </c>
      <c r="C72" s="54" t="s">
        <v>60</v>
      </c>
      <c r="D72" s="8"/>
      <c r="E72" s="8"/>
      <c r="F72" s="8"/>
      <c r="G72" s="8"/>
      <c r="H72" s="8"/>
      <c r="I72" s="12"/>
      <c r="J72" s="8"/>
      <c r="K72" s="8"/>
      <c r="L72" s="12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4.25" x14ac:dyDescent="0.45">
      <c r="A73" s="149" t="s">
        <v>65</v>
      </c>
      <c r="B73" s="148">
        <v>2</v>
      </c>
      <c r="C73" s="54" t="s">
        <v>67</v>
      </c>
      <c r="D73" s="8"/>
      <c r="E73" s="8"/>
      <c r="F73" s="8"/>
      <c r="G73" s="8"/>
      <c r="H73" s="8"/>
      <c r="I73" s="12"/>
      <c r="J73" s="8"/>
      <c r="K73" s="8"/>
      <c r="L73" s="12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4.25" x14ac:dyDescent="0.45">
      <c r="A74" s="150" t="s">
        <v>71</v>
      </c>
      <c r="B74" s="74">
        <f>E29</f>
        <v>36</v>
      </c>
      <c r="C74" s="75" t="s">
        <v>72</v>
      </c>
      <c r="D74" s="8"/>
      <c r="E74" s="8"/>
      <c r="F74" s="8"/>
      <c r="G74" s="8"/>
      <c r="H74" s="8"/>
      <c r="I74" s="12"/>
      <c r="J74" s="8"/>
      <c r="K74" s="8"/>
      <c r="L74" s="12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4.25" x14ac:dyDescent="0.45">
      <c r="A75" s="26" t="s">
        <v>19</v>
      </c>
      <c r="B75" s="28"/>
      <c r="C75" s="28"/>
      <c r="D75" s="29"/>
      <c r="E75" s="8"/>
      <c r="F75" s="8"/>
      <c r="G75" s="8"/>
      <c r="H75" s="8"/>
      <c r="I75" s="12"/>
      <c r="J75" s="8"/>
      <c r="K75" s="8"/>
      <c r="L75" s="12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4.25" x14ac:dyDescent="0.45">
      <c r="A76" s="47" t="s">
        <v>35</v>
      </c>
      <c r="B76" s="151" t="s">
        <v>191</v>
      </c>
      <c r="C76" s="49" t="s">
        <v>31</v>
      </c>
      <c r="D76" s="50"/>
      <c r="E76" s="8"/>
      <c r="F76" s="8"/>
      <c r="G76" s="8"/>
      <c r="H76" s="8"/>
      <c r="I76" s="12"/>
      <c r="J76" s="8"/>
      <c r="K76" s="8"/>
      <c r="L76" s="12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4.25" x14ac:dyDescent="0.45">
      <c r="A77" s="47" t="s">
        <v>45</v>
      </c>
      <c r="B77" s="65" t="str">
        <f>D36</f>
        <v>HES-260</v>
      </c>
      <c r="C77" s="49" t="s">
        <v>31</v>
      </c>
      <c r="D77" s="50"/>
      <c r="E77" s="8"/>
      <c r="F77" s="8"/>
      <c r="G77" s="8"/>
      <c r="H77" s="8"/>
      <c r="I77" s="12"/>
      <c r="J77" s="8"/>
      <c r="K77" s="8"/>
      <c r="L77" s="12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4.25" x14ac:dyDescent="0.45">
      <c r="A78" s="47" t="s">
        <v>61</v>
      </c>
      <c r="B78" s="65">
        <f t="shared" ref="B78:B79" si="8">E37</f>
        <v>9</v>
      </c>
      <c r="C78" s="49" t="s">
        <v>62</v>
      </c>
      <c r="D78" s="50"/>
      <c r="E78" s="8"/>
      <c r="F78" s="8"/>
      <c r="G78" s="8"/>
      <c r="H78" s="8"/>
      <c r="I78" s="12"/>
      <c r="J78" s="8"/>
      <c r="K78" s="8"/>
      <c r="L78" s="12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4.25" x14ac:dyDescent="0.45">
      <c r="A79" s="69" t="s">
        <v>68</v>
      </c>
      <c r="B79" s="70">
        <f t="shared" si="8"/>
        <v>7</v>
      </c>
      <c r="C79" s="71" t="s">
        <v>69</v>
      </c>
      <c r="D79" s="72"/>
      <c r="E79" s="8"/>
      <c r="F79" s="8"/>
      <c r="G79" s="8"/>
      <c r="H79" s="8"/>
      <c r="I79" s="12"/>
      <c r="J79" s="8"/>
      <c r="K79" s="8"/>
      <c r="L79" s="12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3.15" x14ac:dyDescent="0.4">
      <c r="A80" s="12"/>
      <c r="B80" s="8"/>
      <c r="C80" s="8"/>
      <c r="D80" s="8"/>
      <c r="E80" s="8"/>
      <c r="F80" s="8"/>
      <c r="G80" s="8"/>
      <c r="H80" s="8"/>
      <c r="I80" s="12"/>
      <c r="J80" s="8"/>
      <c r="K80" s="8"/>
      <c r="L80" s="12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3.15" x14ac:dyDescent="0.4">
      <c r="A81" s="12"/>
      <c r="B81" s="8"/>
      <c r="C81" s="8"/>
      <c r="D81" s="8"/>
      <c r="E81" s="8"/>
      <c r="F81" s="8"/>
      <c r="G81" s="8"/>
      <c r="H81" s="8"/>
      <c r="I81" s="12"/>
      <c r="J81" s="8"/>
      <c r="K81" s="8"/>
      <c r="L81" s="12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3.15" x14ac:dyDescent="0.4">
      <c r="A82" s="12"/>
      <c r="B82" s="8"/>
      <c r="C82" s="8"/>
      <c r="D82" s="8"/>
      <c r="E82" s="8"/>
      <c r="F82" s="8"/>
      <c r="G82" s="8"/>
      <c r="H82" s="8"/>
      <c r="I82" s="12"/>
      <c r="J82" s="8"/>
      <c r="K82" s="8"/>
      <c r="L82" s="12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3.15" x14ac:dyDescent="0.4">
      <c r="A83" s="12"/>
      <c r="B83" s="8"/>
      <c r="C83" s="8"/>
      <c r="D83" s="8"/>
      <c r="E83" s="8"/>
      <c r="F83" s="8"/>
      <c r="G83" s="8"/>
      <c r="H83" s="8"/>
      <c r="I83" s="12"/>
      <c r="J83" s="8"/>
      <c r="K83" s="8"/>
      <c r="L83" s="12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3.15" x14ac:dyDescent="0.4">
      <c r="A84" s="12"/>
      <c r="B84" s="8"/>
      <c r="C84" s="8"/>
      <c r="D84" s="8"/>
      <c r="E84" s="8"/>
      <c r="F84" s="8"/>
      <c r="G84" s="8"/>
      <c r="H84" s="8"/>
      <c r="I84" s="12"/>
      <c r="J84" s="8"/>
      <c r="K84" s="8"/>
      <c r="L84" s="12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3.15" x14ac:dyDescent="0.4">
      <c r="A85" s="12"/>
      <c r="B85" s="8"/>
      <c r="C85" s="8"/>
      <c r="D85" s="8"/>
      <c r="E85" s="8"/>
      <c r="F85" s="8"/>
      <c r="G85" s="8"/>
      <c r="H85" s="8"/>
      <c r="I85" s="12"/>
      <c r="J85" s="8"/>
      <c r="K85" s="8"/>
      <c r="L85" s="12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3.15" x14ac:dyDescent="0.4">
      <c r="A86" s="12"/>
      <c r="B86" s="8"/>
      <c r="C86" s="8"/>
      <c r="D86" s="8"/>
      <c r="E86" s="8"/>
      <c r="F86" s="8"/>
      <c r="G86" s="8"/>
      <c r="H86" s="8"/>
      <c r="I86" s="12"/>
      <c r="J86" s="8"/>
      <c r="K86" s="8"/>
      <c r="L86" s="12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3.15" x14ac:dyDescent="0.4">
      <c r="A87" s="12"/>
      <c r="B87" s="8"/>
      <c r="C87" s="8"/>
      <c r="D87" s="8"/>
      <c r="E87" s="8"/>
      <c r="F87" s="8"/>
      <c r="G87" s="8"/>
      <c r="H87" s="8"/>
      <c r="I87" s="12"/>
      <c r="J87" s="8"/>
      <c r="K87" s="8"/>
      <c r="L87" s="12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3.15" x14ac:dyDescent="0.4">
      <c r="A88" s="12"/>
      <c r="B88" s="8"/>
      <c r="C88" s="8"/>
      <c r="D88" s="8"/>
      <c r="E88" s="8"/>
      <c r="F88" s="8"/>
      <c r="G88" s="8"/>
      <c r="H88" s="8"/>
      <c r="I88" s="12"/>
      <c r="J88" s="8"/>
      <c r="K88" s="8"/>
      <c r="L88" s="12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3.15" x14ac:dyDescent="0.4">
      <c r="A89" s="12"/>
      <c r="B89" s="8"/>
      <c r="C89" s="8"/>
      <c r="D89" s="8"/>
      <c r="E89" s="8"/>
      <c r="F89" s="8"/>
      <c r="G89" s="8"/>
      <c r="H89" s="8"/>
      <c r="I89" s="12"/>
      <c r="J89" s="8"/>
      <c r="K89" s="8"/>
      <c r="L89" s="12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3.15" x14ac:dyDescent="0.4">
      <c r="A90" s="12"/>
      <c r="B90" s="8"/>
      <c r="C90" s="8"/>
      <c r="D90" s="8"/>
      <c r="E90" s="8"/>
      <c r="F90" s="8"/>
      <c r="G90" s="8"/>
      <c r="H90" s="8"/>
      <c r="I90" s="12"/>
      <c r="J90" s="8"/>
      <c r="K90" s="8"/>
      <c r="L90" s="12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3.15" x14ac:dyDescent="0.4">
      <c r="A91" s="12"/>
      <c r="B91" s="8"/>
      <c r="C91" s="8"/>
      <c r="D91" s="8"/>
      <c r="E91" s="8"/>
      <c r="F91" s="8"/>
      <c r="G91" s="8"/>
      <c r="H91" s="8"/>
      <c r="I91" s="12"/>
      <c r="J91" s="8"/>
      <c r="K91" s="8"/>
      <c r="L91" s="12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3.15" x14ac:dyDescent="0.4">
      <c r="A92" s="12"/>
      <c r="B92" s="8"/>
      <c r="C92" s="8"/>
      <c r="D92" s="8"/>
      <c r="E92" s="8"/>
      <c r="F92" s="8"/>
      <c r="G92" s="8"/>
      <c r="H92" s="8"/>
      <c r="I92" s="12"/>
      <c r="J92" s="8"/>
      <c r="K92" s="8"/>
      <c r="L92" s="12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3.15" x14ac:dyDescent="0.4">
      <c r="A93" s="12"/>
      <c r="B93" s="8"/>
      <c r="C93" s="8"/>
      <c r="D93" s="8"/>
      <c r="E93" s="8"/>
      <c r="F93" s="8"/>
      <c r="G93" s="8"/>
      <c r="H93" s="8"/>
      <c r="I93" s="12"/>
      <c r="J93" s="8"/>
      <c r="K93" s="8"/>
      <c r="L93" s="12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3.15" x14ac:dyDescent="0.4">
      <c r="A94" s="12"/>
      <c r="B94" s="8"/>
      <c r="C94" s="8"/>
      <c r="D94" s="8"/>
      <c r="E94" s="8"/>
      <c r="F94" s="8"/>
      <c r="G94" s="8"/>
      <c r="H94" s="8"/>
      <c r="I94" s="12"/>
      <c r="J94" s="8"/>
      <c r="K94" s="8"/>
      <c r="L94" s="12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3.15" x14ac:dyDescent="0.4">
      <c r="A95" s="12"/>
      <c r="B95" s="8"/>
      <c r="C95" s="8"/>
      <c r="D95" s="8"/>
      <c r="E95" s="8"/>
      <c r="F95" s="8"/>
      <c r="G95" s="8"/>
      <c r="H95" s="8"/>
      <c r="I95" s="12"/>
      <c r="J95" s="8"/>
      <c r="K95" s="8"/>
      <c r="L95" s="12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3.15" x14ac:dyDescent="0.4">
      <c r="A96" s="12"/>
      <c r="B96" s="8"/>
      <c r="C96" s="8"/>
      <c r="D96" s="8"/>
      <c r="E96" s="8"/>
      <c r="F96" s="8"/>
      <c r="G96" s="8"/>
      <c r="H96" s="8"/>
      <c r="I96" s="12"/>
      <c r="J96" s="8"/>
      <c r="K96" s="8"/>
      <c r="L96" s="12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3.15" x14ac:dyDescent="0.4">
      <c r="A97" s="12"/>
      <c r="B97" s="8"/>
      <c r="C97" s="8"/>
      <c r="D97" s="8"/>
      <c r="E97" s="8"/>
      <c r="F97" s="8"/>
      <c r="G97" s="8"/>
      <c r="H97" s="8"/>
      <c r="I97" s="12"/>
      <c r="J97" s="8"/>
      <c r="K97" s="8"/>
      <c r="L97" s="12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3.15" x14ac:dyDescent="0.4">
      <c r="A98" s="12"/>
      <c r="B98" s="8"/>
      <c r="C98" s="8"/>
      <c r="D98" s="8"/>
      <c r="E98" s="8"/>
      <c r="F98" s="8"/>
      <c r="G98" s="8"/>
      <c r="H98" s="8"/>
      <c r="I98" s="12"/>
      <c r="J98" s="8"/>
      <c r="K98" s="8"/>
      <c r="L98" s="12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3.15" x14ac:dyDescent="0.4">
      <c r="A99" s="12"/>
      <c r="B99" s="8"/>
      <c r="C99" s="8"/>
      <c r="D99" s="8"/>
      <c r="E99" s="8"/>
      <c r="F99" s="8"/>
      <c r="G99" s="8"/>
      <c r="H99" s="8"/>
      <c r="I99" s="12"/>
      <c r="J99" s="8"/>
      <c r="K99" s="8"/>
      <c r="L99" s="12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3.15" x14ac:dyDescent="0.4">
      <c r="A100" s="12"/>
      <c r="B100" s="8"/>
      <c r="C100" s="8"/>
      <c r="D100" s="8"/>
      <c r="E100" s="8"/>
      <c r="F100" s="8"/>
      <c r="G100" s="8"/>
      <c r="H100" s="8"/>
      <c r="I100" s="12"/>
      <c r="J100" s="8"/>
      <c r="K100" s="8"/>
      <c r="L100" s="12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3.15" x14ac:dyDescent="0.4">
      <c r="A101" s="12"/>
      <c r="B101" s="8"/>
      <c r="C101" s="8"/>
      <c r="D101" s="8"/>
      <c r="E101" s="8"/>
      <c r="F101" s="8"/>
      <c r="G101" s="8"/>
      <c r="H101" s="8"/>
      <c r="I101" s="12"/>
      <c r="J101" s="8"/>
      <c r="K101" s="8"/>
      <c r="L101" s="12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3.15" x14ac:dyDescent="0.4">
      <c r="A102" s="12"/>
      <c r="B102" s="8"/>
      <c r="C102" s="8"/>
      <c r="D102" s="8"/>
      <c r="E102" s="8"/>
      <c r="F102" s="8"/>
      <c r="G102" s="8"/>
      <c r="H102" s="8"/>
      <c r="I102" s="12"/>
      <c r="J102" s="8"/>
      <c r="K102" s="8"/>
      <c r="L102" s="12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3.15" x14ac:dyDescent="0.4">
      <c r="A103" s="12"/>
      <c r="B103" s="8"/>
      <c r="C103" s="8"/>
      <c r="D103" s="8"/>
      <c r="E103" s="8"/>
      <c r="F103" s="8"/>
      <c r="G103" s="8"/>
      <c r="H103" s="8"/>
      <c r="I103" s="12"/>
      <c r="J103" s="8"/>
      <c r="K103" s="8"/>
      <c r="L103" s="12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3.15" x14ac:dyDescent="0.4">
      <c r="A104" s="12"/>
      <c r="B104" s="8"/>
      <c r="C104" s="8"/>
      <c r="D104" s="8"/>
      <c r="E104" s="8"/>
      <c r="F104" s="8"/>
      <c r="G104" s="8"/>
      <c r="H104" s="8"/>
      <c r="I104" s="12"/>
      <c r="J104" s="8"/>
      <c r="K104" s="8"/>
      <c r="L104" s="12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3.15" x14ac:dyDescent="0.4">
      <c r="A105" s="12"/>
      <c r="B105" s="8"/>
      <c r="C105" s="8"/>
      <c r="D105" s="8"/>
      <c r="E105" s="8"/>
      <c r="F105" s="8"/>
      <c r="G105" s="8"/>
      <c r="H105" s="8"/>
      <c r="I105" s="12"/>
      <c r="J105" s="8"/>
      <c r="K105" s="8"/>
      <c r="L105" s="12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3.15" x14ac:dyDescent="0.4">
      <c r="A106" s="12"/>
      <c r="B106" s="8"/>
      <c r="C106" s="8"/>
      <c r="D106" s="8"/>
      <c r="E106" s="8"/>
      <c r="F106" s="8"/>
      <c r="G106" s="8"/>
      <c r="H106" s="8"/>
      <c r="I106" s="12"/>
      <c r="J106" s="8"/>
      <c r="K106" s="8"/>
      <c r="L106" s="12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3.15" x14ac:dyDescent="0.4">
      <c r="A107" s="12"/>
      <c r="B107" s="8"/>
      <c r="C107" s="8"/>
      <c r="D107" s="8"/>
      <c r="E107" s="8"/>
      <c r="F107" s="8"/>
      <c r="G107" s="8"/>
      <c r="H107" s="8"/>
      <c r="I107" s="12"/>
      <c r="J107" s="8"/>
      <c r="K107" s="8"/>
      <c r="L107" s="12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3.15" x14ac:dyDescent="0.4">
      <c r="A108" s="12"/>
      <c r="B108" s="8"/>
      <c r="C108" s="8"/>
      <c r="D108" s="8"/>
      <c r="E108" s="8"/>
      <c r="F108" s="8"/>
      <c r="G108" s="8"/>
      <c r="H108" s="8"/>
      <c r="I108" s="12"/>
      <c r="J108" s="8"/>
      <c r="K108" s="8"/>
      <c r="L108" s="12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3.15" x14ac:dyDescent="0.4">
      <c r="A109" s="12"/>
      <c r="B109" s="8"/>
      <c r="C109" s="8"/>
      <c r="D109" s="8"/>
      <c r="E109" s="8"/>
      <c r="F109" s="8"/>
      <c r="G109" s="8"/>
      <c r="H109" s="8"/>
      <c r="I109" s="12"/>
      <c r="J109" s="8"/>
      <c r="K109" s="8"/>
      <c r="L109" s="12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3.15" x14ac:dyDescent="0.4">
      <c r="A110" s="12"/>
      <c r="B110" s="8"/>
      <c r="C110" s="8"/>
      <c r="D110" s="8"/>
      <c r="E110" s="8"/>
      <c r="F110" s="8"/>
      <c r="G110" s="8"/>
      <c r="H110" s="8"/>
      <c r="I110" s="12"/>
      <c r="J110" s="8"/>
      <c r="K110" s="8"/>
      <c r="L110" s="12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3.15" x14ac:dyDescent="0.4">
      <c r="A111" s="12"/>
      <c r="B111" s="8"/>
      <c r="C111" s="8"/>
      <c r="D111" s="8"/>
      <c r="E111" s="8"/>
      <c r="F111" s="8"/>
      <c r="G111" s="8"/>
      <c r="H111" s="8"/>
      <c r="I111" s="12"/>
      <c r="J111" s="8"/>
      <c r="K111" s="8"/>
      <c r="L111" s="12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3.15" x14ac:dyDescent="0.4">
      <c r="A112" s="12"/>
      <c r="B112" s="8"/>
      <c r="C112" s="8"/>
      <c r="D112" s="8"/>
      <c r="E112" s="8"/>
      <c r="F112" s="8"/>
      <c r="G112" s="8"/>
      <c r="H112" s="8"/>
      <c r="I112" s="12"/>
      <c r="J112" s="8"/>
      <c r="K112" s="8"/>
      <c r="L112" s="12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3.15" x14ac:dyDescent="0.4">
      <c r="A113" s="12"/>
      <c r="B113" s="8"/>
      <c r="C113" s="8"/>
      <c r="D113" s="8"/>
      <c r="E113" s="8"/>
      <c r="F113" s="8"/>
      <c r="G113" s="8"/>
      <c r="H113" s="8"/>
      <c r="I113" s="12"/>
      <c r="J113" s="8"/>
      <c r="K113" s="8"/>
      <c r="L113" s="12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3.15" x14ac:dyDescent="0.4">
      <c r="A114" s="12"/>
      <c r="B114" s="8"/>
      <c r="C114" s="8"/>
      <c r="D114" s="8"/>
      <c r="E114" s="8"/>
      <c r="F114" s="8"/>
      <c r="G114" s="8"/>
      <c r="H114" s="8"/>
      <c r="I114" s="12"/>
      <c r="J114" s="8"/>
      <c r="K114" s="8"/>
      <c r="L114" s="12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3.15" x14ac:dyDescent="0.4">
      <c r="A115" s="12"/>
      <c r="B115" s="8"/>
      <c r="C115" s="8"/>
      <c r="D115" s="8"/>
      <c r="E115" s="8"/>
      <c r="F115" s="8"/>
      <c r="G115" s="8"/>
      <c r="H115" s="8"/>
      <c r="I115" s="12"/>
      <c r="J115" s="8"/>
      <c r="K115" s="8"/>
      <c r="L115" s="12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3.15" x14ac:dyDescent="0.4">
      <c r="A116" s="12"/>
      <c r="B116" s="8"/>
      <c r="C116" s="8"/>
      <c r="D116" s="8"/>
      <c r="E116" s="8"/>
      <c r="F116" s="8"/>
      <c r="G116" s="8"/>
      <c r="H116" s="8"/>
      <c r="I116" s="12"/>
      <c r="J116" s="8"/>
      <c r="K116" s="8"/>
      <c r="L116" s="12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3.15" x14ac:dyDescent="0.4">
      <c r="A117" s="12"/>
      <c r="B117" s="8"/>
      <c r="C117" s="8"/>
      <c r="D117" s="8"/>
      <c r="E117" s="8"/>
      <c r="F117" s="8"/>
      <c r="G117" s="8"/>
      <c r="H117" s="8"/>
      <c r="I117" s="12"/>
      <c r="J117" s="8"/>
      <c r="K117" s="8"/>
      <c r="L117" s="12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3.15" x14ac:dyDescent="0.4">
      <c r="A118" s="12"/>
      <c r="B118" s="8"/>
      <c r="C118" s="8"/>
      <c r="D118" s="8"/>
      <c r="E118" s="8"/>
      <c r="F118" s="8"/>
      <c r="G118" s="8"/>
      <c r="H118" s="8"/>
      <c r="I118" s="12"/>
      <c r="J118" s="8"/>
      <c r="K118" s="8"/>
      <c r="L118" s="12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3.15" x14ac:dyDescent="0.4">
      <c r="A119" s="12"/>
      <c r="B119" s="8"/>
      <c r="C119" s="8"/>
      <c r="D119" s="8"/>
      <c r="E119" s="8"/>
      <c r="F119" s="8"/>
      <c r="G119" s="8"/>
      <c r="H119" s="8"/>
      <c r="I119" s="12"/>
      <c r="J119" s="8"/>
      <c r="K119" s="8"/>
      <c r="L119" s="12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3.15" x14ac:dyDescent="0.4">
      <c r="A120" s="12"/>
      <c r="B120" s="8"/>
      <c r="C120" s="8"/>
      <c r="D120" s="8"/>
      <c r="E120" s="8"/>
      <c r="F120" s="8"/>
      <c r="G120" s="8"/>
      <c r="H120" s="8"/>
      <c r="I120" s="12"/>
      <c r="J120" s="8"/>
      <c r="K120" s="8"/>
      <c r="L120" s="12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3.15" x14ac:dyDescent="0.4">
      <c r="A121" s="12"/>
      <c r="B121" s="8"/>
      <c r="C121" s="8"/>
      <c r="D121" s="8"/>
      <c r="E121" s="8"/>
      <c r="F121" s="8"/>
      <c r="G121" s="8"/>
      <c r="H121" s="8"/>
      <c r="I121" s="12"/>
      <c r="J121" s="8"/>
      <c r="K121" s="8"/>
      <c r="L121" s="12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3.15" x14ac:dyDescent="0.4">
      <c r="A122" s="12"/>
      <c r="B122" s="8"/>
      <c r="C122" s="8"/>
      <c r="D122" s="8"/>
      <c r="E122" s="8"/>
      <c r="F122" s="8"/>
      <c r="G122" s="8"/>
      <c r="H122" s="8"/>
      <c r="I122" s="12"/>
      <c r="J122" s="8"/>
      <c r="K122" s="8"/>
      <c r="L122" s="12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3.15" x14ac:dyDescent="0.4">
      <c r="A123" s="12"/>
      <c r="B123" s="8"/>
      <c r="C123" s="8"/>
      <c r="D123" s="8"/>
      <c r="E123" s="8"/>
      <c r="F123" s="8"/>
      <c r="G123" s="8"/>
      <c r="H123" s="8"/>
      <c r="I123" s="12"/>
      <c r="J123" s="8"/>
      <c r="K123" s="8"/>
      <c r="L123" s="12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3.15" x14ac:dyDescent="0.4">
      <c r="A124" s="12"/>
      <c r="B124" s="8"/>
      <c r="C124" s="8"/>
      <c r="D124" s="8"/>
      <c r="E124" s="8"/>
      <c r="F124" s="8"/>
      <c r="G124" s="8"/>
      <c r="H124" s="8"/>
      <c r="I124" s="12"/>
      <c r="J124" s="8"/>
      <c r="K124" s="8"/>
      <c r="L124" s="12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3.15" x14ac:dyDescent="0.4">
      <c r="A125" s="12"/>
      <c r="B125" s="8"/>
      <c r="C125" s="8"/>
      <c r="D125" s="8"/>
      <c r="E125" s="8"/>
      <c r="F125" s="8"/>
      <c r="G125" s="8"/>
      <c r="H125" s="8"/>
      <c r="I125" s="12"/>
      <c r="J125" s="8"/>
      <c r="K125" s="8"/>
      <c r="L125" s="12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3.15" x14ac:dyDescent="0.4">
      <c r="A126" s="12"/>
      <c r="B126" s="8"/>
      <c r="C126" s="8"/>
      <c r="D126" s="8"/>
      <c r="E126" s="8"/>
      <c r="F126" s="8"/>
      <c r="G126" s="8"/>
      <c r="H126" s="8"/>
      <c r="I126" s="12"/>
      <c r="J126" s="8"/>
      <c r="K126" s="8"/>
      <c r="L126" s="12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3.15" x14ac:dyDescent="0.4">
      <c r="A127" s="12"/>
      <c r="B127" s="8"/>
      <c r="C127" s="8"/>
      <c r="D127" s="8"/>
      <c r="E127" s="8"/>
      <c r="F127" s="8"/>
      <c r="G127" s="8"/>
      <c r="H127" s="8"/>
      <c r="I127" s="12"/>
      <c r="J127" s="8"/>
      <c r="K127" s="8"/>
      <c r="L127" s="12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3.15" x14ac:dyDescent="0.4">
      <c r="A128" s="12"/>
      <c r="B128" s="8"/>
      <c r="C128" s="8"/>
      <c r="D128" s="8"/>
      <c r="E128" s="8"/>
      <c r="F128" s="8"/>
      <c r="G128" s="8"/>
      <c r="H128" s="8"/>
      <c r="I128" s="12"/>
      <c r="J128" s="8"/>
      <c r="K128" s="8"/>
      <c r="L128" s="12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3.15" x14ac:dyDescent="0.4">
      <c r="A129" s="12"/>
      <c r="B129" s="8"/>
      <c r="C129" s="8"/>
      <c r="D129" s="8"/>
      <c r="E129" s="8"/>
      <c r="F129" s="8"/>
      <c r="G129" s="8"/>
      <c r="H129" s="8"/>
      <c r="I129" s="12"/>
      <c r="J129" s="8"/>
      <c r="K129" s="8"/>
      <c r="L129" s="12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3.15" x14ac:dyDescent="0.4">
      <c r="A130" s="12"/>
      <c r="B130" s="8"/>
      <c r="C130" s="8"/>
      <c r="D130" s="8"/>
      <c r="E130" s="8"/>
      <c r="F130" s="8"/>
      <c r="G130" s="8"/>
      <c r="H130" s="8"/>
      <c r="I130" s="12"/>
      <c r="J130" s="8"/>
      <c r="K130" s="8"/>
      <c r="L130" s="12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3.15" x14ac:dyDescent="0.4">
      <c r="A131" s="12"/>
      <c r="B131" s="8"/>
      <c r="C131" s="8"/>
      <c r="D131" s="8"/>
      <c r="E131" s="8"/>
      <c r="F131" s="8"/>
      <c r="G131" s="8"/>
      <c r="H131" s="8"/>
      <c r="I131" s="12"/>
      <c r="J131" s="8"/>
      <c r="K131" s="8"/>
      <c r="L131" s="12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3.15" x14ac:dyDescent="0.4">
      <c r="A132" s="12"/>
      <c r="B132" s="8"/>
      <c r="C132" s="8"/>
      <c r="D132" s="8"/>
      <c r="E132" s="8"/>
      <c r="F132" s="8"/>
      <c r="G132" s="8"/>
      <c r="H132" s="8"/>
      <c r="I132" s="12"/>
      <c r="J132" s="8"/>
      <c r="K132" s="8"/>
      <c r="L132" s="12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3.15" x14ac:dyDescent="0.4">
      <c r="A133" s="12"/>
      <c r="B133" s="8"/>
      <c r="C133" s="8"/>
      <c r="D133" s="8"/>
      <c r="E133" s="8"/>
      <c r="F133" s="8"/>
      <c r="G133" s="8"/>
      <c r="H133" s="8"/>
      <c r="I133" s="12"/>
      <c r="J133" s="8"/>
      <c r="K133" s="8"/>
      <c r="L133" s="12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3.15" x14ac:dyDescent="0.4">
      <c r="A134" s="12"/>
      <c r="B134" s="8"/>
      <c r="C134" s="8"/>
      <c r="D134" s="8"/>
      <c r="E134" s="8"/>
      <c r="F134" s="8"/>
      <c r="G134" s="8"/>
      <c r="H134" s="8"/>
      <c r="I134" s="12"/>
      <c r="J134" s="8"/>
      <c r="K134" s="8"/>
      <c r="L134" s="12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3.15" x14ac:dyDescent="0.4">
      <c r="A135" s="12"/>
      <c r="B135" s="8"/>
      <c r="C135" s="8"/>
      <c r="D135" s="8"/>
      <c r="E135" s="8"/>
      <c r="F135" s="8"/>
      <c r="G135" s="8"/>
      <c r="H135" s="8"/>
      <c r="I135" s="12"/>
      <c r="J135" s="8"/>
      <c r="K135" s="8"/>
      <c r="L135" s="12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3.15" x14ac:dyDescent="0.4">
      <c r="A136" s="12"/>
      <c r="B136" s="8"/>
      <c r="C136" s="8"/>
      <c r="D136" s="8"/>
      <c r="E136" s="8"/>
      <c r="F136" s="8"/>
      <c r="G136" s="8"/>
      <c r="H136" s="8"/>
      <c r="I136" s="12"/>
      <c r="J136" s="8"/>
      <c r="K136" s="8"/>
      <c r="L136" s="12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3.15" x14ac:dyDescent="0.4">
      <c r="A137" s="12"/>
      <c r="B137" s="8"/>
      <c r="C137" s="8"/>
      <c r="D137" s="8"/>
      <c r="E137" s="8"/>
      <c r="F137" s="8"/>
      <c r="G137" s="8"/>
      <c r="H137" s="8"/>
      <c r="I137" s="12"/>
      <c r="J137" s="8"/>
      <c r="K137" s="8"/>
      <c r="L137" s="12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3.15" x14ac:dyDescent="0.4">
      <c r="A138" s="12"/>
      <c r="B138" s="8"/>
      <c r="C138" s="8"/>
      <c r="D138" s="8"/>
      <c r="E138" s="8"/>
      <c r="F138" s="8"/>
      <c r="G138" s="8"/>
      <c r="H138" s="8"/>
      <c r="I138" s="12"/>
      <c r="J138" s="8"/>
      <c r="K138" s="8"/>
      <c r="L138" s="12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3.15" x14ac:dyDescent="0.4">
      <c r="A139" s="12"/>
      <c r="B139" s="8"/>
      <c r="C139" s="8"/>
      <c r="D139" s="8"/>
      <c r="E139" s="8"/>
      <c r="F139" s="8"/>
      <c r="G139" s="8"/>
      <c r="H139" s="8"/>
      <c r="I139" s="12"/>
      <c r="J139" s="8"/>
      <c r="K139" s="8"/>
      <c r="L139" s="12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3.15" x14ac:dyDescent="0.4">
      <c r="A140" s="12"/>
      <c r="B140" s="8"/>
      <c r="C140" s="8"/>
      <c r="D140" s="8"/>
      <c r="E140" s="8"/>
      <c r="F140" s="8"/>
      <c r="G140" s="8"/>
      <c r="H140" s="8"/>
      <c r="I140" s="12"/>
      <c r="J140" s="8"/>
      <c r="K140" s="8"/>
      <c r="L140" s="12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3.15" x14ac:dyDescent="0.4">
      <c r="A141" s="12"/>
      <c r="B141" s="8"/>
      <c r="C141" s="8"/>
      <c r="D141" s="8"/>
      <c r="E141" s="8"/>
      <c r="F141" s="8"/>
      <c r="G141" s="8"/>
      <c r="H141" s="8"/>
      <c r="I141" s="12"/>
      <c r="J141" s="8"/>
      <c r="K141" s="8"/>
      <c r="L141" s="12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3.15" x14ac:dyDescent="0.4">
      <c r="A142" s="12"/>
      <c r="B142" s="8"/>
      <c r="C142" s="8"/>
      <c r="D142" s="8"/>
      <c r="E142" s="8"/>
      <c r="F142" s="8"/>
      <c r="G142" s="8"/>
      <c r="H142" s="8"/>
      <c r="I142" s="12"/>
      <c r="J142" s="8"/>
      <c r="K142" s="8"/>
      <c r="L142" s="12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3.15" x14ac:dyDescent="0.4">
      <c r="A143" s="12"/>
      <c r="B143" s="8"/>
      <c r="C143" s="8"/>
      <c r="D143" s="8"/>
      <c r="E143" s="8"/>
      <c r="F143" s="8"/>
      <c r="G143" s="8"/>
      <c r="H143" s="8"/>
      <c r="I143" s="12"/>
      <c r="J143" s="8"/>
      <c r="K143" s="8"/>
      <c r="L143" s="12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3.15" x14ac:dyDescent="0.4">
      <c r="A144" s="12"/>
      <c r="B144" s="8"/>
      <c r="C144" s="8"/>
      <c r="D144" s="8"/>
      <c r="E144" s="8"/>
      <c r="F144" s="8"/>
      <c r="G144" s="8"/>
      <c r="H144" s="8"/>
      <c r="I144" s="12"/>
      <c r="J144" s="8"/>
      <c r="K144" s="8"/>
      <c r="L144" s="12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3.15" x14ac:dyDescent="0.4">
      <c r="A145" s="12"/>
      <c r="B145" s="8"/>
      <c r="C145" s="8"/>
      <c r="D145" s="8"/>
      <c r="E145" s="8"/>
      <c r="F145" s="8"/>
      <c r="G145" s="8"/>
      <c r="H145" s="8"/>
      <c r="I145" s="12"/>
      <c r="J145" s="8"/>
      <c r="K145" s="8"/>
      <c r="L145" s="12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3.15" x14ac:dyDescent="0.4">
      <c r="A146" s="12"/>
      <c r="B146" s="8"/>
      <c r="C146" s="8"/>
      <c r="D146" s="8"/>
      <c r="E146" s="8"/>
      <c r="F146" s="8"/>
      <c r="G146" s="8"/>
      <c r="H146" s="8"/>
      <c r="I146" s="12"/>
      <c r="J146" s="8"/>
      <c r="K146" s="8"/>
      <c r="L146" s="12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3.15" x14ac:dyDescent="0.4">
      <c r="A147" s="12"/>
      <c r="B147" s="8"/>
      <c r="C147" s="8"/>
      <c r="D147" s="8"/>
      <c r="E147" s="8"/>
      <c r="F147" s="8"/>
      <c r="G147" s="8"/>
      <c r="H147" s="8"/>
      <c r="I147" s="12"/>
      <c r="J147" s="8"/>
      <c r="K147" s="8"/>
      <c r="L147" s="12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3.15" x14ac:dyDescent="0.4">
      <c r="A148" s="12"/>
      <c r="B148" s="8"/>
      <c r="C148" s="8"/>
      <c r="D148" s="8"/>
      <c r="E148" s="8"/>
      <c r="F148" s="8"/>
      <c r="G148" s="8"/>
      <c r="H148" s="8"/>
      <c r="I148" s="12"/>
      <c r="J148" s="8"/>
      <c r="K148" s="8"/>
      <c r="L148" s="12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3.15" x14ac:dyDescent="0.4">
      <c r="A149" s="12"/>
      <c r="B149" s="8"/>
      <c r="C149" s="8"/>
      <c r="D149" s="8"/>
      <c r="E149" s="8"/>
      <c r="F149" s="8"/>
      <c r="G149" s="8"/>
      <c r="H149" s="8"/>
      <c r="I149" s="12"/>
      <c r="J149" s="8"/>
      <c r="K149" s="8"/>
      <c r="L149" s="12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3.15" x14ac:dyDescent="0.4">
      <c r="A150" s="12"/>
      <c r="B150" s="8"/>
      <c r="C150" s="8"/>
      <c r="D150" s="8"/>
      <c r="E150" s="8"/>
      <c r="F150" s="8"/>
      <c r="G150" s="8"/>
      <c r="H150" s="8"/>
      <c r="I150" s="12"/>
      <c r="J150" s="8"/>
      <c r="K150" s="8"/>
      <c r="L150" s="12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3.15" x14ac:dyDescent="0.4">
      <c r="A151" s="12"/>
      <c r="B151" s="8"/>
      <c r="C151" s="8"/>
      <c r="D151" s="8"/>
      <c r="E151" s="8"/>
      <c r="F151" s="8"/>
      <c r="G151" s="8"/>
      <c r="H151" s="8"/>
      <c r="I151" s="12"/>
      <c r="J151" s="8"/>
      <c r="K151" s="8"/>
      <c r="L151" s="12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3.15" x14ac:dyDescent="0.4">
      <c r="A152" s="12"/>
      <c r="B152" s="8"/>
      <c r="C152" s="8"/>
      <c r="D152" s="8"/>
      <c r="E152" s="8"/>
      <c r="F152" s="8"/>
      <c r="G152" s="8"/>
      <c r="H152" s="8"/>
      <c r="I152" s="12"/>
      <c r="J152" s="8"/>
      <c r="K152" s="8"/>
      <c r="L152" s="12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3.15" x14ac:dyDescent="0.4">
      <c r="A153" s="12"/>
      <c r="B153" s="8"/>
      <c r="C153" s="8"/>
      <c r="D153" s="8"/>
      <c r="E153" s="8"/>
      <c r="F153" s="8"/>
      <c r="G153" s="8"/>
      <c r="H153" s="8"/>
      <c r="I153" s="12"/>
      <c r="J153" s="8"/>
      <c r="K153" s="8"/>
      <c r="L153" s="12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3.15" x14ac:dyDescent="0.4">
      <c r="A154" s="12"/>
      <c r="B154" s="8"/>
      <c r="C154" s="8"/>
      <c r="D154" s="8"/>
      <c r="E154" s="8"/>
      <c r="F154" s="8"/>
      <c r="G154" s="8"/>
      <c r="H154" s="8"/>
      <c r="I154" s="12"/>
      <c r="J154" s="8"/>
      <c r="K154" s="8"/>
      <c r="L154" s="12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3.15" x14ac:dyDescent="0.4">
      <c r="A155" s="12"/>
      <c r="B155" s="8"/>
      <c r="C155" s="8"/>
      <c r="D155" s="8"/>
      <c r="E155" s="8"/>
      <c r="F155" s="8"/>
      <c r="G155" s="8"/>
      <c r="H155" s="8"/>
      <c r="I155" s="12"/>
      <c r="J155" s="8"/>
      <c r="K155" s="8"/>
      <c r="L155" s="12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3.15" x14ac:dyDescent="0.4">
      <c r="A156" s="12"/>
      <c r="B156" s="8"/>
      <c r="C156" s="8"/>
      <c r="D156" s="8"/>
      <c r="E156" s="8"/>
      <c r="F156" s="8"/>
      <c r="G156" s="8"/>
      <c r="H156" s="8"/>
      <c r="I156" s="12"/>
      <c r="J156" s="8"/>
      <c r="K156" s="8"/>
      <c r="L156" s="12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3.15" x14ac:dyDescent="0.4">
      <c r="A157" s="12"/>
      <c r="B157" s="8"/>
      <c r="C157" s="8"/>
      <c r="D157" s="8"/>
      <c r="E157" s="8"/>
      <c r="F157" s="8"/>
      <c r="G157" s="8"/>
      <c r="H157" s="8"/>
      <c r="I157" s="12"/>
      <c r="J157" s="8"/>
      <c r="K157" s="8"/>
      <c r="L157" s="12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3.15" x14ac:dyDescent="0.4">
      <c r="A158" s="12"/>
      <c r="B158" s="8"/>
      <c r="C158" s="8"/>
      <c r="D158" s="8"/>
      <c r="E158" s="8"/>
      <c r="F158" s="8"/>
      <c r="G158" s="8"/>
      <c r="H158" s="8"/>
      <c r="I158" s="12"/>
      <c r="J158" s="8"/>
      <c r="K158" s="8"/>
      <c r="L158" s="12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3.15" x14ac:dyDescent="0.4">
      <c r="A159" s="12"/>
      <c r="B159" s="8"/>
      <c r="C159" s="8"/>
      <c r="D159" s="8"/>
      <c r="E159" s="8"/>
      <c r="F159" s="8"/>
      <c r="G159" s="8"/>
      <c r="H159" s="8"/>
      <c r="I159" s="12"/>
      <c r="J159" s="8"/>
      <c r="K159" s="8"/>
      <c r="L159" s="12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3.15" x14ac:dyDescent="0.4">
      <c r="A160" s="12"/>
      <c r="B160" s="8"/>
      <c r="C160" s="8"/>
      <c r="D160" s="8"/>
      <c r="E160" s="8"/>
      <c r="F160" s="8"/>
      <c r="G160" s="8"/>
      <c r="H160" s="8"/>
      <c r="I160" s="12"/>
      <c r="J160" s="8"/>
      <c r="K160" s="8"/>
      <c r="L160" s="12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3.15" x14ac:dyDescent="0.4">
      <c r="A161" s="12"/>
      <c r="B161" s="8"/>
      <c r="C161" s="8"/>
      <c r="D161" s="8"/>
      <c r="E161" s="8"/>
      <c r="F161" s="8"/>
      <c r="G161" s="8"/>
      <c r="H161" s="8"/>
      <c r="I161" s="12"/>
      <c r="J161" s="8"/>
      <c r="K161" s="8"/>
      <c r="L161" s="12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3.15" x14ac:dyDescent="0.4">
      <c r="A162" s="12"/>
      <c r="B162" s="8"/>
      <c r="C162" s="8"/>
      <c r="D162" s="8"/>
      <c r="E162" s="8"/>
      <c r="F162" s="8"/>
      <c r="G162" s="8"/>
      <c r="H162" s="8"/>
      <c r="I162" s="12"/>
      <c r="J162" s="8"/>
      <c r="K162" s="8"/>
      <c r="L162" s="12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3.15" x14ac:dyDescent="0.4">
      <c r="A163" s="12"/>
      <c r="B163" s="8"/>
      <c r="C163" s="8"/>
      <c r="D163" s="8"/>
      <c r="E163" s="8"/>
      <c r="F163" s="8"/>
      <c r="G163" s="8"/>
      <c r="H163" s="8"/>
      <c r="I163" s="12"/>
      <c r="J163" s="8"/>
      <c r="K163" s="8"/>
      <c r="L163" s="12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3.15" x14ac:dyDescent="0.4">
      <c r="A164" s="12"/>
      <c r="B164" s="8"/>
      <c r="C164" s="8"/>
      <c r="D164" s="8"/>
      <c r="E164" s="8"/>
      <c r="F164" s="8"/>
      <c r="G164" s="8"/>
      <c r="H164" s="8"/>
      <c r="I164" s="12"/>
      <c r="J164" s="8"/>
      <c r="K164" s="8"/>
      <c r="L164" s="12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3.15" x14ac:dyDescent="0.4">
      <c r="A165" s="12"/>
      <c r="B165" s="8"/>
      <c r="C165" s="8"/>
      <c r="D165" s="8"/>
      <c r="E165" s="8"/>
      <c r="F165" s="8"/>
      <c r="G165" s="8"/>
      <c r="H165" s="8"/>
      <c r="I165" s="12"/>
      <c r="J165" s="8"/>
      <c r="K165" s="8"/>
      <c r="L165" s="12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3.15" x14ac:dyDescent="0.4">
      <c r="A166" s="12"/>
      <c r="B166" s="8"/>
      <c r="C166" s="8"/>
      <c r="D166" s="8"/>
      <c r="E166" s="8"/>
      <c r="F166" s="8"/>
      <c r="G166" s="8"/>
      <c r="H166" s="8"/>
      <c r="I166" s="12"/>
      <c r="J166" s="8"/>
      <c r="K166" s="8"/>
      <c r="L166" s="12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3.15" x14ac:dyDescent="0.4">
      <c r="A167" s="12"/>
      <c r="B167" s="8"/>
      <c r="C167" s="8"/>
      <c r="D167" s="8"/>
      <c r="E167" s="8"/>
      <c r="F167" s="8"/>
      <c r="G167" s="8"/>
      <c r="H167" s="8"/>
      <c r="I167" s="12"/>
      <c r="J167" s="8"/>
      <c r="K167" s="8"/>
      <c r="L167" s="12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3.15" x14ac:dyDescent="0.4">
      <c r="A168" s="12"/>
      <c r="B168" s="8"/>
      <c r="C168" s="8"/>
      <c r="D168" s="8"/>
      <c r="E168" s="8"/>
      <c r="F168" s="8"/>
      <c r="G168" s="8"/>
      <c r="H168" s="8"/>
      <c r="I168" s="12"/>
      <c r="J168" s="8"/>
      <c r="K168" s="8"/>
      <c r="L168" s="12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3.15" x14ac:dyDescent="0.4">
      <c r="A169" s="12"/>
      <c r="B169" s="8"/>
      <c r="C169" s="8"/>
      <c r="D169" s="8"/>
      <c r="E169" s="8"/>
      <c r="F169" s="8"/>
      <c r="G169" s="8"/>
      <c r="H169" s="8"/>
      <c r="I169" s="12"/>
      <c r="J169" s="8"/>
      <c r="K169" s="8"/>
      <c r="L169" s="12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3.15" x14ac:dyDescent="0.4">
      <c r="A170" s="12"/>
      <c r="B170" s="8"/>
      <c r="C170" s="8"/>
      <c r="D170" s="8"/>
      <c r="E170" s="8"/>
      <c r="F170" s="8"/>
      <c r="G170" s="8"/>
      <c r="H170" s="8"/>
      <c r="I170" s="12"/>
      <c r="J170" s="8"/>
      <c r="K170" s="8"/>
      <c r="L170" s="12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3.15" x14ac:dyDescent="0.4">
      <c r="A171" s="12"/>
      <c r="B171" s="8"/>
      <c r="C171" s="8"/>
      <c r="D171" s="8"/>
      <c r="E171" s="8"/>
      <c r="F171" s="8"/>
      <c r="G171" s="8"/>
      <c r="H171" s="8"/>
      <c r="I171" s="12"/>
      <c r="J171" s="8"/>
      <c r="K171" s="8"/>
      <c r="L171" s="12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3.15" x14ac:dyDescent="0.4">
      <c r="A172" s="12"/>
      <c r="B172" s="8"/>
      <c r="C172" s="8"/>
      <c r="D172" s="8"/>
      <c r="E172" s="8"/>
      <c r="F172" s="8"/>
      <c r="G172" s="8"/>
      <c r="H172" s="8"/>
      <c r="I172" s="12"/>
      <c r="J172" s="8"/>
      <c r="K172" s="8"/>
      <c r="L172" s="12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3.15" x14ac:dyDescent="0.4">
      <c r="A173" s="12"/>
      <c r="B173" s="8"/>
      <c r="C173" s="8"/>
      <c r="D173" s="8"/>
      <c r="E173" s="8"/>
      <c r="F173" s="8"/>
      <c r="G173" s="8"/>
      <c r="H173" s="8"/>
      <c r="I173" s="12"/>
      <c r="J173" s="8"/>
      <c r="K173" s="8"/>
      <c r="L173" s="12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3.15" x14ac:dyDescent="0.4">
      <c r="A174" s="12"/>
      <c r="B174" s="8"/>
      <c r="C174" s="8"/>
      <c r="D174" s="8"/>
      <c r="E174" s="8"/>
      <c r="F174" s="8"/>
      <c r="G174" s="8"/>
      <c r="H174" s="8"/>
      <c r="I174" s="12"/>
      <c r="J174" s="8"/>
      <c r="K174" s="8"/>
      <c r="L174" s="12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3.15" x14ac:dyDescent="0.4">
      <c r="A175" s="12"/>
      <c r="B175" s="8"/>
      <c r="C175" s="8"/>
      <c r="D175" s="8"/>
      <c r="E175" s="8"/>
      <c r="F175" s="8"/>
      <c r="G175" s="8"/>
      <c r="H175" s="8"/>
      <c r="I175" s="12"/>
      <c r="J175" s="8"/>
      <c r="K175" s="8"/>
      <c r="L175" s="12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3.15" x14ac:dyDescent="0.4">
      <c r="A176" s="12"/>
      <c r="B176" s="8"/>
      <c r="C176" s="8"/>
      <c r="D176" s="8"/>
      <c r="E176" s="8"/>
      <c r="F176" s="8"/>
      <c r="G176" s="8"/>
      <c r="H176" s="8"/>
      <c r="I176" s="12"/>
      <c r="J176" s="8"/>
      <c r="K176" s="8"/>
      <c r="L176" s="12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3.15" x14ac:dyDescent="0.4">
      <c r="A177" s="12"/>
      <c r="B177" s="8"/>
      <c r="C177" s="8"/>
      <c r="D177" s="8"/>
      <c r="E177" s="8"/>
      <c r="F177" s="8"/>
      <c r="G177" s="8"/>
      <c r="H177" s="8"/>
      <c r="I177" s="12"/>
      <c r="J177" s="8"/>
      <c r="K177" s="8"/>
      <c r="L177" s="12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3.15" x14ac:dyDescent="0.4">
      <c r="A178" s="12"/>
      <c r="B178" s="8"/>
      <c r="C178" s="8"/>
      <c r="D178" s="8"/>
      <c r="E178" s="8"/>
      <c r="F178" s="8"/>
      <c r="G178" s="8"/>
      <c r="H178" s="8"/>
      <c r="I178" s="12"/>
      <c r="J178" s="8"/>
      <c r="K178" s="8"/>
      <c r="L178" s="12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3.15" x14ac:dyDescent="0.4">
      <c r="A179" s="12"/>
      <c r="B179" s="8"/>
      <c r="C179" s="8"/>
      <c r="D179" s="8"/>
      <c r="E179" s="8"/>
      <c r="F179" s="8"/>
      <c r="G179" s="8"/>
      <c r="H179" s="8"/>
      <c r="I179" s="12"/>
      <c r="J179" s="8"/>
      <c r="K179" s="8"/>
      <c r="L179" s="12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3.15" x14ac:dyDescent="0.4">
      <c r="A180" s="12"/>
      <c r="B180" s="8"/>
      <c r="C180" s="8"/>
      <c r="D180" s="8"/>
      <c r="E180" s="8"/>
      <c r="F180" s="8"/>
      <c r="G180" s="8"/>
      <c r="H180" s="8"/>
      <c r="I180" s="12"/>
      <c r="J180" s="8"/>
      <c r="K180" s="8"/>
      <c r="L180" s="12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3.15" x14ac:dyDescent="0.4">
      <c r="A181" s="12"/>
      <c r="B181" s="8"/>
      <c r="C181" s="8"/>
      <c r="D181" s="8"/>
      <c r="E181" s="8"/>
      <c r="F181" s="8"/>
      <c r="G181" s="8"/>
      <c r="H181" s="8"/>
      <c r="I181" s="12"/>
      <c r="J181" s="8"/>
      <c r="K181" s="8"/>
      <c r="L181" s="12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3.15" x14ac:dyDescent="0.4">
      <c r="A182" s="12"/>
      <c r="B182" s="8"/>
      <c r="C182" s="8"/>
      <c r="D182" s="8"/>
      <c r="E182" s="8"/>
      <c r="F182" s="8"/>
      <c r="G182" s="8"/>
      <c r="H182" s="8"/>
      <c r="I182" s="12"/>
      <c r="J182" s="8"/>
      <c r="K182" s="8"/>
      <c r="L182" s="12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3.15" x14ac:dyDescent="0.4">
      <c r="A183" s="12"/>
      <c r="B183" s="8"/>
      <c r="C183" s="8"/>
      <c r="D183" s="8"/>
      <c r="E183" s="8"/>
      <c r="F183" s="8"/>
      <c r="G183" s="8"/>
      <c r="H183" s="8"/>
      <c r="I183" s="12"/>
      <c r="J183" s="8"/>
      <c r="K183" s="8"/>
      <c r="L183" s="12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3.15" x14ac:dyDescent="0.4">
      <c r="A184" s="12"/>
      <c r="B184" s="8"/>
      <c r="C184" s="8"/>
      <c r="D184" s="8"/>
      <c r="E184" s="8"/>
      <c r="F184" s="8"/>
      <c r="G184" s="8"/>
      <c r="H184" s="8"/>
      <c r="I184" s="12"/>
      <c r="J184" s="8"/>
      <c r="K184" s="8"/>
      <c r="L184" s="12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3.15" x14ac:dyDescent="0.4">
      <c r="A185" s="12"/>
      <c r="B185" s="8"/>
      <c r="C185" s="8"/>
      <c r="D185" s="8"/>
      <c r="E185" s="8"/>
      <c r="F185" s="8"/>
      <c r="G185" s="8"/>
      <c r="H185" s="8"/>
      <c r="I185" s="12"/>
      <c r="J185" s="8"/>
      <c r="K185" s="8"/>
      <c r="L185" s="12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3.15" x14ac:dyDescent="0.4">
      <c r="A186" s="12"/>
      <c r="B186" s="8"/>
      <c r="C186" s="8"/>
      <c r="D186" s="8"/>
      <c r="E186" s="8"/>
      <c r="F186" s="8"/>
      <c r="G186" s="8"/>
      <c r="H186" s="8"/>
      <c r="I186" s="12"/>
      <c r="J186" s="8"/>
      <c r="K186" s="8"/>
      <c r="L186" s="12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3.15" x14ac:dyDescent="0.4">
      <c r="A187" s="12"/>
      <c r="B187" s="8"/>
      <c r="C187" s="8"/>
      <c r="D187" s="8"/>
      <c r="E187" s="8"/>
      <c r="F187" s="8"/>
      <c r="G187" s="8"/>
      <c r="H187" s="8"/>
      <c r="I187" s="12"/>
      <c r="J187" s="8"/>
      <c r="K187" s="8"/>
      <c r="L187" s="12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3.15" x14ac:dyDescent="0.4">
      <c r="A188" s="12"/>
      <c r="B188" s="8"/>
      <c r="C188" s="8"/>
      <c r="D188" s="8"/>
      <c r="E188" s="8"/>
      <c r="F188" s="8"/>
      <c r="G188" s="8"/>
      <c r="H188" s="8"/>
      <c r="I188" s="12"/>
      <c r="J188" s="8"/>
      <c r="K188" s="8"/>
      <c r="L188" s="12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3.15" x14ac:dyDescent="0.4">
      <c r="A189" s="12"/>
      <c r="B189" s="8"/>
      <c r="C189" s="8"/>
      <c r="D189" s="8"/>
      <c r="E189" s="8"/>
      <c r="F189" s="8"/>
      <c r="G189" s="8"/>
      <c r="H189" s="8"/>
      <c r="I189" s="12"/>
      <c r="J189" s="8"/>
      <c r="K189" s="8"/>
      <c r="L189" s="12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3.15" x14ac:dyDescent="0.4">
      <c r="A190" s="12"/>
      <c r="B190" s="8"/>
      <c r="C190" s="8"/>
      <c r="D190" s="8"/>
      <c r="E190" s="8"/>
      <c r="F190" s="8"/>
      <c r="G190" s="8"/>
      <c r="H190" s="8"/>
      <c r="I190" s="12"/>
      <c r="J190" s="8"/>
      <c r="K190" s="8"/>
      <c r="L190" s="12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3.15" x14ac:dyDescent="0.4">
      <c r="A191" s="12"/>
      <c r="B191" s="8"/>
      <c r="C191" s="8"/>
      <c r="D191" s="8"/>
      <c r="E191" s="8"/>
      <c r="F191" s="8"/>
      <c r="G191" s="8"/>
      <c r="H191" s="8"/>
      <c r="I191" s="12"/>
      <c r="J191" s="8"/>
      <c r="K191" s="8"/>
      <c r="L191" s="12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3.15" x14ac:dyDescent="0.4">
      <c r="A192" s="12"/>
      <c r="B192" s="8"/>
      <c r="C192" s="8"/>
      <c r="D192" s="8"/>
      <c r="E192" s="8"/>
      <c r="F192" s="8"/>
      <c r="G192" s="8"/>
      <c r="H192" s="8"/>
      <c r="I192" s="12"/>
      <c r="J192" s="8"/>
      <c r="K192" s="8"/>
      <c r="L192" s="12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3.15" x14ac:dyDescent="0.4">
      <c r="A193" s="12"/>
      <c r="B193" s="8"/>
      <c r="C193" s="8"/>
      <c r="D193" s="8"/>
      <c r="E193" s="8"/>
      <c r="F193" s="8"/>
      <c r="G193" s="8"/>
      <c r="H193" s="8"/>
      <c r="I193" s="12"/>
      <c r="J193" s="8"/>
      <c r="K193" s="8"/>
      <c r="L193" s="12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3.15" x14ac:dyDescent="0.4">
      <c r="A194" s="12"/>
      <c r="B194" s="8"/>
      <c r="C194" s="8"/>
      <c r="D194" s="8"/>
      <c r="E194" s="8"/>
      <c r="F194" s="8"/>
      <c r="G194" s="8"/>
      <c r="H194" s="8"/>
      <c r="I194" s="12"/>
      <c r="J194" s="8"/>
      <c r="K194" s="8"/>
      <c r="L194" s="12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3.15" x14ac:dyDescent="0.4">
      <c r="A195" s="12"/>
      <c r="B195" s="8"/>
      <c r="C195" s="8"/>
      <c r="D195" s="8"/>
      <c r="E195" s="8"/>
      <c r="F195" s="8"/>
      <c r="G195" s="8"/>
      <c r="H195" s="8"/>
      <c r="I195" s="12"/>
      <c r="J195" s="8"/>
      <c r="K195" s="8"/>
      <c r="L195" s="12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3.15" x14ac:dyDescent="0.4">
      <c r="A196" s="12"/>
      <c r="B196" s="8"/>
      <c r="C196" s="8"/>
      <c r="D196" s="8"/>
      <c r="E196" s="8"/>
      <c r="F196" s="8"/>
      <c r="G196" s="8"/>
      <c r="H196" s="8"/>
      <c r="I196" s="12"/>
      <c r="J196" s="8"/>
      <c r="K196" s="8"/>
      <c r="L196" s="12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3.15" x14ac:dyDescent="0.4">
      <c r="A197" s="12"/>
      <c r="B197" s="8"/>
      <c r="C197" s="8"/>
      <c r="D197" s="8"/>
      <c r="E197" s="8"/>
      <c r="F197" s="8"/>
      <c r="G197" s="8"/>
      <c r="H197" s="8"/>
      <c r="I197" s="12"/>
      <c r="J197" s="8"/>
      <c r="K197" s="8"/>
      <c r="L197" s="12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3.15" x14ac:dyDescent="0.4">
      <c r="A198" s="12"/>
      <c r="B198" s="8"/>
      <c r="C198" s="8"/>
      <c r="D198" s="8"/>
      <c r="E198" s="8"/>
      <c r="F198" s="8"/>
      <c r="G198" s="8"/>
      <c r="H198" s="8"/>
      <c r="I198" s="12"/>
      <c r="J198" s="8"/>
      <c r="K198" s="8"/>
      <c r="L198" s="12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3.15" x14ac:dyDescent="0.4">
      <c r="A199" s="12"/>
      <c r="B199" s="8"/>
      <c r="C199" s="8"/>
      <c r="D199" s="8"/>
      <c r="E199" s="8"/>
      <c r="F199" s="8"/>
      <c r="G199" s="8"/>
      <c r="H199" s="8"/>
      <c r="I199" s="12"/>
      <c r="J199" s="8"/>
      <c r="K199" s="8"/>
      <c r="L199" s="12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3.15" x14ac:dyDescent="0.4">
      <c r="A200" s="12"/>
      <c r="B200" s="8"/>
      <c r="C200" s="8"/>
      <c r="D200" s="8"/>
      <c r="E200" s="8"/>
      <c r="F200" s="8"/>
      <c r="G200" s="8"/>
      <c r="H200" s="8"/>
      <c r="I200" s="12"/>
      <c r="J200" s="8"/>
      <c r="K200" s="8"/>
      <c r="L200" s="12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3.15" x14ac:dyDescent="0.4">
      <c r="A201" s="12"/>
      <c r="B201" s="8"/>
      <c r="C201" s="8"/>
      <c r="D201" s="8"/>
      <c r="E201" s="8"/>
      <c r="F201" s="8"/>
      <c r="G201" s="8"/>
      <c r="H201" s="8"/>
      <c r="I201" s="12"/>
      <c r="J201" s="8"/>
      <c r="K201" s="8"/>
      <c r="L201" s="12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3.15" x14ac:dyDescent="0.4">
      <c r="A202" s="12"/>
      <c r="B202" s="8"/>
      <c r="C202" s="8"/>
      <c r="D202" s="8"/>
      <c r="E202" s="8"/>
      <c r="F202" s="8"/>
      <c r="G202" s="8"/>
      <c r="H202" s="8"/>
      <c r="I202" s="12"/>
      <c r="J202" s="8"/>
      <c r="K202" s="8"/>
      <c r="L202" s="12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3.15" x14ac:dyDescent="0.4">
      <c r="A203" s="12"/>
      <c r="B203" s="8"/>
      <c r="C203" s="8"/>
      <c r="D203" s="8"/>
      <c r="E203" s="8"/>
      <c r="F203" s="8"/>
      <c r="G203" s="8"/>
      <c r="H203" s="8"/>
      <c r="I203" s="12"/>
      <c r="J203" s="8"/>
      <c r="K203" s="8"/>
      <c r="L203" s="12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3.15" x14ac:dyDescent="0.4">
      <c r="A204" s="12"/>
      <c r="B204" s="8"/>
      <c r="C204" s="8"/>
      <c r="D204" s="8"/>
      <c r="E204" s="8"/>
      <c r="F204" s="8"/>
      <c r="G204" s="8"/>
      <c r="H204" s="8"/>
      <c r="I204" s="12"/>
      <c r="J204" s="8"/>
      <c r="K204" s="8"/>
      <c r="L204" s="12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3.15" x14ac:dyDescent="0.4">
      <c r="A205" s="12"/>
      <c r="B205" s="8"/>
      <c r="C205" s="8"/>
      <c r="D205" s="8"/>
      <c r="E205" s="8"/>
      <c r="F205" s="8"/>
      <c r="G205" s="8"/>
      <c r="H205" s="8"/>
      <c r="I205" s="12"/>
      <c r="J205" s="8"/>
      <c r="K205" s="8"/>
      <c r="L205" s="12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3.15" x14ac:dyDescent="0.4">
      <c r="A206" s="12"/>
      <c r="B206" s="8"/>
      <c r="C206" s="8"/>
      <c r="D206" s="8"/>
      <c r="E206" s="8"/>
      <c r="F206" s="8"/>
      <c r="G206" s="8"/>
      <c r="H206" s="8"/>
      <c r="I206" s="12"/>
      <c r="J206" s="8"/>
      <c r="K206" s="8"/>
      <c r="L206" s="12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3.15" x14ac:dyDescent="0.4">
      <c r="A207" s="12"/>
      <c r="B207" s="8"/>
      <c r="C207" s="8"/>
      <c r="D207" s="8"/>
      <c r="E207" s="8"/>
      <c r="F207" s="8"/>
      <c r="G207" s="8"/>
      <c r="H207" s="8"/>
      <c r="I207" s="12"/>
      <c r="J207" s="8"/>
      <c r="K207" s="8"/>
      <c r="L207" s="12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3.15" x14ac:dyDescent="0.4">
      <c r="A208" s="12"/>
      <c r="B208" s="8"/>
      <c r="C208" s="8"/>
      <c r="D208" s="8"/>
      <c r="E208" s="8"/>
      <c r="F208" s="8"/>
      <c r="G208" s="8"/>
      <c r="H208" s="8"/>
      <c r="I208" s="12"/>
      <c r="J208" s="8"/>
      <c r="K208" s="8"/>
      <c r="L208" s="12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3.15" x14ac:dyDescent="0.4">
      <c r="A209" s="12"/>
      <c r="B209" s="8"/>
      <c r="C209" s="8"/>
      <c r="D209" s="8"/>
      <c r="E209" s="8"/>
      <c r="F209" s="8"/>
      <c r="G209" s="8"/>
      <c r="H209" s="8"/>
      <c r="I209" s="12"/>
      <c r="J209" s="8"/>
      <c r="K209" s="8"/>
      <c r="L209" s="12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3.15" x14ac:dyDescent="0.4">
      <c r="A210" s="12"/>
      <c r="B210" s="8"/>
      <c r="C210" s="8"/>
      <c r="D210" s="8"/>
      <c r="E210" s="8"/>
      <c r="F210" s="8"/>
      <c r="G210" s="8"/>
      <c r="H210" s="8"/>
      <c r="I210" s="12"/>
      <c r="J210" s="8"/>
      <c r="K210" s="8"/>
      <c r="L210" s="12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3.15" x14ac:dyDescent="0.4">
      <c r="A211" s="12"/>
      <c r="B211" s="8"/>
      <c r="C211" s="8"/>
      <c r="D211" s="8"/>
      <c r="E211" s="8"/>
      <c r="F211" s="8"/>
      <c r="G211" s="8"/>
      <c r="H211" s="8"/>
      <c r="I211" s="12"/>
      <c r="J211" s="8"/>
      <c r="K211" s="8"/>
      <c r="L211" s="12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3.15" x14ac:dyDescent="0.4">
      <c r="A212" s="12"/>
      <c r="B212" s="8"/>
      <c r="C212" s="8"/>
      <c r="D212" s="8"/>
      <c r="E212" s="8"/>
      <c r="F212" s="8"/>
      <c r="G212" s="8"/>
      <c r="H212" s="8"/>
      <c r="I212" s="12"/>
      <c r="J212" s="8"/>
      <c r="K212" s="8"/>
      <c r="L212" s="12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3.15" x14ac:dyDescent="0.4">
      <c r="A213" s="12"/>
      <c r="B213" s="8"/>
      <c r="C213" s="8"/>
      <c r="D213" s="8"/>
      <c r="E213" s="8"/>
      <c r="F213" s="8"/>
      <c r="G213" s="8"/>
      <c r="H213" s="8"/>
      <c r="I213" s="12"/>
      <c r="J213" s="8"/>
      <c r="K213" s="8"/>
      <c r="L213" s="12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3.15" x14ac:dyDescent="0.4">
      <c r="A214" s="12"/>
      <c r="B214" s="8"/>
      <c r="C214" s="8"/>
      <c r="D214" s="8"/>
      <c r="E214" s="8"/>
      <c r="F214" s="8"/>
      <c r="G214" s="8"/>
      <c r="H214" s="8"/>
      <c r="I214" s="12"/>
      <c r="J214" s="8"/>
      <c r="K214" s="8"/>
      <c r="L214" s="12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3.15" x14ac:dyDescent="0.4">
      <c r="A215" s="12"/>
      <c r="B215" s="8"/>
      <c r="C215" s="8"/>
      <c r="D215" s="8"/>
      <c r="E215" s="8"/>
      <c r="F215" s="8"/>
      <c r="G215" s="8"/>
      <c r="H215" s="8"/>
      <c r="I215" s="12"/>
      <c r="J215" s="8"/>
      <c r="K215" s="8"/>
      <c r="L215" s="12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3.15" x14ac:dyDescent="0.4">
      <c r="A216" s="12"/>
      <c r="B216" s="8"/>
      <c r="C216" s="8"/>
      <c r="D216" s="8"/>
      <c r="E216" s="8"/>
      <c r="F216" s="8"/>
      <c r="G216" s="8"/>
      <c r="H216" s="8"/>
      <c r="I216" s="12"/>
      <c r="J216" s="8"/>
      <c r="K216" s="8"/>
      <c r="L216" s="12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3.15" x14ac:dyDescent="0.4">
      <c r="A217" s="12"/>
      <c r="B217" s="8"/>
      <c r="C217" s="8"/>
      <c r="D217" s="8"/>
      <c r="E217" s="8"/>
      <c r="F217" s="8"/>
      <c r="G217" s="8"/>
      <c r="H217" s="8"/>
      <c r="I217" s="12"/>
      <c r="J217" s="8"/>
      <c r="K217" s="8"/>
      <c r="L217" s="12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3.15" x14ac:dyDescent="0.4">
      <c r="A218" s="12"/>
      <c r="B218" s="8"/>
      <c r="C218" s="8"/>
      <c r="D218" s="8"/>
      <c r="E218" s="8"/>
      <c r="F218" s="8"/>
      <c r="G218" s="8"/>
      <c r="H218" s="8"/>
      <c r="I218" s="12"/>
      <c r="J218" s="8"/>
      <c r="K218" s="8"/>
      <c r="L218" s="12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3.15" x14ac:dyDescent="0.4">
      <c r="A219" s="12"/>
      <c r="B219" s="8"/>
      <c r="C219" s="8"/>
      <c r="D219" s="8"/>
      <c r="E219" s="8"/>
      <c r="F219" s="8"/>
      <c r="G219" s="8"/>
      <c r="H219" s="8"/>
      <c r="I219" s="12"/>
      <c r="J219" s="8"/>
      <c r="K219" s="8"/>
      <c r="L219" s="12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3.15" x14ac:dyDescent="0.4">
      <c r="A220" s="12"/>
      <c r="B220" s="8"/>
      <c r="C220" s="8"/>
      <c r="D220" s="8"/>
      <c r="E220" s="8"/>
      <c r="F220" s="8"/>
      <c r="G220" s="8"/>
      <c r="H220" s="8"/>
      <c r="I220" s="12"/>
      <c r="J220" s="8"/>
      <c r="K220" s="8"/>
      <c r="L220" s="12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3.15" x14ac:dyDescent="0.4">
      <c r="A221" s="12"/>
      <c r="B221" s="8"/>
      <c r="C221" s="8"/>
      <c r="D221" s="8"/>
      <c r="E221" s="8"/>
      <c r="F221" s="8"/>
      <c r="G221" s="8"/>
      <c r="H221" s="8"/>
      <c r="I221" s="12"/>
      <c r="J221" s="8"/>
      <c r="K221" s="8"/>
      <c r="L221" s="12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3.15" x14ac:dyDescent="0.4">
      <c r="A222" s="12"/>
      <c r="B222" s="8"/>
      <c r="C222" s="8"/>
      <c r="D222" s="8"/>
      <c r="E222" s="8"/>
      <c r="F222" s="8"/>
      <c r="G222" s="8"/>
      <c r="H222" s="8"/>
      <c r="I222" s="12"/>
      <c r="J222" s="8"/>
      <c r="K222" s="8"/>
      <c r="L222" s="12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3.15" x14ac:dyDescent="0.4">
      <c r="A223" s="12"/>
      <c r="B223" s="8"/>
      <c r="C223" s="8"/>
      <c r="D223" s="8"/>
      <c r="E223" s="8"/>
      <c r="F223" s="8"/>
      <c r="G223" s="8"/>
      <c r="H223" s="8"/>
      <c r="I223" s="12"/>
      <c r="J223" s="8"/>
      <c r="K223" s="8"/>
      <c r="L223" s="12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3.15" x14ac:dyDescent="0.4">
      <c r="A224" s="12"/>
      <c r="B224" s="8"/>
      <c r="C224" s="8"/>
      <c r="D224" s="8"/>
      <c r="E224" s="8"/>
      <c r="F224" s="8"/>
      <c r="G224" s="8"/>
      <c r="H224" s="8"/>
      <c r="I224" s="12"/>
      <c r="J224" s="8"/>
      <c r="K224" s="8"/>
      <c r="L224" s="12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3.15" x14ac:dyDescent="0.4">
      <c r="A225" s="12"/>
      <c r="B225" s="8"/>
      <c r="C225" s="8"/>
      <c r="D225" s="8"/>
      <c r="E225" s="8"/>
      <c r="F225" s="8"/>
      <c r="G225" s="8"/>
      <c r="H225" s="8"/>
      <c r="I225" s="12"/>
      <c r="J225" s="8"/>
      <c r="K225" s="8"/>
      <c r="L225" s="12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3.15" x14ac:dyDescent="0.4">
      <c r="A226" s="12"/>
      <c r="B226" s="8"/>
      <c r="C226" s="8"/>
      <c r="D226" s="8"/>
      <c r="E226" s="8"/>
      <c r="F226" s="8"/>
      <c r="G226" s="8"/>
      <c r="H226" s="8"/>
      <c r="I226" s="12"/>
      <c r="J226" s="8"/>
      <c r="K226" s="8"/>
      <c r="L226" s="12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3.15" x14ac:dyDescent="0.4">
      <c r="A227" s="12"/>
      <c r="B227" s="8"/>
      <c r="C227" s="8"/>
      <c r="D227" s="8"/>
      <c r="E227" s="8"/>
      <c r="F227" s="8"/>
      <c r="G227" s="8"/>
      <c r="H227" s="8"/>
      <c r="I227" s="12"/>
      <c r="J227" s="8"/>
      <c r="K227" s="8"/>
      <c r="L227" s="12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3.15" x14ac:dyDescent="0.4">
      <c r="A228" s="12"/>
      <c r="B228" s="8"/>
      <c r="C228" s="8"/>
      <c r="D228" s="8"/>
      <c r="E228" s="8"/>
      <c r="F228" s="8"/>
      <c r="G228" s="8"/>
      <c r="H228" s="8"/>
      <c r="I228" s="12"/>
      <c r="J228" s="8"/>
      <c r="K228" s="8"/>
      <c r="L228" s="12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3.15" x14ac:dyDescent="0.4">
      <c r="A229" s="12"/>
      <c r="B229" s="8"/>
      <c r="C229" s="8"/>
      <c r="D229" s="8"/>
      <c r="E229" s="8"/>
      <c r="F229" s="8"/>
      <c r="G229" s="8"/>
      <c r="H229" s="8"/>
      <c r="I229" s="12"/>
      <c r="J229" s="8"/>
      <c r="K229" s="8"/>
      <c r="L229" s="12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3.15" x14ac:dyDescent="0.4">
      <c r="A230" s="12"/>
      <c r="B230" s="8"/>
      <c r="C230" s="8"/>
      <c r="D230" s="8"/>
      <c r="E230" s="8"/>
      <c r="F230" s="8"/>
      <c r="G230" s="8"/>
      <c r="H230" s="8"/>
      <c r="I230" s="12"/>
      <c r="J230" s="8"/>
      <c r="K230" s="8"/>
      <c r="L230" s="12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3.15" x14ac:dyDescent="0.4">
      <c r="A231" s="12"/>
      <c r="B231" s="8"/>
      <c r="C231" s="8"/>
      <c r="D231" s="8"/>
      <c r="E231" s="8"/>
      <c r="F231" s="8"/>
      <c r="G231" s="8"/>
      <c r="H231" s="8"/>
      <c r="I231" s="12"/>
      <c r="J231" s="8"/>
      <c r="K231" s="8"/>
      <c r="L231" s="12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3.15" x14ac:dyDescent="0.4">
      <c r="A232" s="12"/>
      <c r="B232" s="8"/>
      <c r="C232" s="8"/>
      <c r="D232" s="8"/>
      <c r="E232" s="8"/>
      <c r="F232" s="8"/>
      <c r="G232" s="8"/>
      <c r="H232" s="8"/>
      <c r="I232" s="12"/>
      <c r="J232" s="8"/>
      <c r="K232" s="8"/>
      <c r="L232" s="12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3.15" x14ac:dyDescent="0.4">
      <c r="A233" s="12"/>
      <c r="B233" s="8"/>
      <c r="C233" s="8"/>
      <c r="D233" s="8"/>
      <c r="E233" s="8"/>
      <c r="F233" s="8"/>
      <c r="G233" s="8"/>
      <c r="H233" s="8"/>
      <c r="I233" s="12"/>
      <c r="J233" s="8"/>
      <c r="K233" s="8"/>
      <c r="L233" s="12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3.15" x14ac:dyDescent="0.4">
      <c r="A234" s="12"/>
      <c r="B234" s="8"/>
      <c r="C234" s="8"/>
      <c r="D234" s="8"/>
      <c r="E234" s="8"/>
      <c r="F234" s="8"/>
      <c r="G234" s="8"/>
      <c r="H234" s="8"/>
      <c r="I234" s="12"/>
      <c r="J234" s="8"/>
      <c r="K234" s="8"/>
      <c r="L234" s="12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3.15" x14ac:dyDescent="0.4">
      <c r="A235" s="12"/>
      <c r="B235" s="8"/>
      <c r="C235" s="8"/>
      <c r="D235" s="8"/>
      <c r="E235" s="8"/>
      <c r="F235" s="8"/>
      <c r="G235" s="8"/>
      <c r="H235" s="8"/>
      <c r="I235" s="12"/>
      <c r="J235" s="8"/>
      <c r="K235" s="8"/>
      <c r="L235" s="12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3.15" x14ac:dyDescent="0.4">
      <c r="A236" s="12"/>
      <c r="B236" s="8"/>
      <c r="C236" s="8"/>
      <c r="D236" s="8"/>
      <c r="E236" s="8"/>
      <c r="F236" s="8"/>
      <c r="G236" s="8"/>
      <c r="H236" s="8"/>
      <c r="I236" s="12"/>
      <c r="J236" s="8"/>
      <c r="K236" s="8"/>
      <c r="L236" s="12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3.15" x14ac:dyDescent="0.4">
      <c r="A237" s="12"/>
      <c r="B237" s="8"/>
      <c r="C237" s="8"/>
      <c r="D237" s="8"/>
      <c r="E237" s="8"/>
      <c r="F237" s="8"/>
      <c r="G237" s="8"/>
      <c r="H237" s="8"/>
      <c r="I237" s="12"/>
      <c r="J237" s="8"/>
      <c r="K237" s="8"/>
      <c r="L237" s="12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3.15" x14ac:dyDescent="0.4">
      <c r="A238" s="12"/>
      <c r="B238" s="8"/>
      <c r="C238" s="8"/>
      <c r="D238" s="8"/>
      <c r="E238" s="8"/>
      <c r="F238" s="8"/>
      <c r="G238" s="8"/>
      <c r="H238" s="8"/>
      <c r="I238" s="12"/>
      <c r="J238" s="8"/>
      <c r="K238" s="8"/>
      <c r="L238" s="12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3.15" x14ac:dyDescent="0.4">
      <c r="A239" s="12"/>
      <c r="B239" s="8"/>
      <c r="C239" s="8"/>
      <c r="D239" s="8"/>
      <c r="E239" s="8"/>
      <c r="F239" s="8"/>
      <c r="G239" s="8"/>
      <c r="H239" s="8"/>
      <c r="I239" s="12"/>
      <c r="J239" s="8"/>
      <c r="K239" s="8"/>
      <c r="L239" s="12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3.15" x14ac:dyDescent="0.4">
      <c r="A240" s="12"/>
      <c r="B240" s="8"/>
      <c r="C240" s="8"/>
      <c r="D240" s="8"/>
      <c r="E240" s="8"/>
      <c r="F240" s="8"/>
      <c r="G240" s="8"/>
      <c r="H240" s="8"/>
      <c r="I240" s="12"/>
      <c r="J240" s="8"/>
      <c r="K240" s="8"/>
      <c r="L240" s="12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3.15" x14ac:dyDescent="0.4">
      <c r="A241" s="12"/>
      <c r="B241" s="8"/>
      <c r="C241" s="8"/>
      <c r="D241" s="8"/>
      <c r="E241" s="8"/>
      <c r="F241" s="8"/>
      <c r="G241" s="8"/>
      <c r="H241" s="8"/>
      <c r="I241" s="12"/>
      <c r="J241" s="8"/>
      <c r="K241" s="8"/>
      <c r="L241" s="12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3.15" x14ac:dyDescent="0.4">
      <c r="A242" s="12"/>
      <c r="B242" s="8"/>
      <c r="C242" s="8"/>
      <c r="D242" s="8"/>
      <c r="E242" s="8"/>
      <c r="F242" s="8"/>
      <c r="G242" s="8"/>
      <c r="H242" s="8"/>
      <c r="I242" s="12"/>
      <c r="J242" s="8"/>
      <c r="K242" s="8"/>
      <c r="L242" s="12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3.15" x14ac:dyDescent="0.4">
      <c r="A243" s="12"/>
      <c r="B243" s="8"/>
      <c r="C243" s="8"/>
      <c r="D243" s="8"/>
      <c r="E243" s="8"/>
      <c r="F243" s="8"/>
      <c r="G243" s="8"/>
      <c r="H243" s="8"/>
      <c r="I243" s="12"/>
      <c r="J243" s="8"/>
      <c r="K243" s="8"/>
      <c r="L243" s="12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3.15" x14ac:dyDescent="0.4">
      <c r="A244" s="12"/>
      <c r="B244" s="8"/>
      <c r="C244" s="8"/>
      <c r="D244" s="8"/>
      <c r="E244" s="8"/>
      <c r="F244" s="8"/>
      <c r="G244" s="8"/>
      <c r="H244" s="8"/>
      <c r="I244" s="12"/>
      <c r="J244" s="8"/>
      <c r="K244" s="8"/>
      <c r="L244" s="12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3.15" x14ac:dyDescent="0.4">
      <c r="A245" s="12"/>
      <c r="B245" s="8"/>
      <c r="C245" s="8"/>
      <c r="D245" s="8"/>
      <c r="E245" s="8"/>
      <c r="F245" s="8"/>
      <c r="G245" s="8"/>
      <c r="H245" s="8"/>
      <c r="I245" s="12"/>
      <c r="J245" s="8"/>
      <c r="K245" s="8"/>
      <c r="L245" s="12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3.15" x14ac:dyDescent="0.4">
      <c r="A246" s="12"/>
      <c r="B246" s="8"/>
      <c r="C246" s="8"/>
      <c r="D246" s="8"/>
      <c r="E246" s="8"/>
      <c r="F246" s="8"/>
      <c r="G246" s="8"/>
      <c r="H246" s="8"/>
      <c r="I246" s="12"/>
      <c r="J246" s="8"/>
      <c r="K246" s="8"/>
      <c r="L246" s="12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3.15" x14ac:dyDescent="0.4">
      <c r="A247" s="12"/>
      <c r="B247" s="8"/>
      <c r="C247" s="8"/>
      <c r="D247" s="8"/>
      <c r="E247" s="8"/>
      <c r="F247" s="8"/>
      <c r="G247" s="8"/>
      <c r="H247" s="8"/>
      <c r="I247" s="12"/>
      <c r="J247" s="8"/>
      <c r="K247" s="8"/>
      <c r="L247" s="12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3.15" x14ac:dyDescent="0.4">
      <c r="A248" s="12"/>
      <c r="B248" s="8"/>
      <c r="C248" s="8"/>
      <c r="D248" s="8"/>
      <c r="E248" s="8"/>
      <c r="F248" s="8"/>
      <c r="G248" s="8"/>
      <c r="H248" s="8"/>
      <c r="I248" s="12"/>
      <c r="J248" s="8"/>
      <c r="K248" s="8"/>
      <c r="L248" s="12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3.15" x14ac:dyDescent="0.4">
      <c r="A249" s="12"/>
      <c r="B249" s="8"/>
      <c r="C249" s="8"/>
      <c r="D249" s="8"/>
      <c r="E249" s="8"/>
      <c r="F249" s="8"/>
      <c r="G249" s="8"/>
      <c r="H249" s="8"/>
      <c r="I249" s="12"/>
      <c r="J249" s="8"/>
      <c r="K249" s="8"/>
      <c r="L249" s="12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3.15" x14ac:dyDescent="0.4">
      <c r="A250" s="12"/>
      <c r="B250" s="8"/>
      <c r="C250" s="8"/>
      <c r="D250" s="8"/>
      <c r="E250" s="8"/>
      <c r="F250" s="8"/>
      <c r="G250" s="8"/>
      <c r="H250" s="8"/>
      <c r="I250" s="12"/>
      <c r="J250" s="8"/>
      <c r="K250" s="8"/>
      <c r="L250" s="12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3.15" x14ac:dyDescent="0.4">
      <c r="A251" s="12"/>
      <c r="B251" s="8"/>
      <c r="C251" s="8"/>
      <c r="D251" s="8"/>
      <c r="E251" s="8"/>
      <c r="F251" s="8"/>
      <c r="G251" s="8"/>
      <c r="H251" s="8"/>
      <c r="I251" s="12"/>
      <c r="J251" s="8"/>
      <c r="K251" s="8"/>
      <c r="L251" s="12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3.15" x14ac:dyDescent="0.4">
      <c r="A252" s="12"/>
      <c r="B252" s="8"/>
      <c r="C252" s="8"/>
      <c r="D252" s="8"/>
      <c r="E252" s="8"/>
      <c r="F252" s="8"/>
      <c r="G252" s="8"/>
      <c r="H252" s="8"/>
      <c r="I252" s="12"/>
      <c r="J252" s="8"/>
      <c r="K252" s="8"/>
      <c r="L252" s="12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3.15" x14ac:dyDescent="0.4">
      <c r="A253" s="12"/>
      <c r="B253" s="8"/>
      <c r="C253" s="8"/>
      <c r="D253" s="8"/>
      <c r="E253" s="8"/>
      <c r="F253" s="8"/>
      <c r="G253" s="8"/>
      <c r="H253" s="8"/>
      <c r="I253" s="12"/>
      <c r="J253" s="8"/>
      <c r="K253" s="8"/>
      <c r="L253" s="12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3.15" x14ac:dyDescent="0.4">
      <c r="A254" s="12"/>
      <c r="B254" s="8"/>
      <c r="C254" s="8"/>
      <c r="D254" s="8"/>
      <c r="E254" s="8"/>
      <c r="F254" s="8"/>
      <c r="G254" s="8"/>
      <c r="H254" s="8"/>
      <c r="I254" s="12"/>
      <c r="J254" s="8"/>
      <c r="K254" s="8"/>
      <c r="L254" s="12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3.15" x14ac:dyDescent="0.4">
      <c r="A255" s="12"/>
      <c r="B255" s="8"/>
      <c r="C255" s="8"/>
      <c r="D255" s="8"/>
      <c r="E255" s="8"/>
      <c r="F255" s="8"/>
      <c r="G255" s="8"/>
      <c r="H255" s="8"/>
      <c r="I255" s="12"/>
      <c r="J255" s="8"/>
      <c r="K255" s="8"/>
      <c r="L255" s="12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3.15" x14ac:dyDescent="0.4">
      <c r="A256" s="12"/>
      <c r="B256" s="8"/>
      <c r="C256" s="8"/>
      <c r="D256" s="8"/>
      <c r="E256" s="8"/>
      <c r="F256" s="8"/>
      <c r="G256" s="8"/>
      <c r="H256" s="8"/>
      <c r="I256" s="12"/>
      <c r="J256" s="8"/>
      <c r="K256" s="8"/>
      <c r="L256" s="12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3.15" x14ac:dyDescent="0.4">
      <c r="A257" s="12"/>
      <c r="B257" s="8"/>
      <c r="C257" s="8"/>
      <c r="D257" s="8"/>
      <c r="E257" s="8"/>
      <c r="F257" s="8"/>
      <c r="G257" s="8"/>
      <c r="H257" s="8"/>
      <c r="I257" s="12"/>
      <c r="J257" s="8"/>
      <c r="K257" s="8"/>
      <c r="L257" s="12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3.15" x14ac:dyDescent="0.4">
      <c r="A258" s="12"/>
      <c r="B258" s="8"/>
      <c r="C258" s="8"/>
      <c r="D258" s="8"/>
      <c r="E258" s="8"/>
      <c r="F258" s="8"/>
      <c r="G258" s="8"/>
      <c r="H258" s="8"/>
      <c r="I258" s="12"/>
      <c r="J258" s="8"/>
      <c r="K258" s="8"/>
      <c r="L258" s="12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3.15" x14ac:dyDescent="0.4">
      <c r="A259" s="12"/>
      <c r="B259" s="8"/>
      <c r="C259" s="8"/>
      <c r="D259" s="8"/>
      <c r="E259" s="8"/>
      <c r="F259" s="8"/>
      <c r="G259" s="8"/>
      <c r="H259" s="8"/>
      <c r="I259" s="12"/>
      <c r="J259" s="8"/>
      <c r="K259" s="8"/>
      <c r="L259" s="12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3.15" x14ac:dyDescent="0.4">
      <c r="A260" s="12"/>
      <c r="B260" s="8"/>
      <c r="C260" s="8"/>
      <c r="D260" s="8"/>
      <c r="E260" s="8"/>
      <c r="F260" s="8"/>
      <c r="G260" s="8"/>
      <c r="H260" s="8"/>
      <c r="I260" s="12"/>
      <c r="J260" s="8"/>
      <c r="K260" s="8"/>
      <c r="L260" s="12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3.15" x14ac:dyDescent="0.4">
      <c r="A261" s="12"/>
      <c r="B261" s="8"/>
      <c r="C261" s="8"/>
      <c r="D261" s="8"/>
      <c r="E261" s="8"/>
      <c r="F261" s="8"/>
      <c r="G261" s="8"/>
      <c r="H261" s="8"/>
      <c r="I261" s="12"/>
      <c r="J261" s="8"/>
      <c r="K261" s="8"/>
      <c r="L261" s="12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3.15" x14ac:dyDescent="0.4">
      <c r="A262" s="12"/>
      <c r="B262" s="8"/>
      <c r="C262" s="8"/>
      <c r="D262" s="8"/>
      <c r="E262" s="8"/>
      <c r="F262" s="8"/>
      <c r="G262" s="8"/>
      <c r="H262" s="8"/>
      <c r="I262" s="12"/>
      <c r="J262" s="8"/>
      <c r="K262" s="8"/>
      <c r="L262" s="12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3.15" x14ac:dyDescent="0.4">
      <c r="A263" s="12"/>
      <c r="B263" s="8"/>
      <c r="C263" s="8"/>
      <c r="D263" s="8"/>
      <c r="E263" s="8"/>
      <c r="F263" s="8"/>
      <c r="G263" s="8"/>
      <c r="H263" s="8"/>
      <c r="I263" s="12"/>
      <c r="J263" s="8"/>
      <c r="K263" s="8"/>
      <c r="L263" s="12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3.15" x14ac:dyDescent="0.4">
      <c r="A264" s="12"/>
      <c r="B264" s="8"/>
      <c r="C264" s="8"/>
      <c r="D264" s="8"/>
      <c r="E264" s="8"/>
      <c r="F264" s="8"/>
      <c r="G264" s="8"/>
      <c r="H264" s="8"/>
      <c r="I264" s="12"/>
      <c r="J264" s="8"/>
      <c r="K264" s="8"/>
      <c r="L264" s="12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3.15" x14ac:dyDescent="0.4">
      <c r="A265" s="12"/>
      <c r="B265" s="8"/>
      <c r="C265" s="8"/>
      <c r="D265" s="8"/>
      <c r="E265" s="8"/>
      <c r="F265" s="8"/>
      <c r="G265" s="8"/>
      <c r="H265" s="8"/>
      <c r="I265" s="12"/>
      <c r="J265" s="8"/>
      <c r="K265" s="8"/>
      <c r="L265" s="12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3.15" x14ac:dyDescent="0.4">
      <c r="A266" s="12"/>
      <c r="B266" s="8"/>
      <c r="C266" s="8"/>
      <c r="D266" s="8"/>
      <c r="E266" s="8"/>
      <c r="F266" s="8"/>
      <c r="G266" s="8"/>
      <c r="H266" s="8"/>
      <c r="I266" s="12"/>
      <c r="J266" s="8"/>
      <c r="K266" s="8"/>
      <c r="L266" s="12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3.15" x14ac:dyDescent="0.4">
      <c r="A267" s="12"/>
      <c r="B267" s="8"/>
      <c r="C267" s="8"/>
      <c r="D267" s="8"/>
      <c r="E267" s="8"/>
      <c r="F267" s="8"/>
      <c r="G267" s="8"/>
      <c r="H267" s="8"/>
      <c r="I267" s="12"/>
      <c r="J267" s="8"/>
      <c r="K267" s="8"/>
      <c r="L267" s="12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3.15" x14ac:dyDescent="0.4">
      <c r="A268" s="12"/>
      <c r="B268" s="8"/>
      <c r="C268" s="8"/>
      <c r="D268" s="8"/>
      <c r="E268" s="8"/>
      <c r="F268" s="8"/>
      <c r="G268" s="8"/>
      <c r="H268" s="8"/>
      <c r="I268" s="12"/>
      <c r="J268" s="8"/>
      <c r="K268" s="8"/>
      <c r="L268" s="12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3.15" x14ac:dyDescent="0.4">
      <c r="A269" s="12"/>
      <c r="B269" s="8"/>
      <c r="C269" s="8"/>
      <c r="D269" s="8"/>
      <c r="E269" s="8"/>
      <c r="F269" s="8"/>
      <c r="G269" s="8"/>
      <c r="H269" s="8"/>
      <c r="I269" s="12"/>
      <c r="J269" s="8"/>
      <c r="K269" s="8"/>
      <c r="L269" s="12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3.15" x14ac:dyDescent="0.4">
      <c r="A270" s="12"/>
      <c r="B270" s="8"/>
      <c r="C270" s="8"/>
      <c r="D270" s="8"/>
      <c r="E270" s="8"/>
      <c r="F270" s="8"/>
      <c r="G270" s="8"/>
      <c r="H270" s="8"/>
      <c r="I270" s="12"/>
      <c r="J270" s="8"/>
      <c r="K270" s="8"/>
      <c r="L270" s="12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3.15" x14ac:dyDescent="0.4">
      <c r="A271" s="12"/>
      <c r="B271" s="8"/>
      <c r="C271" s="8"/>
      <c r="D271" s="8"/>
      <c r="E271" s="8"/>
      <c r="F271" s="8"/>
      <c r="G271" s="8"/>
      <c r="H271" s="8"/>
      <c r="I271" s="12"/>
      <c r="J271" s="8"/>
      <c r="K271" s="8"/>
      <c r="L271" s="12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3.15" x14ac:dyDescent="0.4">
      <c r="A272" s="12"/>
      <c r="B272" s="8"/>
      <c r="C272" s="8"/>
      <c r="D272" s="8"/>
      <c r="E272" s="8"/>
      <c r="F272" s="8"/>
      <c r="G272" s="8"/>
      <c r="H272" s="8"/>
      <c r="I272" s="12"/>
      <c r="J272" s="8"/>
      <c r="K272" s="8"/>
      <c r="L272" s="12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3.15" x14ac:dyDescent="0.4">
      <c r="A273" s="12"/>
      <c r="B273" s="8"/>
      <c r="C273" s="8"/>
      <c r="D273" s="8"/>
      <c r="E273" s="8"/>
      <c r="F273" s="8"/>
      <c r="G273" s="8"/>
      <c r="H273" s="8"/>
      <c r="I273" s="12"/>
      <c r="J273" s="8"/>
      <c r="K273" s="8"/>
      <c r="L273" s="12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3.15" x14ac:dyDescent="0.4">
      <c r="A274" s="12"/>
      <c r="B274" s="8"/>
      <c r="C274" s="8"/>
      <c r="D274" s="8"/>
      <c r="E274" s="8"/>
      <c r="F274" s="8"/>
      <c r="G274" s="8"/>
      <c r="H274" s="8"/>
      <c r="I274" s="12"/>
      <c r="J274" s="8"/>
      <c r="K274" s="8"/>
      <c r="L274" s="12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3.15" x14ac:dyDescent="0.4">
      <c r="A275" s="12"/>
      <c r="B275" s="8"/>
      <c r="C275" s="8"/>
      <c r="D275" s="8"/>
      <c r="E275" s="8"/>
      <c r="F275" s="8"/>
      <c r="G275" s="8"/>
      <c r="H275" s="8"/>
      <c r="I275" s="12"/>
      <c r="J275" s="8"/>
      <c r="K275" s="8"/>
      <c r="L275" s="12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3.15" x14ac:dyDescent="0.4">
      <c r="A276" s="12"/>
      <c r="B276" s="8"/>
      <c r="C276" s="8"/>
      <c r="D276" s="8"/>
      <c r="E276" s="8"/>
      <c r="F276" s="8"/>
      <c r="G276" s="8"/>
      <c r="H276" s="8"/>
      <c r="I276" s="12"/>
      <c r="J276" s="8"/>
      <c r="K276" s="8"/>
      <c r="L276" s="12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3.15" x14ac:dyDescent="0.4">
      <c r="A277" s="12"/>
      <c r="B277" s="8"/>
      <c r="C277" s="8"/>
      <c r="D277" s="8"/>
      <c r="E277" s="8"/>
      <c r="F277" s="8"/>
      <c r="G277" s="8"/>
      <c r="H277" s="8"/>
      <c r="I277" s="12"/>
      <c r="J277" s="8"/>
      <c r="K277" s="8"/>
      <c r="L277" s="12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3.15" x14ac:dyDescent="0.4">
      <c r="A278" s="12"/>
      <c r="B278" s="8"/>
      <c r="C278" s="8"/>
      <c r="D278" s="8"/>
      <c r="E278" s="8"/>
      <c r="F278" s="8"/>
      <c r="G278" s="8"/>
      <c r="H278" s="8"/>
      <c r="I278" s="12"/>
      <c r="J278" s="8"/>
      <c r="K278" s="8"/>
      <c r="L278" s="12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3.15" x14ac:dyDescent="0.4">
      <c r="A279" s="12"/>
      <c r="B279" s="8"/>
      <c r="C279" s="8"/>
      <c r="D279" s="8"/>
      <c r="E279" s="8"/>
      <c r="F279" s="8"/>
      <c r="G279" s="8"/>
      <c r="H279" s="8"/>
      <c r="I279" s="12"/>
      <c r="J279" s="8"/>
      <c r="K279" s="8"/>
      <c r="L279" s="12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3.15" x14ac:dyDescent="0.4">
      <c r="A280" s="12"/>
      <c r="B280" s="8"/>
      <c r="C280" s="8"/>
      <c r="D280" s="8"/>
      <c r="E280" s="8"/>
      <c r="F280" s="8"/>
      <c r="G280" s="8"/>
      <c r="H280" s="8"/>
      <c r="I280" s="12"/>
      <c r="J280" s="8"/>
      <c r="K280" s="8"/>
      <c r="L280" s="12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3.15" x14ac:dyDescent="0.4">
      <c r="A281" s="12"/>
      <c r="B281" s="8"/>
      <c r="C281" s="8"/>
      <c r="D281" s="8"/>
      <c r="E281" s="8"/>
      <c r="F281" s="8"/>
      <c r="G281" s="8"/>
      <c r="H281" s="8"/>
      <c r="I281" s="12"/>
      <c r="J281" s="8"/>
      <c r="K281" s="8"/>
      <c r="L281" s="12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3.15" x14ac:dyDescent="0.4">
      <c r="A282" s="12"/>
      <c r="B282" s="8"/>
      <c r="C282" s="8"/>
      <c r="D282" s="8"/>
      <c r="E282" s="8"/>
      <c r="F282" s="8"/>
      <c r="G282" s="8"/>
      <c r="H282" s="8"/>
      <c r="I282" s="12"/>
      <c r="J282" s="8"/>
      <c r="K282" s="8"/>
      <c r="L282" s="12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3.15" x14ac:dyDescent="0.4">
      <c r="A283" s="12"/>
      <c r="B283" s="8"/>
      <c r="C283" s="8"/>
      <c r="D283" s="8"/>
      <c r="E283" s="8"/>
      <c r="F283" s="8"/>
      <c r="G283" s="8"/>
      <c r="H283" s="8"/>
      <c r="I283" s="12"/>
      <c r="J283" s="8"/>
      <c r="K283" s="8"/>
      <c r="L283" s="12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3.15" x14ac:dyDescent="0.4">
      <c r="A284" s="12"/>
      <c r="B284" s="8"/>
      <c r="C284" s="8"/>
      <c r="D284" s="8"/>
      <c r="E284" s="8"/>
      <c r="F284" s="8"/>
      <c r="G284" s="8"/>
      <c r="H284" s="8"/>
      <c r="I284" s="12"/>
      <c r="J284" s="8"/>
      <c r="K284" s="8"/>
      <c r="L284" s="12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3.15" x14ac:dyDescent="0.4">
      <c r="A285" s="12"/>
      <c r="B285" s="8"/>
      <c r="C285" s="8"/>
      <c r="D285" s="8"/>
      <c r="E285" s="8"/>
      <c r="F285" s="8"/>
      <c r="G285" s="8"/>
      <c r="H285" s="8"/>
      <c r="I285" s="12"/>
      <c r="J285" s="8"/>
      <c r="K285" s="8"/>
      <c r="L285" s="12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3.15" x14ac:dyDescent="0.4">
      <c r="A286" s="12"/>
      <c r="B286" s="8"/>
      <c r="C286" s="8"/>
      <c r="D286" s="8"/>
      <c r="E286" s="8"/>
      <c r="F286" s="8"/>
      <c r="G286" s="8"/>
      <c r="H286" s="8"/>
      <c r="I286" s="12"/>
      <c r="J286" s="8"/>
      <c r="K286" s="8"/>
      <c r="L286" s="12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3.15" x14ac:dyDescent="0.4">
      <c r="A287" s="12"/>
      <c r="B287" s="8"/>
      <c r="C287" s="8"/>
      <c r="D287" s="8"/>
      <c r="E287" s="8"/>
      <c r="F287" s="8"/>
      <c r="G287" s="8"/>
      <c r="H287" s="8"/>
      <c r="I287" s="12"/>
      <c r="J287" s="8"/>
      <c r="K287" s="8"/>
      <c r="L287" s="12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3.15" x14ac:dyDescent="0.4">
      <c r="A288" s="12"/>
      <c r="B288" s="8"/>
      <c r="C288" s="8"/>
      <c r="D288" s="8"/>
      <c r="E288" s="8"/>
      <c r="F288" s="8"/>
      <c r="G288" s="8"/>
      <c r="H288" s="8"/>
      <c r="I288" s="12"/>
      <c r="J288" s="8"/>
      <c r="K288" s="8"/>
      <c r="L288" s="12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3.15" x14ac:dyDescent="0.4">
      <c r="A289" s="12"/>
      <c r="B289" s="8"/>
      <c r="C289" s="8"/>
      <c r="D289" s="8"/>
      <c r="E289" s="8"/>
      <c r="F289" s="8"/>
      <c r="G289" s="8"/>
      <c r="H289" s="8"/>
      <c r="I289" s="12"/>
      <c r="J289" s="8"/>
      <c r="K289" s="8"/>
      <c r="L289" s="12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3.15" x14ac:dyDescent="0.4">
      <c r="A290" s="12"/>
      <c r="B290" s="8"/>
      <c r="C290" s="8"/>
      <c r="D290" s="8"/>
      <c r="E290" s="8"/>
      <c r="F290" s="8"/>
      <c r="G290" s="8"/>
      <c r="H290" s="8"/>
      <c r="I290" s="12"/>
      <c r="J290" s="8"/>
      <c r="K290" s="8"/>
      <c r="L290" s="12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3.15" x14ac:dyDescent="0.4">
      <c r="A291" s="12"/>
      <c r="B291" s="8"/>
      <c r="C291" s="8"/>
      <c r="D291" s="8"/>
      <c r="E291" s="8"/>
      <c r="F291" s="8"/>
      <c r="G291" s="8"/>
      <c r="H291" s="8"/>
      <c r="I291" s="12"/>
      <c r="J291" s="8"/>
      <c r="K291" s="8"/>
      <c r="L291" s="12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3.15" x14ac:dyDescent="0.4">
      <c r="A292" s="12"/>
      <c r="B292" s="8"/>
      <c r="C292" s="8"/>
      <c r="D292" s="8"/>
      <c r="E292" s="8"/>
      <c r="F292" s="8"/>
      <c r="G292" s="8"/>
      <c r="H292" s="8"/>
      <c r="I292" s="12"/>
      <c r="J292" s="8"/>
      <c r="K292" s="8"/>
      <c r="L292" s="12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3.15" x14ac:dyDescent="0.4">
      <c r="A293" s="12"/>
      <c r="B293" s="8"/>
      <c r="C293" s="8"/>
      <c r="D293" s="8"/>
      <c r="E293" s="8"/>
      <c r="F293" s="8"/>
      <c r="G293" s="8"/>
      <c r="H293" s="8"/>
      <c r="I293" s="12"/>
      <c r="J293" s="8"/>
      <c r="K293" s="8"/>
      <c r="L293" s="12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3.15" x14ac:dyDescent="0.4">
      <c r="A294" s="12"/>
      <c r="B294" s="8"/>
      <c r="C294" s="8"/>
      <c r="D294" s="8"/>
      <c r="E294" s="8"/>
      <c r="F294" s="8"/>
      <c r="G294" s="8"/>
      <c r="H294" s="8"/>
      <c r="I294" s="12"/>
      <c r="J294" s="8"/>
      <c r="K294" s="8"/>
      <c r="L294" s="12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3.15" x14ac:dyDescent="0.4">
      <c r="A295" s="12"/>
      <c r="B295" s="8"/>
      <c r="C295" s="8"/>
      <c r="D295" s="8"/>
      <c r="E295" s="8"/>
      <c r="F295" s="8"/>
      <c r="G295" s="8"/>
      <c r="H295" s="8"/>
      <c r="I295" s="12"/>
      <c r="J295" s="8"/>
      <c r="K295" s="8"/>
      <c r="L295" s="12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3.15" x14ac:dyDescent="0.4">
      <c r="A296" s="12"/>
      <c r="B296" s="8"/>
      <c r="C296" s="8"/>
      <c r="D296" s="8"/>
      <c r="E296" s="8"/>
      <c r="F296" s="8"/>
      <c r="G296" s="8"/>
      <c r="H296" s="8"/>
      <c r="I296" s="12"/>
      <c r="J296" s="8"/>
      <c r="K296" s="8"/>
      <c r="L296" s="12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3.15" x14ac:dyDescent="0.4">
      <c r="A297" s="12"/>
      <c r="B297" s="8"/>
      <c r="C297" s="8"/>
      <c r="D297" s="8"/>
      <c r="E297" s="8"/>
      <c r="F297" s="8"/>
      <c r="G297" s="8"/>
      <c r="H297" s="8"/>
      <c r="I297" s="12"/>
      <c r="J297" s="8"/>
      <c r="K297" s="8"/>
      <c r="L297" s="12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3.15" x14ac:dyDescent="0.4">
      <c r="A298" s="12"/>
      <c r="B298" s="8"/>
      <c r="C298" s="8"/>
      <c r="D298" s="8"/>
      <c r="E298" s="8"/>
      <c r="F298" s="8"/>
      <c r="G298" s="8"/>
      <c r="H298" s="8"/>
      <c r="I298" s="12"/>
      <c r="J298" s="8"/>
      <c r="K298" s="8"/>
      <c r="L298" s="12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3.15" x14ac:dyDescent="0.4">
      <c r="A299" s="12"/>
      <c r="B299" s="8"/>
      <c r="C299" s="8"/>
      <c r="D299" s="8"/>
      <c r="E299" s="8"/>
      <c r="F299" s="8"/>
      <c r="G299" s="8"/>
      <c r="H299" s="8"/>
      <c r="I299" s="12"/>
      <c r="J299" s="8"/>
      <c r="K299" s="8"/>
      <c r="L299" s="12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3.15" x14ac:dyDescent="0.4">
      <c r="A300" s="12"/>
      <c r="B300" s="8"/>
      <c r="C300" s="8"/>
      <c r="D300" s="8"/>
      <c r="E300" s="8"/>
      <c r="F300" s="8"/>
      <c r="G300" s="8"/>
      <c r="H300" s="8"/>
      <c r="I300" s="12"/>
      <c r="J300" s="8"/>
      <c r="K300" s="8"/>
      <c r="L300" s="12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3.15" x14ac:dyDescent="0.4">
      <c r="A301" s="12"/>
      <c r="B301" s="8"/>
      <c r="C301" s="8"/>
      <c r="D301" s="8"/>
      <c r="E301" s="8"/>
      <c r="F301" s="8"/>
      <c r="G301" s="8"/>
      <c r="H301" s="8"/>
      <c r="I301" s="12"/>
      <c r="J301" s="8"/>
      <c r="K301" s="8"/>
      <c r="L301" s="12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3.15" x14ac:dyDescent="0.4">
      <c r="A302" s="12"/>
      <c r="B302" s="8"/>
      <c r="C302" s="8"/>
      <c r="D302" s="8"/>
      <c r="E302" s="8"/>
      <c r="F302" s="8"/>
      <c r="G302" s="8"/>
      <c r="H302" s="8"/>
      <c r="I302" s="12"/>
      <c r="J302" s="8"/>
      <c r="K302" s="8"/>
      <c r="L302" s="12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3.15" x14ac:dyDescent="0.4">
      <c r="A303" s="12"/>
      <c r="B303" s="8"/>
      <c r="C303" s="8"/>
      <c r="D303" s="8"/>
      <c r="E303" s="8"/>
      <c r="F303" s="8"/>
      <c r="G303" s="8"/>
      <c r="H303" s="8"/>
      <c r="I303" s="12"/>
      <c r="J303" s="8"/>
      <c r="K303" s="8"/>
      <c r="L303" s="12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3.15" x14ac:dyDescent="0.4">
      <c r="A304" s="12"/>
      <c r="B304" s="8"/>
      <c r="C304" s="8"/>
      <c r="D304" s="8"/>
      <c r="E304" s="8"/>
      <c r="F304" s="8"/>
      <c r="G304" s="8"/>
      <c r="H304" s="8"/>
      <c r="I304" s="12"/>
      <c r="J304" s="8"/>
      <c r="K304" s="8"/>
      <c r="L304" s="12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3.15" x14ac:dyDescent="0.4">
      <c r="A305" s="12"/>
      <c r="B305" s="8"/>
      <c r="C305" s="8"/>
      <c r="D305" s="8"/>
      <c r="E305" s="8"/>
      <c r="F305" s="8"/>
      <c r="G305" s="8"/>
      <c r="H305" s="8"/>
      <c r="I305" s="12"/>
      <c r="J305" s="8"/>
      <c r="K305" s="8"/>
      <c r="L305" s="12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3.15" x14ac:dyDescent="0.4">
      <c r="A306" s="12"/>
      <c r="B306" s="8"/>
      <c r="C306" s="8"/>
      <c r="D306" s="8"/>
      <c r="E306" s="8"/>
      <c r="F306" s="8"/>
      <c r="G306" s="8"/>
      <c r="H306" s="8"/>
      <c r="I306" s="12"/>
      <c r="J306" s="8"/>
      <c r="K306" s="8"/>
      <c r="L306" s="12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3.15" x14ac:dyDescent="0.4">
      <c r="A307" s="12"/>
      <c r="B307" s="8"/>
      <c r="C307" s="8"/>
      <c r="D307" s="8"/>
      <c r="E307" s="8"/>
      <c r="F307" s="8"/>
      <c r="G307" s="8"/>
      <c r="H307" s="8"/>
      <c r="I307" s="12"/>
      <c r="J307" s="8"/>
      <c r="K307" s="8"/>
      <c r="L307" s="12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3.15" x14ac:dyDescent="0.4">
      <c r="A308" s="12"/>
      <c r="B308" s="8"/>
      <c r="C308" s="8"/>
      <c r="D308" s="8"/>
      <c r="E308" s="8"/>
      <c r="F308" s="8"/>
      <c r="G308" s="8"/>
      <c r="H308" s="8"/>
      <c r="I308" s="12"/>
      <c r="J308" s="8"/>
      <c r="K308" s="8"/>
      <c r="L308" s="12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3.15" x14ac:dyDescent="0.4">
      <c r="A309" s="12"/>
      <c r="B309" s="8"/>
      <c r="C309" s="8"/>
      <c r="D309" s="8"/>
      <c r="E309" s="8"/>
      <c r="F309" s="8"/>
      <c r="G309" s="8"/>
      <c r="H309" s="8"/>
      <c r="I309" s="12"/>
      <c r="J309" s="8"/>
      <c r="K309" s="8"/>
      <c r="L309" s="12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3.15" x14ac:dyDescent="0.4">
      <c r="A310" s="12"/>
      <c r="B310" s="8"/>
      <c r="C310" s="8"/>
      <c r="D310" s="8"/>
      <c r="E310" s="8"/>
      <c r="F310" s="8"/>
      <c r="G310" s="8"/>
      <c r="H310" s="8"/>
      <c r="I310" s="12"/>
      <c r="J310" s="8"/>
      <c r="K310" s="8"/>
      <c r="L310" s="12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3.15" x14ac:dyDescent="0.4">
      <c r="A311" s="12"/>
      <c r="B311" s="8"/>
      <c r="C311" s="8"/>
      <c r="D311" s="8"/>
      <c r="E311" s="8"/>
      <c r="F311" s="8"/>
      <c r="G311" s="8"/>
      <c r="H311" s="8"/>
      <c r="I311" s="12"/>
      <c r="J311" s="8"/>
      <c r="K311" s="8"/>
      <c r="L311" s="12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3.15" x14ac:dyDescent="0.4">
      <c r="A312" s="12"/>
      <c r="B312" s="8"/>
      <c r="C312" s="8"/>
      <c r="D312" s="8"/>
      <c r="E312" s="8"/>
      <c r="F312" s="8"/>
      <c r="G312" s="8"/>
      <c r="H312" s="8"/>
      <c r="I312" s="12"/>
      <c r="J312" s="8"/>
      <c r="K312" s="8"/>
      <c r="L312" s="12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3.15" x14ac:dyDescent="0.4">
      <c r="A313" s="12"/>
      <c r="B313" s="8"/>
      <c r="C313" s="8"/>
      <c r="D313" s="8"/>
      <c r="E313" s="8"/>
      <c r="F313" s="8"/>
      <c r="G313" s="8"/>
      <c r="H313" s="8"/>
      <c r="I313" s="12"/>
      <c r="J313" s="8"/>
      <c r="K313" s="8"/>
      <c r="L313" s="12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3.15" x14ac:dyDescent="0.4">
      <c r="A314" s="12"/>
      <c r="B314" s="8"/>
      <c r="C314" s="8"/>
      <c r="D314" s="8"/>
      <c r="E314" s="8"/>
      <c r="F314" s="8"/>
      <c r="G314" s="8"/>
      <c r="H314" s="8"/>
      <c r="I314" s="12"/>
      <c r="J314" s="8"/>
      <c r="K314" s="8"/>
      <c r="L314" s="12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3.15" x14ac:dyDescent="0.4">
      <c r="A315" s="12"/>
      <c r="B315" s="8"/>
      <c r="C315" s="8"/>
      <c r="D315" s="8"/>
      <c r="E315" s="8"/>
      <c r="F315" s="8"/>
      <c r="G315" s="8"/>
      <c r="H315" s="8"/>
      <c r="I315" s="12"/>
      <c r="J315" s="8"/>
      <c r="K315" s="8"/>
      <c r="L315" s="12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3.15" x14ac:dyDescent="0.4">
      <c r="A316" s="12"/>
      <c r="B316" s="8"/>
      <c r="C316" s="8"/>
      <c r="D316" s="8"/>
      <c r="E316" s="8"/>
      <c r="F316" s="8"/>
      <c r="G316" s="8"/>
      <c r="H316" s="8"/>
      <c r="I316" s="12"/>
      <c r="J316" s="8"/>
      <c r="K316" s="8"/>
      <c r="L316" s="12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3.15" x14ac:dyDescent="0.4">
      <c r="A317" s="12"/>
      <c r="B317" s="8"/>
      <c r="C317" s="8"/>
      <c r="D317" s="8"/>
      <c r="E317" s="8"/>
      <c r="F317" s="8"/>
      <c r="G317" s="8"/>
      <c r="H317" s="8"/>
      <c r="I317" s="12"/>
      <c r="J317" s="8"/>
      <c r="K317" s="8"/>
      <c r="L317" s="12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3.15" x14ac:dyDescent="0.4">
      <c r="A318" s="12"/>
      <c r="B318" s="8"/>
      <c r="C318" s="8"/>
      <c r="D318" s="8"/>
      <c r="E318" s="8"/>
      <c r="F318" s="8"/>
      <c r="G318" s="8"/>
      <c r="H318" s="8"/>
      <c r="I318" s="12"/>
      <c r="J318" s="8"/>
      <c r="K318" s="8"/>
      <c r="L318" s="12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3.15" x14ac:dyDescent="0.4">
      <c r="A319" s="12"/>
      <c r="B319" s="8"/>
      <c r="C319" s="8"/>
      <c r="D319" s="8"/>
      <c r="E319" s="8"/>
      <c r="F319" s="8"/>
      <c r="G319" s="8"/>
      <c r="H319" s="8"/>
      <c r="I319" s="12"/>
      <c r="J319" s="8"/>
      <c r="K319" s="8"/>
      <c r="L319" s="12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3.15" x14ac:dyDescent="0.4">
      <c r="A320" s="12"/>
      <c r="B320" s="8"/>
      <c r="C320" s="8"/>
      <c r="D320" s="8"/>
      <c r="E320" s="8"/>
      <c r="F320" s="8"/>
      <c r="G320" s="8"/>
      <c r="H320" s="8"/>
      <c r="I320" s="12"/>
      <c r="J320" s="8"/>
      <c r="K320" s="8"/>
      <c r="L320" s="12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3.15" x14ac:dyDescent="0.4">
      <c r="A321" s="12"/>
      <c r="B321" s="8"/>
      <c r="C321" s="8"/>
      <c r="D321" s="8"/>
      <c r="E321" s="8"/>
      <c r="F321" s="8"/>
      <c r="G321" s="8"/>
      <c r="H321" s="8"/>
      <c r="I321" s="12"/>
      <c r="J321" s="8"/>
      <c r="K321" s="8"/>
      <c r="L321" s="12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3.15" x14ac:dyDescent="0.4">
      <c r="A322" s="12"/>
      <c r="B322" s="8"/>
      <c r="C322" s="8"/>
      <c r="D322" s="8"/>
      <c r="E322" s="8"/>
      <c r="F322" s="8"/>
      <c r="G322" s="8"/>
      <c r="H322" s="8"/>
      <c r="I322" s="12"/>
      <c r="J322" s="8"/>
      <c r="K322" s="8"/>
      <c r="L322" s="12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3.15" x14ac:dyDescent="0.4">
      <c r="A323" s="12"/>
      <c r="B323" s="8"/>
      <c r="C323" s="8"/>
      <c r="D323" s="8"/>
      <c r="E323" s="8"/>
      <c r="F323" s="8"/>
      <c r="G323" s="8"/>
      <c r="H323" s="8"/>
      <c r="I323" s="12"/>
      <c r="J323" s="8"/>
      <c r="K323" s="8"/>
      <c r="L323" s="12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3.15" x14ac:dyDescent="0.4">
      <c r="A324" s="12"/>
      <c r="B324" s="8"/>
      <c r="C324" s="8"/>
      <c r="D324" s="8"/>
      <c r="E324" s="8"/>
      <c r="F324" s="8"/>
      <c r="G324" s="8"/>
      <c r="H324" s="8"/>
      <c r="I324" s="12"/>
      <c r="J324" s="8"/>
      <c r="K324" s="8"/>
      <c r="L324" s="12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3.15" x14ac:dyDescent="0.4">
      <c r="A325" s="12"/>
      <c r="B325" s="8"/>
      <c r="C325" s="8"/>
      <c r="D325" s="8"/>
      <c r="E325" s="8"/>
      <c r="F325" s="8"/>
      <c r="G325" s="8"/>
      <c r="H325" s="8"/>
      <c r="I325" s="12"/>
      <c r="J325" s="8"/>
      <c r="K325" s="8"/>
      <c r="L325" s="12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3.15" x14ac:dyDescent="0.4">
      <c r="A326" s="12"/>
      <c r="B326" s="8"/>
      <c r="C326" s="8"/>
      <c r="D326" s="8"/>
      <c r="E326" s="8"/>
      <c r="F326" s="8"/>
      <c r="G326" s="8"/>
      <c r="H326" s="8"/>
      <c r="I326" s="12"/>
      <c r="J326" s="8"/>
      <c r="K326" s="8"/>
      <c r="L326" s="12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3.15" x14ac:dyDescent="0.4">
      <c r="A327" s="12"/>
      <c r="B327" s="8"/>
      <c r="C327" s="8"/>
      <c r="D327" s="8"/>
      <c r="E327" s="8"/>
      <c r="F327" s="8"/>
      <c r="G327" s="8"/>
      <c r="H327" s="8"/>
      <c r="I327" s="12"/>
      <c r="J327" s="8"/>
      <c r="K327" s="8"/>
      <c r="L327" s="12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3.15" x14ac:dyDescent="0.4">
      <c r="A328" s="12"/>
      <c r="B328" s="8"/>
      <c r="C328" s="8"/>
      <c r="D328" s="8"/>
      <c r="E328" s="8"/>
      <c r="F328" s="8"/>
      <c r="G328" s="8"/>
      <c r="H328" s="8"/>
      <c r="I328" s="12"/>
      <c r="J328" s="8"/>
      <c r="K328" s="8"/>
      <c r="L328" s="12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3.15" x14ac:dyDescent="0.4">
      <c r="A329" s="12"/>
      <c r="B329" s="8"/>
      <c r="C329" s="8"/>
      <c r="D329" s="8"/>
      <c r="E329" s="8"/>
      <c r="F329" s="8"/>
      <c r="G329" s="8"/>
      <c r="H329" s="8"/>
      <c r="I329" s="12"/>
      <c r="J329" s="8"/>
      <c r="K329" s="8"/>
      <c r="L329" s="12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3.15" x14ac:dyDescent="0.4">
      <c r="A330" s="12"/>
      <c r="B330" s="8"/>
      <c r="C330" s="8"/>
      <c r="D330" s="8"/>
      <c r="E330" s="8"/>
      <c r="F330" s="8"/>
      <c r="G330" s="8"/>
      <c r="H330" s="8"/>
      <c r="I330" s="12"/>
      <c r="J330" s="8"/>
      <c r="K330" s="8"/>
      <c r="L330" s="12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3.15" x14ac:dyDescent="0.4">
      <c r="A331" s="12"/>
      <c r="B331" s="8"/>
      <c r="C331" s="8"/>
      <c r="D331" s="8"/>
      <c r="E331" s="8"/>
      <c r="F331" s="8"/>
      <c r="G331" s="8"/>
      <c r="H331" s="8"/>
      <c r="I331" s="12"/>
      <c r="J331" s="8"/>
      <c r="K331" s="8"/>
      <c r="L331" s="12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3.15" x14ac:dyDescent="0.4">
      <c r="A332" s="12"/>
      <c r="B332" s="8"/>
      <c r="C332" s="8"/>
      <c r="D332" s="8"/>
      <c r="E332" s="8"/>
      <c r="F332" s="8"/>
      <c r="G332" s="8"/>
      <c r="H332" s="8"/>
      <c r="I332" s="12"/>
      <c r="J332" s="8"/>
      <c r="K332" s="8"/>
      <c r="L332" s="12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3.15" x14ac:dyDescent="0.4">
      <c r="A333" s="12"/>
      <c r="B333" s="8"/>
      <c r="C333" s="8"/>
      <c r="D333" s="8"/>
      <c r="E333" s="8"/>
      <c r="F333" s="8"/>
      <c r="G333" s="8"/>
      <c r="H333" s="8"/>
      <c r="I333" s="12"/>
      <c r="J333" s="8"/>
      <c r="K333" s="8"/>
      <c r="L333" s="12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3.15" x14ac:dyDescent="0.4">
      <c r="A334" s="12"/>
      <c r="B334" s="8"/>
      <c r="C334" s="8"/>
      <c r="D334" s="8"/>
      <c r="E334" s="8"/>
      <c r="F334" s="8"/>
      <c r="G334" s="8"/>
      <c r="H334" s="8"/>
      <c r="I334" s="12"/>
      <c r="J334" s="8"/>
      <c r="K334" s="8"/>
      <c r="L334" s="12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3.15" x14ac:dyDescent="0.4">
      <c r="A335" s="12"/>
      <c r="B335" s="8"/>
      <c r="C335" s="8"/>
      <c r="D335" s="8"/>
      <c r="E335" s="8"/>
      <c r="F335" s="8"/>
      <c r="G335" s="8"/>
      <c r="H335" s="8"/>
      <c r="I335" s="12"/>
      <c r="J335" s="8"/>
      <c r="K335" s="8"/>
      <c r="L335" s="12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3.15" x14ac:dyDescent="0.4">
      <c r="A336" s="12"/>
      <c r="B336" s="8"/>
      <c r="C336" s="8"/>
      <c r="D336" s="8"/>
      <c r="E336" s="8"/>
      <c r="F336" s="8"/>
      <c r="G336" s="8"/>
      <c r="H336" s="8"/>
      <c r="I336" s="12"/>
      <c r="J336" s="8"/>
      <c r="K336" s="8"/>
      <c r="L336" s="12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3.15" x14ac:dyDescent="0.4">
      <c r="A337" s="12"/>
      <c r="B337" s="8"/>
      <c r="C337" s="8"/>
      <c r="D337" s="8"/>
      <c r="E337" s="8"/>
      <c r="F337" s="8"/>
      <c r="G337" s="8"/>
      <c r="H337" s="8"/>
      <c r="I337" s="12"/>
      <c r="J337" s="8"/>
      <c r="K337" s="8"/>
      <c r="L337" s="12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3.15" x14ac:dyDescent="0.4">
      <c r="A338" s="12"/>
      <c r="B338" s="8"/>
      <c r="C338" s="8"/>
      <c r="D338" s="8"/>
      <c r="E338" s="8"/>
      <c r="F338" s="8"/>
      <c r="G338" s="8"/>
      <c r="H338" s="8"/>
      <c r="I338" s="12"/>
      <c r="J338" s="8"/>
      <c r="K338" s="8"/>
      <c r="L338" s="12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3.15" x14ac:dyDescent="0.4">
      <c r="A339" s="12"/>
      <c r="B339" s="8"/>
      <c r="C339" s="8"/>
      <c r="D339" s="8"/>
      <c r="E339" s="8"/>
      <c r="F339" s="8"/>
      <c r="G339" s="8"/>
      <c r="H339" s="8"/>
      <c r="I339" s="12"/>
      <c r="J339" s="8"/>
      <c r="K339" s="8"/>
      <c r="L339" s="12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3.15" x14ac:dyDescent="0.4">
      <c r="A340" s="12"/>
      <c r="B340" s="8"/>
      <c r="C340" s="8"/>
      <c r="D340" s="8"/>
      <c r="E340" s="8"/>
      <c r="F340" s="8"/>
      <c r="G340" s="8"/>
      <c r="H340" s="8"/>
      <c r="I340" s="12"/>
      <c r="J340" s="8"/>
      <c r="K340" s="8"/>
      <c r="L340" s="12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3.15" x14ac:dyDescent="0.4">
      <c r="A341" s="12"/>
      <c r="B341" s="8"/>
      <c r="C341" s="8"/>
      <c r="D341" s="8"/>
      <c r="E341" s="8"/>
      <c r="F341" s="8"/>
      <c r="G341" s="8"/>
      <c r="H341" s="8"/>
      <c r="I341" s="12"/>
      <c r="J341" s="8"/>
      <c r="K341" s="8"/>
      <c r="L341" s="12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3.15" x14ac:dyDescent="0.4">
      <c r="A342" s="12"/>
      <c r="B342" s="8"/>
      <c r="C342" s="8"/>
      <c r="D342" s="8"/>
      <c r="E342" s="8"/>
      <c r="F342" s="8"/>
      <c r="G342" s="8"/>
      <c r="H342" s="8"/>
      <c r="I342" s="12"/>
      <c r="J342" s="8"/>
      <c r="K342" s="8"/>
      <c r="L342" s="12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3.15" x14ac:dyDescent="0.4">
      <c r="A343" s="12"/>
      <c r="B343" s="8"/>
      <c r="C343" s="8"/>
      <c r="D343" s="8"/>
      <c r="E343" s="8"/>
      <c r="F343" s="8"/>
      <c r="G343" s="8"/>
      <c r="H343" s="8"/>
      <c r="I343" s="12"/>
      <c r="J343" s="8"/>
      <c r="K343" s="8"/>
      <c r="L343" s="12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3.15" x14ac:dyDescent="0.4">
      <c r="A344" s="12"/>
      <c r="B344" s="8"/>
      <c r="C344" s="8"/>
      <c r="D344" s="8"/>
      <c r="E344" s="8"/>
      <c r="F344" s="8"/>
      <c r="G344" s="8"/>
      <c r="H344" s="8"/>
      <c r="I344" s="12"/>
      <c r="J344" s="8"/>
      <c r="K344" s="8"/>
      <c r="L344" s="12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3.15" x14ac:dyDescent="0.4">
      <c r="A345" s="12"/>
      <c r="B345" s="8"/>
      <c r="C345" s="8"/>
      <c r="D345" s="8"/>
      <c r="E345" s="8"/>
      <c r="F345" s="8"/>
      <c r="G345" s="8"/>
      <c r="H345" s="8"/>
      <c r="I345" s="12"/>
      <c r="J345" s="8"/>
      <c r="K345" s="8"/>
      <c r="L345" s="12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3.15" x14ac:dyDescent="0.4">
      <c r="A346" s="12"/>
      <c r="B346" s="8"/>
      <c r="C346" s="8"/>
      <c r="D346" s="8"/>
      <c r="E346" s="8"/>
      <c r="F346" s="8"/>
      <c r="G346" s="8"/>
      <c r="H346" s="8"/>
      <c r="I346" s="12"/>
      <c r="J346" s="8"/>
      <c r="K346" s="8"/>
      <c r="L346" s="12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3.15" x14ac:dyDescent="0.4">
      <c r="A347" s="12"/>
      <c r="B347" s="8"/>
      <c r="C347" s="8"/>
      <c r="D347" s="8"/>
      <c r="E347" s="8"/>
      <c r="F347" s="8"/>
      <c r="G347" s="8"/>
      <c r="H347" s="8"/>
      <c r="I347" s="12"/>
      <c r="J347" s="8"/>
      <c r="K347" s="8"/>
      <c r="L347" s="12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3.15" x14ac:dyDescent="0.4">
      <c r="A348" s="12"/>
      <c r="B348" s="8"/>
      <c r="C348" s="8"/>
      <c r="D348" s="8"/>
      <c r="E348" s="8"/>
      <c r="F348" s="8"/>
      <c r="G348" s="8"/>
      <c r="H348" s="8"/>
      <c r="I348" s="12"/>
      <c r="J348" s="8"/>
      <c r="K348" s="8"/>
      <c r="L348" s="12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3.15" x14ac:dyDescent="0.4">
      <c r="A349" s="12"/>
      <c r="B349" s="8"/>
      <c r="C349" s="8"/>
      <c r="D349" s="8"/>
      <c r="E349" s="8"/>
      <c r="F349" s="8"/>
      <c r="G349" s="8"/>
      <c r="H349" s="8"/>
      <c r="I349" s="12"/>
      <c r="J349" s="8"/>
      <c r="K349" s="8"/>
      <c r="L349" s="12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3.15" x14ac:dyDescent="0.4">
      <c r="A350" s="12"/>
      <c r="B350" s="8"/>
      <c r="C350" s="8"/>
      <c r="D350" s="8"/>
      <c r="E350" s="8"/>
      <c r="F350" s="8"/>
      <c r="G350" s="8"/>
      <c r="H350" s="8"/>
      <c r="I350" s="12"/>
      <c r="J350" s="8"/>
      <c r="K350" s="8"/>
      <c r="L350" s="12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3.15" x14ac:dyDescent="0.4">
      <c r="A351" s="12"/>
      <c r="B351" s="8"/>
      <c r="C351" s="8"/>
      <c r="D351" s="8"/>
      <c r="E351" s="8"/>
      <c r="F351" s="8"/>
      <c r="G351" s="8"/>
      <c r="H351" s="8"/>
      <c r="I351" s="12"/>
      <c r="J351" s="8"/>
      <c r="K351" s="8"/>
      <c r="L351" s="12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3.15" x14ac:dyDescent="0.4">
      <c r="A352" s="12"/>
      <c r="B352" s="8"/>
      <c r="C352" s="8"/>
      <c r="D352" s="8"/>
      <c r="E352" s="8"/>
      <c r="F352" s="8"/>
      <c r="G352" s="8"/>
      <c r="H352" s="8"/>
      <c r="I352" s="12"/>
      <c r="J352" s="8"/>
      <c r="K352" s="8"/>
      <c r="L352" s="12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3.15" x14ac:dyDescent="0.4">
      <c r="A353" s="12"/>
      <c r="B353" s="8"/>
      <c r="C353" s="8"/>
      <c r="D353" s="8"/>
      <c r="E353" s="8"/>
      <c r="F353" s="8"/>
      <c r="G353" s="8"/>
      <c r="H353" s="8"/>
      <c r="I353" s="12"/>
      <c r="J353" s="8"/>
      <c r="K353" s="8"/>
      <c r="L353" s="12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3.15" x14ac:dyDescent="0.4">
      <c r="A354" s="12"/>
      <c r="B354" s="8"/>
      <c r="C354" s="8"/>
      <c r="D354" s="8"/>
      <c r="E354" s="8"/>
      <c r="F354" s="8"/>
      <c r="G354" s="8"/>
      <c r="H354" s="8"/>
      <c r="I354" s="12"/>
      <c r="J354" s="8"/>
      <c r="K354" s="8"/>
      <c r="L354" s="12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3.15" x14ac:dyDescent="0.4">
      <c r="A355" s="12"/>
      <c r="B355" s="8"/>
      <c r="C355" s="8"/>
      <c r="D355" s="8"/>
      <c r="E355" s="8"/>
      <c r="F355" s="8"/>
      <c r="G355" s="8"/>
      <c r="H355" s="8"/>
      <c r="I355" s="12"/>
      <c r="J355" s="8"/>
      <c r="K355" s="8"/>
      <c r="L355" s="12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3.15" x14ac:dyDescent="0.4">
      <c r="A356" s="12"/>
      <c r="B356" s="8"/>
      <c r="C356" s="8"/>
      <c r="D356" s="8"/>
      <c r="E356" s="8"/>
      <c r="F356" s="8"/>
      <c r="G356" s="8"/>
      <c r="H356" s="8"/>
      <c r="I356" s="12"/>
      <c r="J356" s="8"/>
      <c r="K356" s="8"/>
      <c r="L356" s="12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3.15" x14ac:dyDescent="0.4">
      <c r="A357" s="12"/>
      <c r="B357" s="8"/>
      <c r="C357" s="8"/>
      <c r="D357" s="8"/>
      <c r="E357" s="8"/>
      <c r="F357" s="8"/>
      <c r="G357" s="8"/>
      <c r="H357" s="8"/>
      <c r="I357" s="12"/>
      <c r="J357" s="8"/>
      <c r="K357" s="8"/>
      <c r="L357" s="12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3.15" x14ac:dyDescent="0.4">
      <c r="A358" s="12"/>
      <c r="B358" s="8"/>
      <c r="C358" s="8"/>
      <c r="D358" s="8"/>
      <c r="E358" s="8"/>
      <c r="F358" s="8"/>
      <c r="G358" s="8"/>
      <c r="H358" s="8"/>
      <c r="I358" s="12"/>
      <c r="J358" s="8"/>
      <c r="K358" s="8"/>
      <c r="L358" s="12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3.15" x14ac:dyDescent="0.4">
      <c r="A359" s="12"/>
      <c r="B359" s="8"/>
      <c r="C359" s="8"/>
      <c r="D359" s="8"/>
      <c r="E359" s="8"/>
      <c r="F359" s="8"/>
      <c r="G359" s="8"/>
      <c r="H359" s="8"/>
      <c r="I359" s="12"/>
      <c r="J359" s="8"/>
      <c r="K359" s="8"/>
      <c r="L359" s="12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3.15" x14ac:dyDescent="0.4">
      <c r="A360" s="12"/>
      <c r="B360" s="8"/>
      <c r="C360" s="8"/>
      <c r="D360" s="8"/>
      <c r="E360" s="8"/>
      <c r="F360" s="8"/>
      <c r="G360" s="8"/>
      <c r="H360" s="8"/>
      <c r="I360" s="12"/>
      <c r="J360" s="8"/>
      <c r="K360" s="8"/>
      <c r="L360" s="12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3.15" x14ac:dyDescent="0.4">
      <c r="A361" s="12"/>
      <c r="B361" s="8"/>
      <c r="C361" s="8"/>
      <c r="D361" s="8"/>
      <c r="E361" s="8"/>
      <c r="F361" s="8"/>
      <c r="G361" s="8"/>
      <c r="H361" s="8"/>
      <c r="I361" s="12"/>
      <c r="J361" s="8"/>
      <c r="K361" s="8"/>
      <c r="L361" s="12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3.15" x14ac:dyDescent="0.4">
      <c r="A362" s="12"/>
      <c r="B362" s="8"/>
      <c r="C362" s="8"/>
      <c r="D362" s="8"/>
      <c r="E362" s="8"/>
      <c r="F362" s="8"/>
      <c r="G362" s="8"/>
      <c r="H362" s="8"/>
      <c r="I362" s="12"/>
      <c r="J362" s="8"/>
      <c r="K362" s="8"/>
      <c r="L362" s="12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3.15" x14ac:dyDescent="0.4">
      <c r="A363" s="12"/>
      <c r="B363" s="8"/>
      <c r="C363" s="8"/>
      <c r="D363" s="8"/>
      <c r="E363" s="8"/>
      <c r="F363" s="8"/>
      <c r="G363" s="8"/>
      <c r="H363" s="8"/>
      <c r="I363" s="12"/>
      <c r="J363" s="8"/>
      <c r="K363" s="8"/>
      <c r="L363" s="12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3.15" x14ac:dyDescent="0.4">
      <c r="A364" s="12"/>
      <c r="B364" s="8"/>
      <c r="C364" s="8"/>
      <c r="D364" s="8"/>
      <c r="E364" s="8"/>
      <c r="F364" s="8"/>
      <c r="G364" s="8"/>
      <c r="H364" s="8"/>
      <c r="I364" s="12"/>
      <c r="J364" s="8"/>
      <c r="K364" s="8"/>
      <c r="L364" s="12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3.15" x14ac:dyDescent="0.4">
      <c r="A365" s="12"/>
      <c r="B365" s="8"/>
      <c r="C365" s="8"/>
      <c r="D365" s="8"/>
      <c r="E365" s="8"/>
      <c r="F365" s="8"/>
      <c r="G365" s="8"/>
      <c r="H365" s="8"/>
      <c r="I365" s="12"/>
      <c r="J365" s="8"/>
      <c r="K365" s="8"/>
      <c r="L365" s="12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3.15" x14ac:dyDescent="0.4">
      <c r="A366" s="12"/>
      <c r="B366" s="8"/>
      <c r="C366" s="8"/>
      <c r="D366" s="8"/>
      <c r="E366" s="8"/>
      <c r="F366" s="8"/>
      <c r="G366" s="8"/>
      <c r="H366" s="8"/>
      <c r="I366" s="12"/>
      <c r="J366" s="8"/>
      <c r="K366" s="8"/>
      <c r="L366" s="12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3.15" x14ac:dyDescent="0.4">
      <c r="A367" s="12"/>
      <c r="B367" s="8"/>
      <c r="C367" s="8"/>
      <c r="D367" s="8"/>
      <c r="E367" s="8"/>
      <c r="F367" s="8"/>
      <c r="G367" s="8"/>
      <c r="H367" s="8"/>
      <c r="I367" s="12"/>
      <c r="J367" s="8"/>
      <c r="K367" s="8"/>
      <c r="L367" s="12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3.15" x14ac:dyDescent="0.4">
      <c r="A368" s="12"/>
      <c r="B368" s="8"/>
      <c r="C368" s="8"/>
      <c r="D368" s="8"/>
      <c r="E368" s="8"/>
      <c r="F368" s="8"/>
      <c r="G368" s="8"/>
      <c r="H368" s="8"/>
      <c r="I368" s="12"/>
      <c r="J368" s="8"/>
      <c r="K368" s="8"/>
      <c r="L368" s="12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3.15" x14ac:dyDescent="0.4">
      <c r="A369" s="12"/>
      <c r="B369" s="8"/>
      <c r="C369" s="8"/>
      <c r="D369" s="8"/>
      <c r="E369" s="8"/>
      <c r="F369" s="8"/>
      <c r="G369" s="8"/>
      <c r="H369" s="8"/>
      <c r="I369" s="12"/>
      <c r="J369" s="8"/>
      <c r="K369" s="8"/>
      <c r="L369" s="12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3.15" x14ac:dyDescent="0.4">
      <c r="A370" s="12"/>
      <c r="B370" s="8"/>
      <c r="C370" s="8"/>
      <c r="D370" s="8"/>
      <c r="E370" s="8"/>
      <c r="F370" s="8"/>
      <c r="G370" s="8"/>
      <c r="H370" s="8"/>
      <c r="I370" s="12"/>
      <c r="J370" s="8"/>
      <c r="K370" s="8"/>
      <c r="L370" s="12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3.15" x14ac:dyDescent="0.4">
      <c r="A371" s="12"/>
      <c r="B371" s="8"/>
      <c r="C371" s="8"/>
      <c r="D371" s="8"/>
      <c r="E371" s="8"/>
      <c r="F371" s="8"/>
      <c r="G371" s="8"/>
      <c r="H371" s="8"/>
      <c r="I371" s="12"/>
      <c r="J371" s="8"/>
      <c r="K371" s="8"/>
      <c r="L371" s="12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3.15" x14ac:dyDescent="0.4">
      <c r="A372" s="12"/>
      <c r="B372" s="8"/>
      <c r="C372" s="8"/>
      <c r="D372" s="8"/>
      <c r="E372" s="8"/>
      <c r="F372" s="8"/>
      <c r="G372" s="8"/>
      <c r="H372" s="8"/>
      <c r="I372" s="12"/>
      <c r="J372" s="8"/>
      <c r="K372" s="8"/>
      <c r="L372" s="12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3.15" x14ac:dyDescent="0.4">
      <c r="A373" s="12"/>
      <c r="B373" s="8"/>
      <c r="C373" s="8"/>
      <c r="D373" s="8"/>
      <c r="E373" s="8"/>
      <c r="F373" s="8"/>
      <c r="G373" s="8"/>
      <c r="H373" s="8"/>
      <c r="I373" s="12"/>
      <c r="J373" s="8"/>
      <c r="K373" s="8"/>
      <c r="L373" s="12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3.15" x14ac:dyDescent="0.4">
      <c r="A374" s="12"/>
      <c r="B374" s="8"/>
      <c r="C374" s="8"/>
      <c r="D374" s="8"/>
      <c r="E374" s="8"/>
      <c r="F374" s="8"/>
      <c r="G374" s="8"/>
      <c r="H374" s="8"/>
      <c r="I374" s="12"/>
      <c r="J374" s="8"/>
      <c r="K374" s="8"/>
      <c r="L374" s="12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3.15" x14ac:dyDescent="0.4">
      <c r="A375" s="12"/>
      <c r="B375" s="8"/>
      <c r="C375" s="8"/>
      <c r="D375" s="8"/>
      <c r="E375" s="8"/>
      <c r="F375" s="8"/>
      <c r="G375" s="8"/>
      <c r="H375" s="8"/>
      <c r="I375" s="12"/>
      <c r="J375" s="8"/>
      <c r="K375" s="8"/>
      <c r="L375" s="12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3.15" x14ac:dyDescent="0.4">
      <c r="A376" s="12"/>
      <c r="B376" s="8"/>
      <c r="C376" s="8"/>
      <c r="D376" s="8"/>
      <c r="E376" s="8"/>
      <c r="F376" s="8"/>
      <c r="G376" s="8"/>
      <c r="H376" s="8"/>
      <c r="I376" s="12"/>
      <c r="J376" s="8"/>
      <c r="K376" s="8"/>
      <c r="L376" s="12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3.15" x14ac:dyDescent="0.4">
      <c r="A377" s="12"/>
      <c r="B377" s="8"/>
      <c r="C377" s="8"/>
      <c r="D377" s="8"/>
      <c r="E377" s="8"/>
      <c r="F377" s="8"/>
      <c r="G377" s="8"/>
      <c r="H377" s="8"/>
      <c r="I377" s="12"/>
      <c r="J377" s="8"/>
      <c r="K377" s="8"/>
      <c r="L377" s="12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3.15" x14ac:dyDescent="0.4">
      <c r="A378" s="12"/>
      <c r="B378" s="8"/>
      <c r="C378" s="8"/>
      <c r="D378" s="8"/>
      <c r="E378" s="8"/>
      <c r="F378" s="8"/>
      <c r="G378" s="8"/>
      <c r="H378" s="8"/>
      <c r="I378" s="12"/>
      <c r="J378" s="8"/>
      <c r="K378" s="8"/>
      <c r="L378" s="12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3.15" x14ac:dyDescent="0.4">
      <c r="A379" s="12"/>
      <c r="B379" s="8"/>
      <c r="C379" s="8"/>
      <c r="D379" s="8"/>
      <c r="E379" s="8"/>
      <c r="F379" s="8"/>
      <c r="G379" s="8"/>
      <c r="H379" s="8"/>
      <c r="I379" s="12"/>
      <c r="J379" s="8"/>
      <c r="K379" s="8"/>
      <c r="L379" s="12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3.15" x14ac:dyDescent="0.4">
      <c r="A380" s="12"/>
      <c r="B380" s="8"/>
      <c r="C380" s="8"/>
      <c r="D380" s="8"/>
      <c r="E380" s="8"/>
      <c r="F380" s="8"/>
      <c r="G380" s="8"/>
      <c r="H380" s="8"/>
      <c r="I380" s="12"/>
      <c r="J380" s="8"/>
      <c r="K380" s="8"/>
      <c r="L380" s="12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3.15" x14ac:dyDescent="0.4">
      <c r="A381" s="12"/>
      <c r="B381" s="8"/>
      <c r="C381" s="8"/>
      <c r="D381" s="8"/>
      <c r="E381" s="8"/>
      <c r="F381" s="8"/>
      <c r="G381" s="8"/>
      <c r="H381" s="8"/>
      <c r="I381" s="12"/>
      <c r="J381" s="8"/>
      <c r="K381" s="8"/>
      <c r="L381" s="12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3.15" x14ac:dyDescent="0.4">
      <c r="A382" s="12"/>
      <c r="B382" s="8"/>
      <c r="C382" s="8"/>
      <c r="D382" s="8"/>
      <c r="E382" s="8"/>
      <c r="F382" s="8"/>
      <c r="G382" s="8"/>
      <c r="H382" s="8"/>
      <c r="I382" s="12"/>
      <c r="J382" s="8"/>
      <c r="K382" s="8"/>
      <c r="L382" s="12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3.15" x14ac:dyDescent="0.4">
      <c r="A383" s="12"/>
      <c r="B383" s="8"/>
      <c r="C383" s="8"/>
      <c r="D383" s="8"/>
      <c r="E383" s="8"/>
      <c r="F383" s="8"/>
      <c r="G383" s="8"/>
      <c r="H383" s="8"/>
      <c r="I383" s="12"/>
      <c r="J383" s="8"/>
      <c r="K383" s="8"/>
      <c r="L383" s="12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3.15" x14ac:dyDescent="0.4">
      <c r="A384" s="12"/>
      <c r="B384" s="8"/>
      <c r="C384" s="8"/>
      <c r="D384" s="8"/>
      <c r="E384" s="8"/>
      <c r="F384" s="8"/>
      <c r="G384" s="8"/>
      <c r="H384" s="8"/>
      <c r="I384" s="12"/>
      <c r="J384" s="8"/>
      <c r="K384" s="8"/>
      <c r="L384" s="12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3.15" x14ac:dyDescent="0.4">
      <c r="A385" s="12"/>
      <c r="B385" s="8"/>
      <c r="C385" s="8"/>
      <c r="D385" s="8"/>
      <c r="E385" s="8"/>
      <c r="F385" s="8"/>
      <c r="G385" s="8"/>
      <c r="H385" s="8"/>
      <c r="I385" s="12"/>
      <c r="J385" s="8"/>
      <c r="K385" s="8"/>
      <c r="L385" s="12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3.15" x14ac:dyDescent="0.4">
      <c r="A386" s="12"/>
      <c r="B386" s="8"/>
      <c r="C386" s="8"/>
      <c r="D386" s="8"/>
      <c r="E386" s="8"/>
      <c r="F386" s="8"/>
      <c r="G386" s="8"/>
      <c r="H386" s="8"/>
      <c r="I386" s="12"/>
      <c r="J386" s="8"/>
      <c r="K386" s="8"/>
      <c r="L386" s="12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3.15" x14ac:dyDescent="0.4">
      <c r="A387" s="12"/>
      <c r="B387" s="8"/>
      <c r="C387" s="8"/>
      <c r="D387" s="8"/>
      <c r="E387" s="8"/>
      <c r="F387" s="8"/>
      <c r="G387" s="8"/>
      <c r="H387" s="8"/>
      <c r="I387" s="12"/>
      <c r="J387" s="8"/>
      <c r="K387" s="8"/>
      <c r="L387" s="12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3.15" x14ac:dyDescent="0.4">
      <c r="A388" s="12"/>
      <c r="B388" s="8"/>
      <c r="C388" s="8"/>
      <c r="D388" s="8"/>
      <c r="E388" s="8"/>
      <c r="F388" s="8"/>
      <c r="G388" s="8"/>
      <c r="H388" s="8"/>
      <c r="I388" s="12"/>
      <c r="J388" s="8"/>
      <c r="K388" s="8"/>
      <c r="L388" s="12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3.15" x14ac:dyDescent="0.4">
      <c r="A389" s="12"/>
      <c r="B389" s="8"/>
      <c r="C389" s="8"/>
      <c r="D389" s="8"/>
      <c r="E389" s="8"/>
      <c r="F389" s="8"/>
      <c r="G389" s="8"/>
      <c r="H389" s="8"/>
      <c r="I389" s="12"/>
      <c r="J389" s="8"/>
      <c r="K389" s="8"/>
      <c r="L389" s="12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3.15" x14ac:dyDescent="0.4">
      <c r="A390" s="12"/>
      <c r="B390" s="8"/>
      <c r="C390" s="8"/>
      <c r="D390" s="8"/>
      <c r="E390" s="8"/>
      <c r="F390" s="8"/>
      <c r="G390" s="8"/>
      <c r="H390" s="8"/>
      <c r="I390" s="12"/>
      <c r="J390" s="8"/>
      <c r="K390" s="8"/>
      <c r="L390" s="12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3.15" x14ac:dyDescent="0.4">
      <c r="A391" s="12"/>
      <c r="B391" s="8"/>
      <c r="C391" s="8"/>
      <c r="D391" s="8"/>
      <c r="E391" s="8"/>
      <c r="F391" s="8"/>
      <c r="G391" s="8"/>
      <c r="H391" s="8"/>
      <c r="I391" s="12"/>
      <c r="J391" s="8"/>
      <c r="K391" s="8"/>
      <c r="L391" s="12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3.15" x14ac:dyDescent="0.4">
      <c r="A392" s="12"/>
      <c r="B392" s="8"/>
      <c r="C392" s="8"/>
      <c r="D392" s="8"/>
      <c r="E392" s="8"/>
      <c r="F392" s="8"/>
      <c r="G392" s="8"/>
      <c r="H392" s="8"/>
      <c r="I392" s="12"/>
      <c r="J392" s="8"/>
      <c r="K392" s="8"/>
      <c r="L392" s="12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3.15" x14ac:dyDescent="0.4">
      <c r="A393" s="12"/>
      <c r="B393" s="8"/>
      <c r="C393" s="8"/>
      <c r="D393" s="8"/>
      <c r="E393" s="8"/>
      <c r="F393" s="8"/>
      <c r="G393" s="8"/>
      <c r="H393" s="8"/>
      <c r="I393" s="12"/>
      <c r="J393" s="8"/>
      <c r="K393" s="8"/>
      <c r="L393" s="12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3.15" x14ac:dyDescent="0.4">
      <c r="A394" s="12"/>
      <c r="B394" s="8"/>
      <c r="C394" s="8"/>
      <c r="D394" s="8"/>
      <c r="E394" s="8"/>
      <c r="F394" s="8"/>
      <c r="G394" s="8"/>
      <c r="H394" s="8"/>
      <c r="I394" s="12"/>
      <c r="J394" s="8"/>
      <c r="K394" s="8"/>
      <c r="L394" s="12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3.15" x14ac:dyDescent="0.4">
      <c r="A395" s="12"/>
      <c r="B395" s="8"/>
      <c r="C395" s="8"/>
      <c r="D395" s="8"/>
      <c r="E395" s="8"/>
      <c r="F395" s="8"/>
      <c r="G395" s="8"/>
      <c r="H395" s="8"/>
      <c r="I395" s="12"/>
      <c r="J395" s="8"/>
      <c r="K395" s="8"/>
      <c r="L395" s="12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3.15" x14ac:dyDescent="0.4">
      <c r="A396" s="12"/>
      <c r="B396" s="8"/>
      <c r="C396" s="8"/>
      <c r="D396" s="8"/>
      <c r="E396" s="8"/>
      <c r="F396" s="8"/>
      <c r="G396" s="8"/>
      <c r="H396" s="8"/>
      <c r="I396" s="12"/>
      <c r="J396" s="8"/>
      <c r="K396" s="8"/>
      <c r="L396" s="12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3.15" x14ac:dyDescent="0.4">
      <c r="A397" s="12"/>
      <c r="B397" s="8"/>
      <c r="C397" s="8"/>
      <c r="D397" s="8"/>
      <c r="E397" s="8"/>
      <c r="F397" s="8"/>
      <c r="G397" s="8"/>
      <c r="H397" s="8"/>
      <c r="I397" s="12"/>
      <c r="J397" s="8"/>
      <c r="K397" s="8"/>
      <c r="L397" s="12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3.15" x14ac:dyDescent="0.4">
      <c r="A398" s="12"/>
      <c r="B398" s="8"/>
      <c r="C398" s="8"/>
      <c r="D398" s="8"/>
      <c r="E398" s="8"/>
      <c r="F398" s="8"/>
      <c r="G398" s="8"/>
      <c r="H398" s="8"/>
      <c r="I398" s="12"/>
      <c r="J398" s="8"/>
      <c r="K398" s="8"/>
      <c r="L398" s="12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3.15" x14ac:dyDescent="0.4">
      <c r="A399" s="12"/>
      <c r="B399" s="8"/>
      <c r="C399" s="8"/>
      <c r="D399" s="8"/>
      <c r="E399" s="8"/>
      <c r="F399" s="8"/>
      <c r="G399" s="8"/>
      <c r="H399" s="8"/>
      <c r="I399" s="12"/>
      <c r="J399" s="8"/>
      <c r="K399" s="8"/>
      <c r="L399" s="12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3.15" x14ac:dyDescent="0.4">
      <c r="A400" s="12"/>
      <c r="B400" s="8"/>
      <c r="C400" s="8"/>
      <c r="D400" s="8"/>
      <c r="E400" s="8"/>
      <c r="F400" s="8"/>
      <c r="G400" s="8"/>
      <c r="H400" s="8"/>
      <c r="I400" s="12"/>
      <c r="J400" s="8"/>
      <c r="K400" s="8"/>
      <c r="L400" s="12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3.15" x14ac:dyDescent="0.4">
      <c r="A401" s="12"/>
      <c r="B401" s="8"/>
      <c r="C401" s="8"/>
      <c r="D401" s="8"/>
      <c r="E401" s="8"/>
      <c r="F401" s="8"/>
      <c r="G401" s="8"/>
      <c r="H401" s="8"/>
      <c r="I401" s="12"/>
      <c r="J401" s="8"/>
      <c r="K401" s="8"/>
      <c r="L401" s="12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3.15" x14ac:dyDescent="0.4">
      <c r="A402" s="12"/>
      <c r="B402" s="8"/>
      <c r="C402" s="8"/>
      <c r="D402" s="8"/>
      <c r="E402" s="8"/>
      <c r="F402" s="8"/>
      <c r="G402" s="8"/>
      <c r="H402" s="8"/>
      <c r="I402" s="12"/>
      <c r="J402" s="8"/>
      <c r="K402" s="8"/>
      <c r="L402" s="12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3.15" x14ac:dyDescent="0.4">
      <c r="A403" s="12"/>
      <c r="B403" s="8"/>
      <c r="C403" s="8"/>
      <c r="D403" s="8"/>
      <c r="E403" s="8"/>
      <c r="F403" s="8"/>
      <c r="G403" s="8"/>
      <c r="H403" s="8"/>
      <c r="I403" s="12"/>
      <c r="J403" s="8"/>
      <c r="K403" s="8"/>
      <c r="L403" s="12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3.15" x14ac:dyDescent="0.4">
      <c r="A404" s="12"/>
      <c r="B404" s="8"/>
      <c r="C404" s="8"/>
      <c r="D404" s="8"/>
      <c r="E404" s="8"/>
      <c r="F404" s="8"/>
      <c r="G404" s="8"/>
      <c r="H404" s="8"/>
      <c r="I404" s="12"/>
      <c r="J404" s="8"/>
      <c r="K404" s="8"/>
      <c r="L404" s="12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3.15" x14ac:dyDescent="0.4">
      <c r="A405" s="12"/>
      <c r="B405" s="8"/>
      <c r="C405" s="8"/>
      <c r="D405" s="8"/>
      <c r="E405" s="8"/>
      <c r="F405" s="8"/>
      <c r="G405" s="8"/>
      <c r="H405" s="8"/>
      <c r="I405" s="12"/>
      <c r="J405" s="8"/>
      <c r="K405" s="8"/>
      <c r="L405" s="12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3.15" x14ac:dyDescent="0.4">
      <c r="A406" s="12"/>
      <c r="B406" s="8"/>
      <c r="C406" s="8"/>
      <c r="D406" s="8"/>
      <c r="E406" s="8"/>
      <c r="F406" s="8"/>
      <c r="G406" s="8"/>
      <c r="H406" s="8"/>
      <c r="I406" s="12"/>
      <c r="J406" s="8"/>
      <c r="K406" s="8"/>
      <c r="L406" s="12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3.15" x14ac:dyDescent="0.4">
      <c r="A407" s="12"/>
      <c r="B407" s="8"/>
      <c r="C407" s="8"/>
      <c r="D407" s="8"/>
      <c r="E407" s="8"/>
      <c r="F407" s="8"/>
      <c r="G407" s="8"/>
      <c r="H407" s="8"/>
      <c r="I407" s="12"/>
      <c r="J407" s="8"/>
      <c r="K407" s="8"/>
      <c r="L407" s="12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3.15" x14ac:dyDescent="0.4">
      <c r="A408" s="12"/>
      <c r="B408" s="8"/>
      <c r="C408" s="8"/>
      <c r="D408" s="8"/>
      <c r="E408" s="8"/>
      <c r="F408" s="8"/>
      <c r="G408" s="8"/>
      <c r="H408" s="8"/>
      <c r="I408" s="12"/>
      <c r="J408" s="8"/>
      <c r="K408" s="8"/>
      <c r="L408" s="12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3.15" x14ac:dyDescent="0.4">
      <c r="A409" s="12"/>
      <c r="B409" s="8"/>
      <c r="C409" s="8"/>
      <c r="D409" s="8"/>
      <c r="E409" s="8"/>
      <c r="F409" s="8"/>
      <c r="G409" s="8"/>
      <c r="H409" s="8"/>
      <c r="I409" s="12"/>
      <c r="J409" s="8"/>
      <c r="K409" s="8"/>
      <c r="L409" s="12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3.15" x14ac:dyDescent="0.4">
      <c r="A410" s="12"/>
      <c r="B410" s="8"/>
      <c r="C410" s="8"/>
      <c r="D410" s="8"/>
      <c r="E410" s="8"/>
      <c r="F410" s="8"/>
      <c r="G410" s="8"/>
      <c r="H410" s="8"/>
      <c r="I410" s="12"/>
      <c r="J410" s="8"/>
      <c r="K410" s="8"/>
      <c r="L410" s="12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3.15" x14ac:dyDescent="0.4">
      <c r="A411" s="12"/>
      <c r="B411" s="8"/>
      <c r="C411" s="8"/>
      <c r="D411" s="8"/>
      <c r="E411" s="8"/>
      <c r="F411" s="8"/>
      <c r="G411" s="8"/>
      <c r="H411" s="8"/>
      <c r="I411" s="12"/>
      <c r="J411" s="8"/>
      <c r="K411" s="8"/>
      <c r="L411" s="12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3.15" x14ac:dyDescent="0.4">
      <c r="A412" s="12"/>
      <c r="B412" s="8"/>
      <c r="C412" s="8"/>
      <c r="D412" s="8"/>
      <c r="E412" s="8"/>
      <c r="F412" s="8"/>
      <c r="G412" s="8"/>
      <c r="H412" s="8"/>
      <c r="I412" s="12"/>
      <c r="J412" s="8"/>
      <c r="K412" s="8"/>
      <c r="L412" s="12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3.15" x14ac:dyDescent="0.4">
      <c r="A413" s="12"/>
      <c r="B413" s="8"/>
      <c r="C413" s="8"/>
      <c r="D413" s="8"/>
      <c r="E413" s="8"/>
      <c r="F413" s="8"/>
      <c r="G413" s="8"/>
      <c r="H413" s="8"/>
      <c r="I413" s="12"/>
      <c r="J413" s="8"/>
      <c r="K413" s="8"/>
      <c r="L413" s="12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3.15" x14ac:dyDescent="0.4">
      <c r="A414" s="12"/>
      <c r="B414" s="8"/>
      <c r="C414" s="8"/>
      <c r="D414" s="8"/>
      <c r="E414" s="8"/>
      <c r="F414" s="8"/>
      <c r="G414" s="8"/>
      <c r="H414" s="8"/>
      <c r="I414" s="12"/>
      <c r="J414" s="8"/>
      <c r="K414" s="8"/>
      <c r="L414" s="12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3.15" x14ac:dyDescent="0.4">
      <c r="A415" s="12"/>
      <c r="B415" s="8"/>
      <c r="C415" s="8"/>
      <c r="D415" s="8"/>
      <c r="E415" s="8"/>
      <c r="F415" s="8"/>
      <c r="G415" s="8"/>
      <c r="H415" s="8"/>
      <c r="I415" s="12"/>
      <c r="J415" s="8"/>
      <c r="K415" s="8"/>
      <c r="L415" s="12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3.15" x14ac:dyDescent="0.4">
      <c r="A416" s="12"/>
      <c r="B416" s="8"/>
      <c r="C416" s="8"/>
      <c r="D416" s="8"/>
      <c r="E416" s="8"/>
      <c r="F416" s="8"/>
      <c r="G416" s="8"/>
      <c r="H416" s="8"/>
      <c r="I416" s="12"/>
      <c r="J416" s="8"/>
      <c r="K416" s="8"/>
      <c r="L416" s="12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3.15" x14ac:dyDescent="0.4">
      <c r="A417" s="12"/>
      <c r="B417" s="8"/>
      <c r="C417" s="8"/>
      <c r="D417" s="8"/>
      <c r="E417" s="8"/>
      <c r="F417" s="8"/>
      <c r="G417" s="8"/>
      <c r="H417" s="8"/>
      <c r="I417" s="12"/>
      <c r="J417" s="8"/>
      <c r="K417" s="8"/>
      <c r="L417" s="12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3.15" x14ac:dyDescent="0.4">
      <c r="A418" s="12"/>
      <c r="B418" s="8"/>
      <c r="C418" s="8"/>
      <c r="D418" s="8"/>
      <c r="E418" s="8"/>
      <c r="F418" s="8"/>
      <c r="G418" s="8"/>
      <c r="H418" s="8"/>
      <c r="I418" s="12"/>
      <c r="J418" s="8"/>
      <c r="K418" s="8"/>
      <c r="L418" s="12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3.15" x14ac:dyDescent="0.4">
      <c r="A419" s="12"/>
      <c r="B419" s="8"/>
      <c r="C419" s="8"/>
      <c r="D419" s="8"/>
      <c r="E419" s="8"/>
      <c r="F419" s="8"/>
      <c r="G419" s="8"/>
      <c r="H419" s="8"/>
      <c r="I419" s="12"/>
      <c r="J419" s="8"/>
      <c r="K419" s="8"/>
      <c r="L419" s="12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3.15" x14ac:dyDescent="0.4">
      <c r="A420" s="12"/>
      <c r="B420" s="8"/>
      <c r="C420" s="8"/>
      <c r="D420" s="8"/>
      <c r="E420" s="8"/>
      <c r="F420" s="8"/>
      <c r="G420" s="8"/>
      <c r="H420" s="8"/>
      <c r="I420" s="12"/>
      <c r="J420" s="8"/>
      <c r="K420" s="8"/>
      <c r="L420" s="12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3.15" x14ac:dyDescent="0.4">
      <c r="A421" s="12"/>
      <c r="B421" s="8"/>
      <c r="C421" s="8"/>
      <c r="D421" s="8"/>
      <c r="E421" s="8"/>
      <c r="F421" s="8"/>
      <c r="G421" s="8"/>
      <c r="H421" s="8"/>
      <c r="I421" s="12"/>
      <c r="J421" s="8"/>
      <c r="K421" s="8"/>
      <c r="L421" s="12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3.15" x14ac:dyDescent="0.4">
      <c r="A422" s="12"/>
      <c r="B422" s="8"/>
      <c r="C422" s="8"/>
      <c r="D422" s="8"/>
      <c r="E422" s="8"/>
      <c r="F422" s="8"/>
      <c r="G422" s="8"/>
      <c r="H422" s="8"/>
      <c r="I422" s="12"/>
      <c r="J422" s="8"/>
      <c r="K422" s="8"/>
      <c r="L422" s="12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3.15" x14ac:dyDescent="0.4">
      <c r="A423" s="12"/>
      <c r="B423" s="8"/>
      <c r="C423" s="8"/>
      <c r="D423" s="8"/>
      <c r="E423" s="8"/>
      <c r="F423" s="8"/>
      <c r="G423" s="8"/>
      <c r="H423" s="8"/>
      <c r="I423" s="12"/>
      <c r="J423" s="8"/>
      <c r="K423" s="8"/>
      <c r="L423" s="12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3.15" x14ac:dyDescent="0.4">
      <c r="A424" s="12"/>
      <c r="B424" s="8"/>
      <c r="C424" s="8"/>
      <c r="D424" s="8"/>
      <c r="E424" s="8"/>
      <c r="F424" s="8"/>
      <c r="G424" s="8"/>
      <c r="H424" s="8"/>
      <c r="I424" s="12"/>
      <c r="J424" s="8"/>
      <c r="K424" s="8"/>
      <c r="L424" s="12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3.15" x14ac:dyDescent="0.4">
      <c r="A425" s="12"/>
      <c r="B425" s="8"/>
      <c r="C425" s="8"/>
      <c r="D425" s="8"/>
      <c r="E425" s="8"/>
      <c r="F425" s="8"/>
      <c r="G425" s="8"/>
      <c r="H425" s="8"/>
      <c r="I425" s="12"/>
      <c r="J425" s="8"/>
      <c r="K425" s="8"/>
      <c r="L425" s="12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3.15" x14ac:dyDescent="0.4">
      <c r="A426" s="12"/>
      <c r="B426" s="8"/>
      <c r="C426" s="8"/>
      <c r="D426" s="8"/>
      <c r="E426" s="8"/>
      <c r="F426" s="8"/>
      <c r="G426" s="8"/>
      <c r="H426" s="8"/>
      <c r="I426" s="12"/>
      <c r="J426" s="8"/>
      <c r="K426" s="8"/>
      <c r="L426" s="12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3.15" x14ac:dyDescent="0.4">
      <c r="A427" s="12"/>
      <c r="B427" s="8"/>
      <c r="C427" s="8"/>
      <c r="D427" s="8"/>
      <c r="E427" s="8"/>
      <c r="F427" s="8"/>
      <c r="G427" s="8"/>
      <c r="H427" s="8"/>
      <c r="I427" s="12"/>
      <c r="J427" s="8"/>
      <c r="K427" s="8"/>
      <c r="L427" s="12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3.15" x14ac:dyDescent="0.4">
      <c r="A428" s="12"/>
      <c r="B428" s="8"/>
      <c r="C428" s="8"/>
      <c r="D428" s="8"/>
      <c r="E428" s="8"/>
      <c r="F428" s="8"/>
      <c r="G428" s="8"/>
      <c r="H428" s="8"/>
      <c r="I428" s="12"/>
      <c r="J428" s="8"/>
      <c r="K428" s="8"/>
      <c r="L428" s="12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3.15" x14ac:dyDescent="0.4">
      <c r="A429" s="12"/>
      <c r="B429" s="8"/>
      <c r="C429" s="8"/>
      <c r="D429" s="8"/>
      <c r="E429" s="8"/>
      <c r="F429" s="8"/>
      <c r="G429" s="8"/>
      <c r="H429" s="8"/>
      <c r="I429" s="12"/>
      <c r="J429" s="8"/>
      <c r="K429" s="8"/>
      <c r="L429" s="12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3.15" x14ac:dyDescent="0.4">
      <c r="A430" s="12"/>
      <c r="B430" s="8"/>
      <c r="C430" s="8"/>
      <c r="D430" s="8"/>
      <c r="E430" s="8"/>
      <c r="F430" s="8"/>
      <c r="G430" s="8"/>
      <c r="H430" s="8"/>
      <c r="I430" s="12"/>
      <c r="J430" s="8"/>
      <c r="K430" s="8"/>
      <c r="L430" s="12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3.15" x14ac:dyDescent="0.4">
      <c r="A431" s="12"/>
      <c r="B431" s="8"/>
      <c r="C431" s="8"/>
      <c r="D431" s="8"/>
      <c r="E431" s="8"/>
      <c r="F431" s="8"/>
      <c r="G431" s="8"/>
      <c r="H431" s="8"/>
      <c r="I431" s="12"/>
      <c r="J431" s="8"/>
      <c r="K431" s="8"/>
      <c r="L431" s="12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3.15" x14ac:dyDescent="0.4">
      <c r="A432" s="12"/>
      <c r="B432" s="8"/>
      <c r="C432" s="8"/>
      <c r="D432" s="8"/>
      <c r="E432" s="8"/>
      <c r="F432" s="8"/>
      <c r="G432" s="8"/>
      <c r="H432" s="8"/>
      <c r="I432" s="12"/>
      <c r="J432" s="8"/>
      <c r="K432" s="8"/>
      <c r="L432" s="12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3.15" x14ac:dyDescent="0.4">
      <c r="A433" s="12"/>
      <c r="B433" s="8"/>
      <c r="C433" s="8"/>
      <c r="D433" s="8"/>
      <c r="E433" s="8"/>
      <c r="F433" s="8"/>
      <c r="G433" s="8"/>
      <c r="H433" s="8"/>
      <c r="I433" s="12"/>
      <c r="J433" s="8"/>
      <c r="K433" s="8"/>
      <c r="L433" s="12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3.15" x14ac:dyDescent="0.4">
      <c r="A434" s="12"/>
      <c r="B434" s="8"/>
      <c r="C434" s="8"/>
      <c r="D434" s="8"/>
      <c r="E434" s="8"/>
      <c r="F434" s="8"/>
      <c r="G434" s="8"/>
      <c r="H434" s="8"/>
      <c r="I434" s="12"/>
      <c r="J434" s="8"/>
      <c r="K434" s="8"/>
      <c r="L434" s="12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3.15" x14ac:dyDescent="0.4">
      <c r="A435" s="12"/>
      <c r="B435" s="8"/>
      <c r="C435" s="8"/>
      <c r="D435" s="8"/>
      <c r="E435" s="8"/>
      <c r="F435" s="8"/>
      <c r="G435" s="8"/>
      <c r="H435" s="8"/>
      <c r="I435" s="12"/>
      <c r="J435" s="8"/>
      <c r="K435" s="8"/>
      <c r="L435" s="12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3.15" x14ac:dyDescent="0.4">
      <c r="A436" s="12"/>
      <c r="B436" s="8"/>
      <c r="C436" s="8"/>
      <c r="D436" s="8"/>
      <c r="E436" s="8"/>
      <c r="F436" s="8"/>
      <c r="G436" s="8"/>
      <c r="H436" s="8"/>
      <c r="I436" s="12"/>
      <c r="J436" s="8"/>
      <c r="K436" s="8"/>
      <c r="L436" s="12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3.15" x14ac:dyDescent="0.4">
      <c r="A437" s="12"/>
      <c r="B437" s="8"/>
      <c r="C437" s="8"/>
      <c r="D437" s="8"/>
      <c r="E437" s="8"/>
      <c r="F437" s="8"/>
      <c r="G437" s="8"/>
      <c r="H437" s="8"/>
      <c r="I437" s="12"/>
      <c r="J437" s="8"/>
      <c r="K437" s="8"/>
      <c r="L437" s="12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3.15" x14ac:dyDescent="0.4">
      <c r="A438" s="12"/>
      <c r="B438" s="8"/>
      <c r="C438" s="8"/>
      <c r="D438" s="8"/>
      <c r="E438" s="8"/>
      <c r="F438" s="8"/>
      <c r="G438" s="8"/>
      <c r="H438" s="8"/>
      <c r="I438" s="12"/>
      <c r="J438" s="8"/>
      <c r="K438" s="8"/>
      <c r="L438" s="12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3.15" x14ac:dyDescent="0.4">
      <c r="A439" s="12"/>
      <c r="B439" s="8"/>
      <c r="C439" s="8"/>
      <c r="D439" s="8"/>
      <c r="E439" s="8"/>
      <c r="F439" s="8"/>
      <c r="G439" s="8"/>
      <c r="H439" s="8"/>
      <c r="I439" s="12"/>
      <c r="J439" s="8"/>
      <c r="K439" s="8"/>
      <c r="L439" s="12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3.15" x14ac:dyDescent="0.4">
      <c r="A440" s="12"/>
      <c r="B440" s="8"/>
      <c r="C440" s="8"/>
      <c r="D440" s="8"/>
      <c r="E440" s="8"/>
      <c r="F440" s="8"/>
      <c r="G440" s="8"/>
      <c r="H440" s="8"/>
      <c r="I440" s="12"/>
      <c r="J440" s="8"/>
      <c r="K440" s="8"/>
      <c r="L440" s="12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3.15" x14ac:dyDescent="0.4">
      <c r="A441" s="12"/>
      <c r="B441" s="8"/>
      <c r="C441" s="8"/>
      <c r="D441" s="8"/>
      <c r="E441" s="8"/>
      <c r="F441" s="8"/>
      <c r="G441" s="8"/>
      <c r="H441" s="8"/>
      <c r="I441" s="12"/>
      <c r="J441" s="8"/>
      <c r="K441" s="8"/>
      <c r="L441" s="12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3.15" x14ac:dyDescent="0.4">
      <c r="A442" s="12"/>
      <c r="B442" s="8"/>
      <c r="C442" s="8"/>
      <c r="D442" s="8"/>
      <c r="E442" s="8"/>
      <c r="F442" s="8"/>
      <c r="G442" s="8"/>
      <c r="H442" s="8"/>
      <c r="I442" s="12"/>
      <c r="J442" s="8"/>
      <c r="K442" s="8"/>
      <c r="L442" s="12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3.15" x14ac:dyDescent="0.4">
      <c r="A443" s="12"/>
      <c r="B443" s="8"/>
      <c r="C443" s="8"/>
      <c r="D443" s="8"/>
      <c r="E443" s="8"/>
      <c r="F443" s="8"/>
      <c r="G443" s="8"/>
      <c r="H443" s="8"/>
      <c r="I443" s="12"/>
      <c r="J443" s="8"/>
      <c r="K443" s="8"/>
      <c r="L443" s="12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3.15" x14ac:dyDescent="0.4">
      <c r="A444" s="12"/>
      <c r="B444" s="8"/>
      <c r="C444" s="8"/>
      <c r="D444" s="8"/>
      <c r="E444" s="8"/>
      <c r="F444" s="8"/>
      <c r="G444" s="8"/>
      <c r="H444" s="8"/>
      <c r="I444" s="12"/>
      <c r="J444" s="8"/>
      <c r="K444" s="8"/>
      <c r="L444" s="12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3.15" x14ac:dyDescent="0.4">
      <c r="A445" s="12"/>
      <c r="B445" s="8"/>
      <c r="C445" s="8"/>
      <c r="D445" s="8"/>
      <c r="E445" s="8"/>
      <c r="F445" s="8"/>
      <c r="G445" s="8"/>
      <c r="H445" s="8"/>
      <c r="I445" s="12"/>
      <c r="J445" s="8"/>
      <c r="K445" s="8"/>
      <c r="L445" s="12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3.15" x14ac:dyDescent="0.4">
      <c r="A446" s="12"/>
      <c r="B446" s="8"/>
      <c r="C446" s="8"/>
      <c r="D446" s="8"/>
      <c r="E446" s="8"/>
      <c r="F446" s="8"/>
      <c r="G446" s="8"/>
      <c r="H446" s="8"/>
      <c r="I446" s="12"/>
      <c r="J446" s="8"/>
      <c r="K446" s="8"/>
      <c r="L446" s="12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3.15" x14ac:dyDescent="0.4">
      <c r="A447" s="12"/>
      <c r="B447" s="8"/>
      <c r="C447" s="8"/>
      <c r="D447" s="8"/>
      <c r="E447" s="8"/>
      <c r="F447" s="8"/>
      <c r="G447" s="8"/>
      <c r="H447" s="8"/>
      <c r="I447" s="12"/>
      <c r="J447" s="8"/>
      <c r="K447" s="8"/>
      <c r="L447" s="12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3.15" x14ac:dyDescent="0.4">
      <c r="A448" s="12"/>
      <c r="B448" s="8"/>
      <c r="C448" s="8"/>
      <c r="D448" s="8"/>
      <c r="E448" s="8"/>
      <c r="F448" s="8"/>
      <c r="G448" s="8"/>
      <c r="H448" s="8"/>
      <c r="I448" s="12"/>
      <c r="J448" s="8"/>
      <c r="K448" s="8"/>
      <c r="L448" s="12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3.15" x14ac:dyDescent="0.4">
      <c r="A449" s="12"/>
      <c r="B449" s="8"/>
      <c r="C449" s="8"/>
      <c r="D449" s="8"/>
      <c r="E449" s="8"/>
      <c r="F449" s="8"/>
      <c r="G449" s="8"/>
      <c r="H449" s="8"/>
      <c r="I449" s="12"/>
      <c r="J449" s="8"/>
      <c r="K449" s="8"/>
      <c r="L449" s="12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3.15" x14ac:dyDescent="0.4">
      <c r="A450" s="12"/>
      <c r="B450" s="8"/>
      <c r="C450" s="8"/>
      <c r="D450" s="8"/>
      <c r="E450" s="8"/>
      <c r="F450" s="8"/>
      <c r="G450" s="8"/>
      <c r="H450" s="8"/>
      <c r="I450" s="12"/>
      <c r="J450" s="8"/>
      <c r="K450" s="8"/>
      <c r="L450" s="12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3.15" x14ac:dyDescent="0.4">
      <c r="A451" s="12"/>
      <c r="B451" s="8"/>
      <c r="C451" s="8"/>
      <c r="D451" s="8"/>
      <c r="E451" s="8"/>
      <c r="F451" s="8"/>
      <c r="G451" s="8"/>
      <c r="H451" s="8"/>
      <c r="I451" s="12"/>
      <c r="J451" s="8"/>
      <c r="K451" s="8"/>
      <c r="L451" s="12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3.15" x14ac:dyDescent="0.4">
      <c r="A452" s="12"/>
      <c r="B452" s="8"/>
      <c r="C452" s="8"/>
      <c r="D452" s="8"/>
      <c r="E452" s="8"/>
      <c r="F452" s="8"/>
      <c r="G452" s="8"/>
      <c r="H452" s="8"/>
      <c r="I452" s="12"/>
      <c r="J452" s="8"/>
      <c r="K452" s="8"/>
      <c r="L452" s="12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3.15" x14ac:dyDescent="0.4">
      <c r="A453" s="12"/>
      <c r="B453" s="8"/>
      <c r="C453" s="8"/>
      <c r="D453" s="8"/>
      <c r="E453" s="8"/>
      <c r="F453" s="8"/>
      <c r="G453" s="8"/>
      <c r="H453" s="8"/>
      <c r="I453" s="12"/>
      <c r="J453" s="8"/>
      <c r="K453" s="8"/>
      <c r="L453" s="12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3.15" x14ac:dyDescent="0.4">
      <c r="A454" s="12"/>
      <c r="B454" s="8"/>
      <c r="C454" s="8"/>
      <c r="D454" s="8"/>
      <c r="E454" s="8"/>
      <c r="F454" s="8"/>
      <c r="G454" s="8"/>
      <c r="H454" s="8"/>
      <c r="I454" s="12"/>
      <c r="J454" s="8"/>
      <c r="K454" s="8"/>
      <c r="L454" s="12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3.15" x14ac:dyDescent="0.4">
      <c r="A455" s="12"/>
      <c r="B455" s="8"/>
      <c r="C455" s="8"/>
      <c r="D455" s="8"/>
      <c r="E455" s="8"/>
      <c r="F455" s="8"/>
      <c r="G455" s="8"/>
      <c r="H455" s="8"/>
      <c r="I455" s="12"/>
      <c r="J455" s="8"/>
      <c r="K455" s="8"/>
      <c r="L455" s="12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3.15" x14ac:dyDescent="0.4">
      <c r="A456" s="12"/>
      <c r="B456" s="8"/>
      <c r="C456" s="8"/>
      <c r="D456" s="8"/>
      <c r="E456" s="8"/>
      <c r="F456" s="8"/>
      <c r="G456" s="8"/>
      <c r="H456" s="8"/>
      <c r="I456" s="12"/>
      <c r="J456" s="8"/>
      <c r="K456" s="8"/>
      <c r="L456" s="12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3.15" x14ac:dyDescent="0.4">
      <c r="A457" s="12"/>
      <c r="B457" s="8"/>
      <c r="C457" s="8"/>
      <c r="D457" s="8"/>
      <c r="E457" s="8"/>
      <c r="F457" s="8"/>
      <c r="G457" s="8"/>
      <c r="H457" s="8"/>
      <c r="I457" s="12"/>
      <c r="J457" s="8"/>
      <c r="K457" s="8"/>
      <c r="L457" s="12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3.15" x14ac:dyDescent="0.4">
      <c r="A458" s="12"/>
      <c r="B458" s="8"/>
      <c r="C458" s="8"/>
      <c r="D458" s="8"/>
      <c r="E458" s="8"/>
      <c r="F458" s="8"/>
      <c r="G458" s="8"/>
      <c r="H458" s="8"/>
      <c r="I458" s="12"/>
      <c r="J458" s="8"/>
      <c r="K458" s="8"/>
      <c r="L458" s="12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3.15" x14ac:dyDescent="0.4">
      <c r="A459" s="12"/>
      <c r="B459" s="8"/>
      <c r="C459" s="8"/>
      <c r="D459" s="8"/>
      <c r="E459" s="8"/>
      <c r="F459" s="8"/>
      <c r="G459" s="8"/>
      <c r="H459" s="8"/>
      <c r="I459" s="12"/>
      <c r="J459" s="8"/>
      <c r="K459" s="8"/>
      <c r="L459" s="12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3.15" x14ac:dyDescent="0.4">
      <c r="A460" s="12"/>
      <c r="B460" s="8"/>
      <c r="C460" s="8"/>
      <c r="D460" s="8"/>
      <c r="E460" s="8"/>
      <c r="F460" s="8"/>
      <c r="G460" s="8"/>
      <c r="H460" s="8"/>
      <c r="I460" s="12"/>
      <c r="J460" s="8"/>
      <c r="K460" s="8"/>
      <c r="L460" s="12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3.15" x14ac:dyDescent="0.4">
      <c r="A461" s="12"/>
      <c r="B461" s="8"/>
      <c r="C461" s="8"/>
      <c r="D461" s="8"/>
      <c r="E461" s="8"/>
      <c r="F461" s="8"/>
      <c r="G461" s="8"/>
      <c r="H461" s="8"/>
      <c r="I461" s="12"/>
      <c r="J461" s="8"/>
      <c r="K461" s="8"/>
      <c r="L461" s="12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3.15" x14ac:dyDescent="0.4">
      <c r="A462" s="12"/>
      <c r="B462" s="8"/>
      <c r="C462" s="8"/>
      <c r="D462" s="8"/>
      <c r="E462" s="8"/>
      <c r="F462" s="8"/>
      <c r="G462" s="8"/>
      <c r="H462" s="8"/>
      <c r="I462" s="12"/>
      <c r="J462" s="8"/>
      <c r="K462" s="8"/>
      <c r="L462" s="12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3.15" x14ac:dyDescent="0.4">
      <c r="A463" s="12"/>
      <c r="B463" s="8"/>
      <c r="C463" s="8"/>
      <c r="D463" s="8"/>
      <c r="E463" s="8"/>
      <c r="F463" s="8"/>
      <c r="G463" s="8"/>
      <c r="H463" s="8"/>
      <c r="I463" s="12"/>
      <c r="J463" s="8"/>
      <c r="K463" s="8"/>
      <c r="L463" s="12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3.15" x14ac:dyDescent="0.4">
      <c r="A464" s="12"/>
      <c r="B464" s="8"/>
      <c r="C464" s="8"/>
      <c r="D464" s="8"/>
      <c r="E464" s="8"/>
      <c r="F464" s="8"/>
      <c r="G464" s="8"/>
      <c r="H464" s="8"/>
      <c r="I464" s="12"/>
      <c r="J464" s="8"/>
      <c r="K464" s="8"/>
      <c r="L464" s="12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3.15" x14ac:dyDescent="0.4">
      <c r="A465" s="12"/>
      <c r="B465" s="8"/>
      <c r="C465" s="8"/>
      <c r="D465" s="8"/>
      <c r="E465" s="8"/>
      <c r="F465" s="8"/>
      <c r="G465" s="8"/>
      <c r="H465" s="8"/>
      <c r="I465" s="12"/>
      <c r="J465" s="8"/>
      <c r="K465" s="8"/>
      <c r="L465" s="12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3.15" x14ac:dyDescent="0.4">
      <c r="A466" s="12"/>
      <c r="B466" s="8"/>
      <c r="C466" s="8"/>
      <c r="D466" s="8"/>
      <c r="E466" s="8"/>
      <c r="F466" s="8"/>
      <c r="G466" s="8"/>
      <c r="H466" s="8"/>
      <c r="I466" s="12"/>
      <c r="J466" s="8"/>
      <c r="K466" s="8"/>
      <c r="L466" s="12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3.15" x14ac:dyDescent="0.4">
      <c r="A467" s="12"/>
      <c r="B467" s="8"/>
      <c r="C467" s="8"/>
      <c r="D467" s="8"/>
      <c r="E467" s="8"/>
      <c r="F467" s="8"/>
      <c r="G467" s="8"/>
      <c r="H467" s="8"/>
      <c r="I467" s="12"/>
      <c r="J467" s="8"/>
      <c r="K467" s="8"/>
      <c r="L467" s="12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3.15" x14ac:dyDescent="0.4">
      <c r="A468" s="12"/>
      <c r="B468" s="8"/>
      <c r="C468" s="8"/>
      <c r="D468" s="8"/>
      <c r="E468" s="8"/>
      <c r="F468" s="8"/>
      <c r="G468" s="8"/>
      <c r="H468" s="8"/>
      <c r="I468" s="12"/>
      <c r="J468" s="8"/>
      <c r="K468" s="8"/>
      <c r="L468" s="12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3.15" x14ac:dyDescent="0.4">
      <c r="A469" s="12"/>
      <c r="B469" s="8"/>
      <c r="C469" s="8"/>
      <c r="D469" s="8"/>
      <c r="E469" s="8"/>
      <c r="F469" s="8"/>
      <c r="G469" s="8"/>
      <c r="H469" s="8"/>
      <c r="I469" s="12"/>
      <c r="J469" s="8"/>
      <c r="K469" s="8"/>
      <c r="L469" s="12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3.15" x14ac:dyDescent="0.4">
      <c r="A470" s="12"/>
      <c r="B470" s="8"/>
      <c r="C470" s="8"/>
      <c r="D470" s="8"/>
      <c r="E470" s="8"/>
      <c r="F470" s="8"/>
      <c r="G470" s="8"/>
      <c r="H470" s="8"/>
      <c r="I470" s="12"/>
      <c r="J470" s="8"/>
      <c r="K470" s="8"/>
      <c r="L470" s="12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3.15" x14ac:dyDescent="0.4">
      <c r="A471" s="12"/>
      <c r="B471" s="8"/>
      <c r="C471" s="8"/>
      <c r="D471" s="8"/>
      <c r="E471" s="8"/>
      <c r="F471" s="8"/>
      <c r="G471" s="8"/>
      <c r="H471" s="8"/>
      <c r="I471" s="12"/>
      <c r="J471" s="8"/>
      <c r="K471" s="8"/>
      <c r="L471" s="12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3.15" x14ac:dyDescent="0.4">
      <c r="A472" s="12"/>
      <c r="B472" s="8"/>
      <c r="C472" s="8"/>
      <c r="D472" s="8"/>
      <c r="E472" s="8"/>
      <c r="F472" s="8"/>
      <c r="G472" s="8"/>
      <c r="H472" s="8"/>
      <c r="I472" s="12"/>
      <c r="J472" s="8"/>
      <c r="K472" s="8"/>
      <c r="L472" s="12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3.15" x14ac:dyDescent="0.4">
      <c r="A473" s="12"/>
      <c r="B473" s="8"/>
      <c r="C473" s="8"/>
      <c r="D473" s="8"/>
      <c r="E473" s="8"/>
      <c r="F473" s="8"/>
      <c r="G473" s="8"/>
      <c r="H473" s="8"/>
      <c r="I473" s="12"/>
      <c r="J473" s="8"/>
      <c r="K473" s="8"/>
      <c r="L473" s="12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3.15" x14ac:dyDescent="0.4">
      <c r="A474" s="12"/>
      <c r="B474" s="8"/>
      <c r="C474" s="8"/>
      <c r="D474" s="8"/>
      <c r="E474" s="8"/>
      <c r="F474" s="8"/>
      <c r="G474" s="8"/>
      <c r="H474" s="8"/>
      <c r="I474" s="12"/>
      <c r="J474" s="8"/>
      <c r="K474" s="8"/>
      <c r="L474" s="12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3.15" x14ac:dyDescent="0.4">
      <c r="A475" s="12"/>
      <c r="B475" s="8"/>
      <c r="C475" s="8"/>
      <c r="D475" s="8"/>
      <c r="E475" s="8"/>
      <c r="F475" s="8"/>
      <c r="G475" s="8"/>
      <c r="H475" s="8"/>
      <c r="I475" s="12"/>
      <c r="J475" s="8"/>
      <c r="K475" s="8"/>
      <c r="L475" s="12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3.15" x14ac:dyDescent="0.4">
      <c r="A476" s="12"/>
      <c r="B476" s="8"/>
      <c r="C476" s="8"/>
      <c r="D476" s="8"/>
      <c r="E476" s="8"/>
      <c r="F476" s="8"/>
      <c r="G476" s="8"/>
      <c r="H476" s="8"/>
      <c r="I476" s="12"/>
      <c r="J476" s="8"/>
      <c r="K476" s="8"/>
      <c r="L476" s="12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3.15" x14ac:dyDescent="0.4">
      <c r="A477" s="12"/>
      <c r="B477" s="8"/>
      <c r="C477" s="8"/>
      <c r="D477" s="8"/>
      <c r="E477" s="8"/>
      <c r="F477" s="8"/>
      <c r="G477" s="8"/>
      <c r="H477" s="8"/>
      <c r="I477" s="12"/>
      <c r="J477" s="8"/>
      <c r="K477" s="8"/>
      <c r="L477" s="12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3.15" x14ac:dyDescent="0.4">
      <c r="A478" s="12"/>
      <c r="B478" s="8"/>
      <c r="C478" s="8"/>
      <c r="D478" s="8"/>
      <c r="E478" s="8"/>
      <c r="F478" s="8"/>
      <c r="G478" s="8"/>
      <c r="H478" s="8"/>
      <c r="I478" s="12"/>
      <c r="J478" s="8"/>
      <c r="K478" s="8"/>
      <c r="L478" s="12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3.15" x14ac:dyDescent="0.4">
      <c r="A479" s="12"/>
      <c r="B479" s="8"/>
      <c r="C479" s="8"/>
      <c r="D479" s="8"/>
      <c r="E479" s="8"/>
      <c r="F479" s="8"/>
      <c r="G479" s="8"/>
      <c r="H479" s="8"/>
      <c r="I479" s="12"/>
      <c r="J479" s="8"/>
      <c r="K479" s="8"/>
      <c r="L479" s="12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3.15" x14ac:dyDescent="0.4">
      <c r="A480" s="12"/>
      <c r="B480" s="8"/>
      <c r="C480" s="8"/>
      <c r="D480" s="8"/>
      <c r="E480" s="8"/>
      <c r="F480" s="8"/>
      <c r="G480" s="8"/>
      <c r="H480" s="8"/>
      <c r="I480" s="12"/>
      <c r="J480" s="8"/>
      <c r="K480" s="8"/>
      <c r="L480" s="12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3.15" x14ac:dyDescent="0.4">
      <c r="A481" s="12"/>
      <c r="B481" s="8"/>
      <c r="C481" s="8"/>
      <c r="D481" s="8"/>
      <c r="E481" s="8"/>
      <c r="F481" s="8"/>
      <c r="G481" s="8"/>
      <c r="H481" s="8"/>
      <c r="I481" s="12"/>
      <c r="J481" s="8"/>
      <c r="K481" s="8"/>
      <c r="L481" s="12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3.15" x14ac:dyDescent="0.4">
      <c r="A482" s="12"/>
      <c r="B482" s="8"/>
      <c r="C482" s="8"/>
      <c r="D482" s="8"/>
      <c r="E482" s="8"/>
      <c r="F482" s="8"/>
      <c r="G482" s="8"/>
      <c r="H482" s="8"/>
      <c r="I482" s="12"/>
      <c r="J482" s="8"/>
      <c r="K482" s="8"/>
      <c r="L482" s="12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3.15" x14ac:dyDescent="0.4">
      <c r="A483" s="12"/>
      <c r="B483" s="8"/>
      <c r="C483" s="8"/>
      <c r="D483" s="8"/>
      <c r="E483" s="8"/>
      <c r="F483" s="8"/>
      <c r="G483" s="8"/>
      <c r="H483" s="8"/>
      <c r="I483" s="12"/>
      <c r="J483" s="8"/>
      <c r="K483" s="8"/>
      <c r="L483" s="12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3.15" x14ac:dyDescent="0.4">
      <c r="A484" s="12"/>
      <c r="B484" s="8"/>
      <c r="C484" s="8"/>
      <c r="D484" s="8"/>
      <c r="E484" s="8"/>
      <c r="F484" s="8"/>
      <c r="G484" s="8"/>
      <c r="H484" s="8"/>
      <c r="I484" s="12"/>
      <c r="J484" s="8"/>
      <c r="K484" s="8"/>
      <c r="L484" s="12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3.15" x14ac:dyDescent="0.4">
      <c r="A485" s="12"/>
      <c r="B485" s="8"/>
      <c r="C485" s="8"/>
      <c r="D485" s="8"/>
      <c r="E485" s="8"/>
      <c r="F485" s="8"/>
      <c r="G485" s="8"/>
      <c r="H485" s="8"/>
      <c r="I485" s="12"/>
      <c r="J485" s="8"/>
      <c r="K485" s="8"/>
      <c r="L485" s="12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3.15" x14ac:dyDescent="0.4">
      <c r="A486" s="12"/>
      <c r="B486" s="8"/>
      <c r="C486" s="8"/>
      <c r="D486" s="8"/>
      <c r="E486" s="8"/>
      <c r="F486" s="8"/>
      <c r="G486" s="8"/>
      <c r="H486" s="8"/>
      <c r="I486" s="12"/>
      <c r="J486" s="8"/>
      <c r="K486" s="8"/>
      <c r="L486" s="12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3.15" x14ac:dyDescent="0.4">
      <c r="A487" s="12"/>
      <c r="B487" s="8"/>
      <c r="C487" s="8"/>
      <c r="D487" s="8"/>
      <c r="E487" s="8"/>
      <c r="F487" s="8"/>
      <c r="G487" s="8"/>
      <c r="H487" s="8"/>
      <c r="I487" s="12"/>
      <c r="J487" s="8"/>
      <c r="K487" s="8"/>
      <c r="L487" s="12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3.15" x14ac:dyDescent="0.4">
      <c r="A488" s="12"/>
      <c r="B488" s="8"/>
      <c r="C488" s="8"/>
      <c r="D488" s="8"/>
      <c r="E488" s="8"/>
      <c r="F488" s="8"/>
      <c r="G488" s="8"/>
      <c r="H488" s="8"/>
      <c r="I488" s="12"/>
      <c r="J488" s="8"/>
      <c r="K488" s="8"/>
      <c r="L488" s="12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3.15" x14ac:dyDescent="0.4">
      <c r="A489" s="12"/>
      <c r="B489" s="8"/>
      <c r="C489" s="8"/>
      <c r="D489" s="8"/>
      <c r="E489" s="8"/>
      <c r="F489" s="8"/>
      <c r="G489" s="8"/>
      <c r="H489" s="8"/>
      <c r="I489" s="12"/>
      <c r="J489" s="8"/>
      <c r="K489" s="8"/>
      <c r="L489" s="12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3.15" x14ac:dyDescent="0.4">
      <c r="A490" s="12"/>
      <c r="B490" s="8"/>
      <c r="C490" s="8"/>
      <c r="D490" s="8"/>
      <c r="E490" s="8"/>
      <c r="F490" s="8"/>
      <c r="G490" s="8"/>
      <c r="H490" s="8"/>
      <c r="I490" s="12"/>
      <c r="J490" s="8"/>
      <c r="K490" s="8"/>
      <c r="L490" s="12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3.15" x14ac:dyDescent="0.4">
      <c r="A491" s="12"/>
      <c r="B491" s="8"/>
      <c r="C491" s="8"/>
      <c r="D491" s="8"/>
      <c r="E491" s="8"/>
      <c r="F491" s="8"/>
      <c r="G491" s="8"/>
      <c r="H491" s="8"/>
      <c r="I491" s="12"/>
      <c r="J491" s="8"/>
      <c r="K491" s="8"/>
      <c r="L491" s="12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3.15" x14ac:dyDescent="0.4">
      <c r="A492" s="12"/>
      <c r="B492" s="8"/>
      <c r="C492" s="8"/>
      <c r="D492" s="8"/>
      <c r="E492" s="8"/>
      <c r="F492" s="8"/>
      <c r="G492" s="8"/>
      <c r="H492" s="8"/>
      <c r="I492" s="12"/>
      <c r="J492" s="8"/>
      <c r="K492" s="8"/>
      <c r="L492" s="12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3.15" x14ac:dyDescent="0.4">
      <c r="A493" s="12"/>
      <c r="B493" s="8"/>
      <c r="C493" s="8"/>
      <c r="D493" s="8"/>
      <c r="E493" s="8"/>
      <c r="F493" s="8"/>
      <c r="G493" s="8"/>
      <c r="H493" s="8"/>
      <c r="I493" s="12"/>
      <c r="J493" s="8"/>
      <c r="K493" s="8"/>
      <c r="L493" s="12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3.15" x14ac:dyDescent="0.4">
      <c r="A494" s="12"/>
      <c r="B494" s="8"/>
      <c r="C494" s="8"/>
      <c r="D494" s="8"/>
      <c r="E494" s="8"/>
      <c r="F494" s="8"/>
      <c r="G494" s="8"/>
      <c r="H494" s="8"/>
      <c r="I494" s="12"/>
      <c r="J494" s="8"/>
      <c r="K494" s="8"/>
      <c r="L494" s="12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3.15" x14ac:dyDescent="0.4">
      <c r="A495" s="12"/>
      <c r="B495" s="8"/>
      <c r="C495" s="8"/>
      <c r="D495" s="8"/>
      <c r="E495" s="8"/>
      <c r="F495" s="8"/>
      <c r="G495" s="8"/>
      <c r="H495" s="8"/>
      <c r="I495" s="12"/>
      <c r="J495" s="8"/>
      <c r="K495" s="8"/>
      <c r="L495" s="12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3.15" x14ac:dyDescent="0.4">
      <c r="A496" s="12"/>
      <c r="B496" s="8"/>
      <c r="C496" s="8"/>
      <c r="D496" s="8"/>
      <c r="E496" s="8"/>
      <c r="F496" s="8"/>
      <c r="G496" s="8"/>
      <c r="H496" s="8"/>
      <c r="I496" s="12"/>
      <c r="J496" s="8"/>
      <c r="K496" s="8"/>
      <c r="L496" s="12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3.15" x14ac:dyDescent="0.4">
      <c r="A497" s="12"/>
      <c r="B497" s="8"/>
      <c r="C497" s="8"/>
      <c r="D497" s="8"/>
      <c r="E497" s="8"/>
      <c r="F497" s="8"/>
      <c r="G497" s="8"/>
      <c r="H497" s="8"/>
      <c r="I497" s="12"/>
      <c r="J497" s="8"/>
      <c r="K497" s="8"/>
      <c r="L497" s="12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3.15" x14ac:dyDescent="0.4">
      <c r="A498" s="12"/>
      <c r="B498" s="8"/>
      <c r="C498" s="8"/>
      <c r="D498" s="8"/>
      <c r="E498" s="8"/>
      <c r="F498" s="8"/>
      <c r="G498" s="8"/>
      <c r="H498" s="8"/>
      <c r="I498" s="12"/>
      <c r="J498" s="8"/>
      <c r="K498" s="8"/>
      <c r="L498" s="12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3.15" x14ac:dyDescent="0.4">
      <c r="A499" s="12"/>
      <c r="B499" s="8"/>
      <c r="C499" s="8"/>
      <c r="D499" s="8"/>
      <c r="E499" s="8"/>
      <c r="F499" s="8"/>
      <c r="G499" s="8"/>
      <c r="H499" s="8"/>
      <c r="I499" s="12"/>
      <c r="J499" s="8"/>
      <c r="K499" s="8"/>
      <c r="L499" s="12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3.15" x14ac:dyDescent="0.4">
      <c r="A500" s="12"/>
      <c r="B500" s="8"/>
      <c r="C500" s="8"/>
      <c r="D500" s="8"/>
      <c r="E500" s="8"/>
      <c r="F500" s="8"/>
      <c r="G500" s="8"/>
      <c r="H500" s="8"/>
      <c r="I500" s="12"/>
      <c r="J500" s="8"/>
      <c r="K500" s="8"/>
      <c r="L500" s="12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3.15" x14ac:dyDescent="0.4">
      <c r="A501" s="12"/>
      <c r="B501" s="8"/>
      <c r="C501" s="8"/>
      <c r="D501" s="8"/>
      <c r="E501" s="8"/>
      <c r="F501" s="8"/>
      <c r="G501" s="8"/>
      <c r="H501" s="8"/>
      <c r="I501" s="12"/>
      <c r="J501" s="8"/>
      <c r="K501" s="8"/>
      <c r="L501" s="12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3.15" x14ac:dyDescent="0.4">
      <c r="A502" s="12"/>
      <c r="B502" s="8"/>
      <c r="C502" s="8"/>
      <c r="D502" s="8"/>
      <c r="E502" s="8"/>
      <c r="F502" s="8"/>
      <c r="G502" s="8"/>
      <c r="H502" s="8"/>
      <c r="I502" s="12"/>
      <c r="J502" s="8"/>
      <c r="K502" s="8"/>
      <c r="L502" s="12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3.15" x14ac:dyDescent="0.4">
      <c r="A503" s="12"/>
      <c r="B503" s="8"/>
      <c r="C503" s="8"/>
      <c r="D503" s="8"/>
      <c r="E503" s="8"/>
      <c r="F503" s="8"/>
      <c r="G503" s="8"/>
      <c r="H503" s="8"/>
      <c r="I503" s="12"/>
      <c r="J503" s="8"/>
      <c r="K503" s="8"/>
      <c r="L503" s="12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3.15" x14ac:dyDescent="0.4">
      <c r="A504" s="12"/>
      <c r="B504" s="8"/>
      <c r="C504" s="8"/>
      <c r="D504" s="8"/>
      <c r="E504" s="8"/>
      <c r="F504" s="8"/>
      <c r="G504" s="8"/>
      <c r="H504" s="8"/>
      <c r="I504" s="12"/>
      <c r="J504" s="8"/>
      <c r="K504" s="8"/>
      <c r="L504" s="12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3.15" x14ac:dyDescent="0.4">
      <c r="A505" s="12"/>
      <c r="B505" s="8"/>
      <c r="C505" s="8"/>
      <c r="D505" s="8"/>
      <c r="E505" s="8"/>
      <c r="F505" s="8"/>
      <c r="G505" s="8"/>
      <c r="H505" s="8"/>
      <c r="I505" s="12"/>
      <c r="J505" s="8"/>
      <c r="K505" s="8"/>
      <c r="L505" s="12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3.15" x14ac:dyDescent="0.4">
      <c r="A506" s="12"/>
      <c r="B506" s="8"/>
      <c r="C506" s="8"/>
      <c r="D506" s="8"/>
      <c r="E506" s="8"/>
      <c r="F506" s="8"/>
      <c r="G506" s="8"/>
      <c r="H506" s="8"/>
      <c r="I506" s="12"/>
      <c r="J506" s="8"/>
      <c r="K506" s="8"/>
      <c r="L506" s="12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3.15" x14ac:dyDescent="0.4">
      <c r="A507" s="12"/>
      <c r="B507" s="8"/>
      <c r="C507" s="8"/>
      <c r="D507" s="8"/>
      <c r="E507" s="8"/>
      <c r="F507" s="8"/>
      <c r="G507" s="8"/>
      <c r="H507" s="8"/>
      <c r="I507" s="12"/>
      <c r="J507" s="8"/>
      <c r="K507" s="8"/>
      <c r="L507" s="12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3.15" x14ac:dyDescent="0.4">
      <c r="A508" s="12"/>
      <c r="B508" s="8"/>
      <c r="C508" s="8"/>
      <c r="D508" s="8"/>
      <c r="E508" s="8"/>
      <c r="F508" s="8"/>
      <c r="G508" s="8"/>
      <c r="H508" s="8"/>
      <c r="I508" s="12"/>
      <c r="J508" s="8"/>
      <c r="K508" s="8"/>
      <c r="L508" s="12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3.15" x14ac:dyDescent="0.4">
      <c r="A509" s="12"/>
      <c r="B509" s="8"/>
      <c r="C509" s="8"/>
      <c r="D509" s="8"/>
      <c r="E509" s="8"/>
      <c r="F509" s="8"/>
      <c r="G509" s="8"/>
      <c r="H509" s="8"/>
      <c r="I509" s="12"/>
      <c r="J509" s="8"/>
      <c r="K509" s="8"/>
      <c r="L509" s="12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3.15" x14ac:dyDescent="0.4">
      <c r="A510" s="12"/>
      <c r="B510" s="8"/>
      <c r="C510" s="8"/>
      <c r="D510" s="8"/>
      <c r="E510" s="8"/>
      <c r="F510" s="8"/>
      <c r="G510" s="8"/>
      <c r="H510" s="8"/>
      <c r="I510" s="12"/>
      <c r="J510" s="8"/>
      <c r="K510" s="8"/>
      <c r="L510" s="12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3.15" x14ac:dyDescent="0.4">
      <c r="A511" s="12"/>
      <c r="B511" s="8"/>
      <c r="C511" s="8"/>
      <c r="D511" s="8"/>
      <c r="E511" s="8"/>
      <c r="F511" s="8"/>
      <c r="G511" s="8"/>
      <c r="H511" s="8"/>
      <c r="I511" s="12"/>
      <c r="J511" s="8"/>
      <c r="K511" s="8"/>
      <c r="L511" s="12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3.15" x14ac:dyDescent="0.4">
      <c r="A512" s="12"/>
      <c r="B512" s="8"/>
      <c r="C512" s="8"/>
      <c r="D512" s="8"/>
      <c r="E512" s="8"/>
      <c r="F512" s="8"/>
      <c r="G512" s="8"/>
      <c r="H512" s="8"/>
      <c r="I512" s="12"/>
      <c r="J512" s="8"/>
      <c r="K512" s="8"/>
      <c r="L512" s="12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3.15" x14ac:dyDescent="0.4">
      <c r="A513" s="12"/>
      <c r="B513" s="8"/>
      <c r="C513" s="8"/>
      <c r="D513" s="8"/>
      <c r="E513" s="8"/>
      <c r="F513" s="8"/>
      <c r="G513" s="8"/>
      <c r="H513" s="8"/>
      <c r="I513" s="12"/>
      <c r="J513" s="8"/>
      <c r="K513" s="8"/>
      <c r="L513" s="12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3.15" x14ac:dyDescent="0.4">
      <c r="A514" s="12"/>
      <c r="B514" s="8"/>
      <c r="C514" s="8"/>
      <c r="D514" s="8"/>
      <c r="E514" s="8"/>
      <c r="F514" s="8"/>
      <c r="G514" s="8"/>
      <c r="H514" s="8"/>
      <c r="I514" s="12"/>
      <c r="J514" s="8"/>
      <c r="K514" s="8"/>
      <c r="L514" s="12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3.15" x14ac:dyDescent="0.4">
      <c r="A515" s="12"/>
      <c r="B515" s="8"/>
      <c r="C515" s="8"/>
      <c r="D515" s="8"/>
      <c r="E515" s="8"/>
      <c r="F515" s="8"/>
      <c r="G515" s="8"/>
      <c r="H515" s="8"/>
      <c r="I515" s="12"/>
      <c r="J515" s="8"/>
      <c r="K515" s="8"/>
      <c r="L515" s="12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3.15" x14ac:dyDescent="0.4">
      <c r="A516" s="12"/>
      <c r="B516" s="8"/>
      <c r="C516" s="8"/>
      <c r="D516" s="8"/>
      <c r="E516" s="8"/>
      <c r="F516" s="8"/>
      <c r="G516" s="8"/>
      <c r="H516" s="8"/>
      <c r="I516" s="12"/>
      <c r="J516" s="8"/>
      <c r="K516" s="8"/>
      <c r="L516" s="12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3.15" x14ac:dyDescent="0.4">
      <c r="A517" s="12"/>
      <c r="B517" s="8"/>
      <c r="C517" s="8"/>
      <c r="D517" s="8"/>
      <c r="E517" s="8"/>
      <c r="F517" s="8"/>
      <c r="G517" s="8"/>
      <c r="H517" s="8"/>
      <c r="I517" s="12"/>
      <c r="J517" s="8"/>
      <c r="K517" s="8"/>
      <c r="L517" s="12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3.15" x14ac:dyDescent="0.4">
      <c r="A518" s="12"/>
      <c r="B518" s="8"/>
      <c r="C518" s="8"/>
      <c r="D518" s="8"/>
      <c r="E518" s="8"/>
      <c r="F518" s="8"/>
      <c r="G518" s="8"/>
      <c r="H518" s="8"/>
      <c r="I518" s="12"/>
      <c r="J518" s="8"/>
      <c r="K518" s="8"/>
      <c r="L518" s="12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3.15" x14ac:dyDescent="0.4">
      <c r="A519" s="12"/>
      <c r="B519" s="8"/>
      <c r="C519" s="8"/>
      <c r="D519" s="8"/>
      <c r="E519" s="8"/>
      <c r="F519" s="8"/>
      <c r="G519" s="8"/>
      <c r="H519" s="8"/>
      <c r="I519" s="12"/>
      <c r="J519" s="8"/>
      <c r="K519" s="8"/>
      <c r="L519" s="12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3.15" x14ac:dyDescent="0.4">
      <c r="A520" s="12"/>
      <c r="B520" s="8"/>
      <c r="C520" s="8"/>
      <c r="D520" s="8"/>
      <c r="E520" s="8"/>
      <c r="F520" s="8"/>
      <c r="G520" s="8"/>
      <c r="H520" s="8"/>
      <c r="I520" s="12"/>
      <c r="J520" s="8"/>
      <c r="K520" s="8"/>
      <c r="L520" s="12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3.15" x14ac:dyDescent="0.4">
      <c r="A521" s="12"/>
      <c r="B521" s="8"/>
      <c r="C521" s="8"/>
      <c r="D521" s="8"/>
      <c r="E521" s="8"/>
      <c r="F521" s="8"/>
      <c r="G521" s="8"/>
      <c r="H521" s="8"/>
      <c r="I521" s="12"/>
      <c r="J521" s="8"/>
      <c r="K521" s="8"/>
      <c r="L521" s="12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3.15" x14ac:dyDescent="0.4">
      <c r="A522" s="12"/>
      <c r="B522" s="8"/>
      <c r="C522" s="8"/>
      <c r="D522" s="8"/>
      <c r="E522" s="8"/>
      <c r="F522" s="8"/>
      <c r="G522" s="8"/>
      <c r="H522" s="8"/>
      <c r="I522" s="12"/>
      <c r="J522" s="8"/>
      <c r="K522" s="8"/>
      <c r="L522" s="12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3.15" x14ac:dyDescent="0.4">
      <c r="A523" s="12"/>
      <c r="B523" s="8"/>
      <c r="C523" s="8"/>
      <c r="D523" s="8"/>
      <c r="E523" s="8"/>
      <c r="F523" s="8"/>
      <c r="G523" s="8"/>
      <c r="H523" s="8"/>
      <c r="I523" s="12"/>
      <c r="J523" s="8"/>
      <c r="K523" s="8"/>
      <c r="L523" s="12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3.15" x14ac:dyDescent="0.4">
      <c r="A524" s="12"/>
      <c r="B524" s="8"/>
      <c r="C524" s="8"/>
      <c r="D524" s="8"/>
      <c r="E524" s="8"/>
      <c r="F524" s="8"/>
      <c r="G524" s="8"/>
      <c r="H524" s="8"/>
      <c r="I524" s="12"/>
      <c r="J524" s="8"/>
      <c r="K524" s="8"/>
      <c r="L524" s="12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3.15" x14ac:dyDescent="0.4">
      <c r="A525" s="12"/>
      <c r="B525" s="8"/>
      <c r="C525" s="8"/>
      <c r="D525" s="8"/>
      <c r="E525" s="8"/>
      <c r="F525" s="8"/>
      <c r="G525" s="8"/>
      <c r="H525" s="8"/>
      <c r="I525" s="12"/>
      <c r="J525" s="8"/>
      <c r="K525" s="8"/>
      <c r="L525" s="12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3.15" x14ac:dyDescent="0.4">
      <c r="A526" s="12"/>
      <c r="B526" s="8"/>
      <c r="C526" s="8"/>
      <c r="D526" s="8"/>
      <c r="E526" s="8"/>
      <c r="F526" s="8"/>
      <c r="G526" s="8"/>
      <c r="H526" s="8"/>
      <c r="I526" s="12"/>
      <c r="J526" s="8"/>
      <c r="K526" s="8"/>
      <c r="L526" s="12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3.15" x14ac:dyDescent="0.4">
      <c r="A527" s="12"/>
      <c r="B527" s="8"/>
      <c r="C527" s="8"/>
      <c r="D527" s="8"/>
      <c r="E527" s="8"/>
      <c r="F527" s="8"/>
      <c r="G527" s="8"/>
      <c r="H527" s="8"/>
      <c r="I527" s="12"/>
      <c r="J527" s="8"/>
      <c r="K527" s="8"/>
      <c r="L527" s="12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3.15" x14ac:dyDescent="0.4">
      <c r="A528" s="12"/>
      <c r="B528" s="8"/>
      <c r="C528" s="8"/>
      <c r="D528" s="8"/>
      <c r="E528" s="8"/>
      <c r="F528" s="8"/>
      <c r="G528" s="8"/>
      <c r="H528" s="8"/>
      <c r="I528" s="12"/>
      <c r="J528" s="8"/>
      <c r="K528" s="8"/>
      <c r="L528" s="12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3.15" x14ac:dyDescent="0.4">
      <c r="A529" s="12"/>
      <c r="B529" s="8"/>
      <c r="C529" s="8"/>
      <c r="D529" s="8"/>
      <c r="E529" s="8"/>
      <c r="F529" s="8"/>
      <c r="G529" s="8"/>
      <c r="H529" s="8"/>
      <c r="I529" s="12"/>
      <c r="J529" s="8"/>
      <c r="K529" s="8"/>
      <c r="L529" s="12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3.15" x14ac:dyDescent="0.4">
      <c r="A530" s="12"/>
      <c r="B530" s="8"/>
      <c r="C530" s="8"/>
      <c r="D530" s="8"/>
      <c r="E530" s="8"/>
      <c r="F530" s="8"/>
      <c r="G530" s="8"/>
      <c r="H530" s="8"/>
      <c r="I530" s="12"/>
      <c r="J530" s="8"/>
      <c r="K530" s="8"/>
      <c r="L530" s="12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3.15" x14ac:dyDescent="0.4">
      <c r="A531" s="12"/>
      <c r="B531" s="8"/>
      <c r="C531" s="8"/>
      <c r="D531" s="8"/>
      <c r="E531" s="8"/>
      <c r="F531" s="8"/>
      <c r="G531" s="8"/>
      <c r="H531" s="8"/>
      <c r="I531" s="12"/>
      <c r="J531" s="8"/>
      <c r="K531" s="8"/>
      <c r="L531" s="12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3.15" x14ac:dyDescent="0.4">
      <c r="A532" s="12"/>
      <c r="B532" s="8"/>
      <c r="C532" s="8"/>
      <c r="D532" s="8"/>
      <c r="E532" s="8"/>
      <c r="F532" s="8"/>
      <c r="G532" s="8"/>
      <c r="H532" s="8"/>
      <c r="I532" s="12"/>
      <c r="J532" s="8"/>
      <c r="K532" s="8"/>
      <c r="L532" s="12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3.15" x14ac:dyDescent="0.4">
      <c r="A533" s="12"/>
      <c r="B533" s="8"/>
      <c r="C533" s="8"/>
      <c r="D533" s="8"/>
      <c r="E533" s="8"/>
      <c r="F533" s="8"/>
      <c r="G533" s="8"/>
      <c r="H533" s="8"/>
      <c r="I533" s="12"/>
      <c r="J533" s="8"/>
      <c r="K533" s="8"/>
      <c r="L533" s="12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3.15" x14ac:dyDescent="0.4">
      <c r="A534" s="12"/>
      <c r="B534" s="8"/>
      <c r="C534" s="8"/>
      <c r="D534" s="8"/>
      <c r="E534" s="8"/>
      <c r="F534" s="8"/>
      <c r="G534" s="8"/>
      <c r="H534" s="8"/>
      <c r="I534" s="12"/>
      <c r="J534" s="8"/>
      <c r="K534" s="8"/>
      <c r="L534" s="12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3.15" x14ac:dyDescent="0.4">
      <c r="A535" s="12"/>
      <c r="B535" s="8"/>
      <c r="C535" s="8"/>
      <c r="D535" s="8"/>
      <c r="E535" s="8"/>
      <c r="F535" s="8"/>
      <c r="G535" s="8"/>
      <c r="H535" s="8"/>
      <c r="I535" s="12"/>
      <c r="J535" s="8"/>
      <c r="K535" s="8"/>
      <c r="L535" s="12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3.15" x14ac:dyDescent="0.4">
      <c r="A536" s="12"/>
      <c r="B536" s="8"/>
      <c r="C536" s="8"/>
      <c r="D536" s="8"/>
      <c r="E536" s="8"/>
      <c r="F536" s="8"/>
      <c r="G536" s="8"/>
      <c r="H536" s="8"/>
      <c r="I536" s="12"/>
      <c r="J536" s="8"/>
      <c r="K536" s="8"/>
      <c r="L536" s="12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3.15" x14ac:dyDescent="0.4">
      <c r="A537" s="12"/>
      <c r="B537" s="8"/>
      <c r="C537" s="8"/>
      <c r="D537" s="8"/>
      <c r="E537" s="8"/>
      <c r="F537" s="8"/>
      <c r="G537" s="8"/>
      <c r="H537" s="8"/>
      <c r="I537" s="12"/>
      <c r="J537" s="8"/>
      <c r="K537" s="8"/>
      <c r="L537" s="12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3.15" x14ac:dyDescent="0.4">
      <c r="A538" s="12"/>
      <c r="B538" s="8"/>
      <c r="C538" s="8"/>
      <c r="D538" s="8"/>
      <c r="E538" s="8"/>
      <c r="F538" s="8"/>
      <c r="G538" s="8"/>
      <c r="H538" s="8"/>
      <c r="I538" s="12"/>
      <c r="J538" s="8"/>
      <c r="K538" s="8"/>
      <c r="L538" s="12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3.15" x14ac:dyDescent="0.4">
      <c r="A539" s="12"/>
      <c r="B539" s="8"/>
      <c r="C539" s="8"/>
      <c r="D539" s="8"/>
      <c r="E539" s="8"/>
      <c r="F539" s="8"/>
      <c r="G539" s="8"/>
      <c r="H539" s="8"/>
      <c r="I539" s="12"/>
      <c r="J539" s="8"/>
      <c r="K539" s="8"/>
      <c r="L539" s="12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3.15" x14ac:dyDescent="0.4">
      <c r="A540" s="12"/>
      <c r="B540" s="8"/>
      <c r="C540" s="8"/>
      <c r="D540" s="8"/>
      <c r="E540" s="8"/>
      <c r="F540" s="8"/>
      <c r="G540" s="8"/>
      <c r="H540" s="8"/>
      <c r="I540" s="12"/>
      <c r="J540" s="8"/>
      <c r="K540" s="8"/>
      <c r="L540" s="12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3.15" x14ac:dyDescent="0.4">
      <c r="A541" s="12"/>
      <c r="B541" s="8"/>
      <c r="C541" s="8"/>
      <c r="D541" s="8"/>
      <c r="E541" s="8"/>
      <c r="F541" s="8"/>
      <c r="G541" s="8"/>
      <c r="H541" s="8"/>
      <c r="I541" s="12"/>
      <c r="J541" s="8"/>
      <c r="K541" s="8"/>
      <c r="L541" s="12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3.15" x14ac:dyDescent="0.4">
      <c r="A542" s="12"/>
      <c r="B542" s="8"/>
      <c r="C542" s="8"/>
      <c r="D542" s="8"/>
      <c r="E542" s="8"/>
      <c r="F542" s="8"/>
      <c r="G542" s="8"/>
      <c r="H542" s="8"/>
      <c r="I542" s="12"/>
      <c r="J542" s="8"/>
      <c r="K542" s="8"/>
      <c r="L542" s="12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3.15" x14ac:dyDescent="0.4">
      <c r="A543" s="12"/>
      <c r="B543" s="8"/>
      <c r="C543" s="8"/>
      <c r="D543" s="8"/>
      <c r="E543" s="8"/>
      <c r="F543" s="8"/>
      <c r="G543" s="8"/>
      <c r="H543" s="8"/>
      <c r="I543" s="12"/>
      <c r="J543" s="8"/>
      <c r="K543" s="8"/>
      <c r="L543" s="12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3.15" x14ac:dyDescent="0.4">
      <c r="A544" s="12"/>
      <c r="B544" s="8"/>
      <c r="C544" s="8"/>
      <c r="D544" s="8"/>
      <c r="E544" s="8"/>
      <c r="F544" s="8"/>
      <c r="G544" s="8"/>
      <c r="H544" s="8"/>
      <c r="I544" s="12"/>
      <c r="J544" s="8"/>
      <c r="K544" s="8"/>
      <c r="L544" s="12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3.15" x14ac:dyDescent="0.4">
      <c r="A545" s="12"/>
      <c r="B545" s="8"/>
      <c r="C545" s="8"/>
      <c r="D545" s="8"/>
      <c r="E545" s="8"/>
      <c r="F545" s="8"/>
      <c r="G545" s="8"/>
      <c r="H545" s="8"/>
      <c r="I545" s="12"/>
      <c r="J545" s="8"/>
      <c r="K545" s="8"/>
      <c r="L545" s="12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3.15" x14ac:dyDescent="0.4">
      <c r="A546" s="12"/>
      <c r="B546" s="8"/>
      <c r="C546" s="8"/>
      <c r="D546" s="8"/>
      <c r="E546" s="8"/>
      <c r="F546" s="8"/>
      <c r="G546" s="8"/>
      <c r="H546" s="8"/>
      <c r="I546" s="12"/>
      <c r="J546" s="8"/>
      <c r="K546" s="8"/>
      <c r="L546" s="12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3.15" x14ac:dyDescent="0.4">
      <c r="A547" s="12"/>
      <c r="B547" s="8"/>
      <c r="C547" s="8"/>
      <c r="D547" s="8"/>
      <c r="E547" s="8"/>
      <c r="F547" s="8"/>
      <c r="G547" s="8"/>
      <c r="H547" s="8"/>
      <c r="I547" s="12"/>
      <c r="J547" s="8"/>
      <c r="K547" s="8"/>
      <c r="L547" s="12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3.15" x14ac:dyDescent="0.4">
      <c r="A548" s="12"/>
      <c r="B548" s="8"/>
      <c r="C548" s="8"/>
      <c r="D548" s="8"/>
      <c r="E548" s="8"/>
      <c r="F548" s="8"/>
      <c r="G548" s="8"/>
      <c r="H548" s="8"/>
      <c r="I548" s="12"/>
      <c r="J548" s="8"/>
      <c r="K548" s="8"/>
      <c r="L548" s="12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3.15" x14ac:dyDescent="0.4">
      <c r="A549" s="12"/>
      <c r="B549" s="8"/>
      <c r="C549" s="8"/>
      <c r="D549" s="8"/>
      <c r="E549" s="8"/>
      <c r="F549" s="8"/>
      <c r="G549" s="8"/>
      <c r="H549" s="8"/>
      <c r="I549" s="12"/>
      <c r="J549" s="8"/>
      <c r="K549" s="8"/>
      <c r="L549" s="12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3.15" x14ac:dyDescent="0.4">
      <c r="A550" s="12"/>
      <c r="B550" s="8"/>
      <c r="C550" s="8"/>
      <c r="D550" s="8"/>
      <c r="E550" s="8"/>
      <c r="F550" s="8"/>
      <c r="G550" s="8"/>
      <c r="H550" s="8"/>
      <c r="I550" s="12"/>
      <c r="J550" s="8"/>
      <c r="K550" s="8"/>
      <c r="L550" s="12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3.15" x14ac:dyDescent="0.4">
      <c r="A551" s="12"/>
      <c r="B551" s="8"/>
      <c r="C551" s="8"/>
      <c r="D551" s="8"/>
      <c r="E551" s="8"/>
      <c r="F551" s="8"/>
      <c r="G551" s="8"/>
      <c r="H551" s="8"/>
      <c r="I551" s="12"/>
      <c r="J551" s="8"/>
      <c r="K551" s="8"/>
      <c r="L551" s="12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3.15" x14ac:dyDescent="0.4">
      <c r="A552" s="12"/>
      <c r="B552" s="8"/>
      <c r="C552" s="8"/>
      <c r="D552" s="8"/>
      <c r="E552" s="8"/>
      <c r="F552" s="8"/>
      <c r="G552" s="8"/>
      <c r="H552" s="8"/>
      <c r="I552" s="12"/>
      <c r="J552" s="8"/>
      <c r="K552" s="8"/>
      <c r="L552" s="12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3.15" x14ac:dyDescent="0.4">
      <c r="A553" s="12"/>
      <c r="B553" s="8"/>
      <c r="C553" s="8"/>
      <c r="D553" s="8"/>
      <c r="E553" s="8"/>
      <c r="F553" s="8"/>
      <c r="G553" s="8"/>
      <c r="H553" s="8"/>
      <c r="I553" s="12"/>
      <c r="J553" s="8"/>
      <c r="K553" s="8"/>
      <c r="L553" s="12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3.15" x14ac:dyDescent="0.4">
      <c r="A554" s="12"/>
      <c r="B554" s="8"/>
      <c r="C554" s="8"/>
      <c r="D554" s="8"/>
      <c r="E554" s="8"/>
      <c r="F554" s="8"/>
      <c r="G554" s="8"/>
      <c r="H554" s="8"/>
      <c r="I554" s="12"/>
      <c r="J554" s="8"/>
      <c r="K554" s="8"/>
      <c r="L554" s="12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3.15" x14ac:dyDescent="0.4">
      <c r="A555" s="12"/>
      <c r="B555" s="8"/>
      <c r="C555" s="8"/>
      <c r="D555" s="8"/>
      <c r="E555" s="8"/>
      <c r="F555" s="8"/>
      <c r="G555" s="8"/>
      <c r="H555" s="8"/>
      <c r="I555" s="12"/>
      <c r="J555" s="8"/>
      <c r="K555" s="8"/>
      <c r="L555" s="12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3.15" x14ac:dyDescent="0.4">
      <c r="A556" s="12"/>
      <c r="B556" s="8"/>
      <c r="C556" s="8"/>
      <c r="D556" s="8"/>
      <c r="E556" s="8"/>
      <c r="F556" s="8"/>
      <c r="G556" s="8"/>
      <c r="H556" s="8"/>
      <c r="I556" s="12"/>
      <c r="J556" s="8"/>
      <c r="K556" s="8"/>
      <c r="L556" s="12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3.15" x14ac:dyDescent="0.4">
      <c r="A557" s="12"/>
      <c r="B557" s="8"/>
      <c r="C557" s="8"/>
      <c r="D557" s="8"/>
      <c r="E557" s="8"/>
      <c r="F557" s="8"/>
      <c r="G557" s="8"/>
      <c r="H557" s="8"/>
      <c r="I557" s="12"/>
      <c r="J557" s="8"/>
      <c r="K557" s="8"/>
      <c r="L557" s="12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3.15" x14ac:dyDescent="0.4">
      <c r="A558" s="12"/>
      <c r="B558" s="8"/>
      <c r="C558" s="8"/>
      <c r="D558" s="8"/>
      <c r="E558" s="8"/>
      <c r="F558" s="8"/>
      <c r="G558" s="8"/>
      <c r="H558" s="8"/>
      <c r="I558" s="12"/>
      <c r="J558" s="8"/>
      <c r="K558" s="8"/>
      <c r="L558" s="12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3.15" x14ac:dyDescent="0.4">
      <c r="A559" s="12"/>
      <c r="B559" s="8"/>
      <c r="C559" s="8"/>
      <c r="D559" s="8"/>
      <c r="E559" s="8"/>
      <c r="F559" s="8"/>
      <c r="G559" s="8"/>
      <c r="H559" s="8"/>
      <c r="I559" s="12"/>
      <c r="J559" s="8"/>
      <c r="K559" s="8"/>
      <c r="L559" s="12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3.15" x14ac:dyDescent="0.4">
      <c r="A560" s="12"/>
      <c r="B560" s="8"/>
      <c r="C560" s="8"/>
      <c r="D560" s="8"/>
      <c r="E560" s="8"/>
      <c r="F560" s="8"/>
      <c r="G560" s="8"/>
      <c r="H560" s="8"/>
      <c r="I560" s="12"/>
      <c r="J560" s="8"/>
      <c r="K560" s="8"/>
      <c r="L560" s="12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3.15" x14ac:dyDescent="0.4">
      <c r="A561" s="12"/>
      <c r="B561" s="8"/>
      <c r="C561" s="8"/>
      <c r="D561" s="8"/>
      <c r="E561" s="8"/>
      <c r="F561" s="8"/>
      <c r="G561" s="8"/>
      <c r="H561" s="8"/>
      <c r="I561" s="12"/>
      <c r="J561" s="8"/>
      <c r="K561" s="8"/>
      <c r="L561" s="12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3.15" x14ac:dyDescent="0.4">
      <c r="A562" s="12"/>
      <c r="B562" s="8"/>
      <c r="C562" s="8"/>
      <c r="D562" s="8"/>
      <c r="E562" s="8"/>
      <c r="F562" s="8"/>
      <c r="G562" s="8"/>
      <c r="H562" s="8"/>
      <c r="I562" s="12"/>
      <c r="J562" s="8"/>
      <c r="K562" s="8"/>
      <c r="L562" s="12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3.15" x14ac:dyDescent="0.4">
      <c r="A563" s="12"/>
      <c r="B563" s="8"/>
      <c r="C563" s="8"/>
      <c r="D563" s="8"/>
      <c r="E563" s="8"/>
      <c r="F563" s="8"/>
      <c r="G563" s="8"/>
      <c r="H563" s="8"/>
      <c r="I563" s="12"/>
      <c r="J563" s="8"/>
      <c r="K563" s="8"/>
      <c r="L563" s="12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3.15" x14ac:dyDescent="0.4">
      <c r="A564" s="12"/>
      <c r="B564" s="8"/>
      <c r="C564" s="8"/>
      <c r="D564" s="8"/>
      <c r="E564" s="8"/>
      <c r="F564" s="8"/>
      <c r="G564" s="8"/>
      <c r="H564" s="8"/>
      <c r="I564" s="12"/>
      <c r="J564" s="8"/>
      <c r="K564" s="8"/>
      <c r="L564" s="12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3.15" x14ac:dyDescent="0.4">
      <c r="A565" s="12"/>
      <c r="B565" s="8"/>
      <c r="C565" s="8"/>
      <c r="D565" s="8"/>
      <c r="E565" s="8"/>
      <c r="F565" s="8"/>
      <c r="G565" s="8"/>
      <c r="H565" s="8"/>
      <c r="I565" s="12"/>
      <c r="J565" s="8"/>
      <c r="K565" s="8"/>
      <c r="L565" s="12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3.15" x14ac:dyDescent="0.4">
      <c r="A566" s="12"/>
      <c r="B566" s="8"/>
      <c r="C566" s="8"/>
      <c r="D566" s="8"/>
      <c r="E566" s="8"/>
      <c r="F566" s="8"/>
      <c r="G566" s="8"/>
      <c r="H566" s="8"/>
      <c r="I566" s="12"/>
      <c r="J566" s="8"/>
      <c r="K566" s="8"/>
      <c r="L566" s="12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3.15" x14ac:dyDescent="0.4">
      <c r="A567" s="12"/>
      <c r="B567" s="8"/>
      <c r="C567" s="8"/>
      <c r="D567" s="8"/>
      <c r="E567" s="8"/>
      <c r="F567" s="8"/>
      <c r="G567" s="8"/>
      <c r="H567" s="8"/>
      <c r="I567" s="12"/>
      <c r="J567" s="8"/>
      <c r="K567" s="8"/>
      <c r="L567" s="12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3.15" x14ac:dyDescent="0.4">
      <c r="A568" s="12"/>
      <c r="B568" s="8"/>
      <c r="C568" s="8"/>
      <c r="D568" s="8"/>
      <c r="E568" s="8"/>
      <c r="F568" s="8"/>
      <c r="G568" s="8"/>
      <c r="H568" s="8"/>
      <c r="I568" s="12"/>
      <c r="J568" s="8"/>
      <c r="K568" s="8"/>
      <c r="L568" s="12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3.15" x14ac:dyDescent="0.4">
      <c r="A569" s="12"/>
      <c r="B569" s="8"/>
      <c r="C569" s="8"/>
      <c r="D569" s="8"/>
      <c r="E569" s="8"/>
      <c r="F569" s="8"/>
      <c r="G569" s="8"/>
      <c r="H569" s="8"/>
      <c r="I569" s="12"/>
      <c r="J569" s="8"/>
      <c r="K569" s="8"/>
      <c r="L569" s="12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3.15" x14ac:dyDescent="0.4">
      <c r="A570" s="12"/>
      <c r="B570" s="8"/>
      <c r="C570" s="8"/>
      <c r="D570" s="8"/>
      <c r="E570" s="8"/>
      <c r="F570" s="8"/>
      <c r="G570" s="8"/>
      <c r="H570" s="8"/>
      <c r="I570" s="12"/>
      <c r="J570" s="8"/>
      <c r="K570" s="8"/>
      <c r="L570" s="12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3.15" x14ac:dyDescent="0.4">
      <c r="A571" s="12"/>
      <c r="B571" s="8"/>
      <c r="C571" s="8"/>
      <c r="D571" s="8"/>
      <c r="E571" s="8"/>
      <c r="F571" s="8"/>
      <c r="G571" s="8"/>
      <c r="H571" s="8"/>
      <c r="I571" s="12"/>
      <c r="J571" s="8"/>
      <c r="K571" s="8"/>
      <c r="L571" s="12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3.15" x14ac:dyDescent="0.4">
      <c r="A572" s="12"/>
      <c r="B572" s="8"/>
      <c r="C572" s="8"/>
      <c r="D572" s="8"/>
      <c r="E572" s="8"/>
      <c r="F572" s="8"/>
      <c r="G572" s="8"/>
      <c r="H572" s="8"/>
      <c r="I572" s="12"/>
      <c r="J572" s="8"/>
      <c r="K572" s="8"/>
      <c r="L572" s="12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3.15" x14ac:dyDescent="0.4">
      <c r="A573" s="12"/>
      <c r="B573" s="8"/>
      <c r="C573" s="8"/>
      <c r="D573" s="8"/>
      <c r="E573" s="8"/>
      <c r="F573" s="8"/>
      <c r="G573" s="8"/>
      <c r="H573" s="8"/>
      <c r="I573" s="12"/>
      <c r="J573" s="8"/>
      <c r="K573" s="8"/>
      <c r="L573" s="12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3.15" x14ac:dyDescent="0.4">
      <c r="A574" s="12"/>
      <c r="B574" s="8"/>
      <c r="C574" s="8"/>
      <c r="D574" s="8"/>
      <c r="E574" s="8"/>
      <c r="F574" s="8"/>
      <c r="G574" s="8"/>
      <c r="H574" s="8"/>
      <c r="I574" s="12"/>
      <c r="J574" s="8"/>
      <c r="K574" s="8"/>
      <c r="L574" s="12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3.15" x14ac:dyDescent="0.4">
      <c r="A575" s="12"/>
      <c r="B575" s="8"/>
      <c r="C575" s="8"/>
      <c r="D575" s="8"/>
      <c r="E575" s="8"/>
      <c r="F575" s="8"/>
      <c r="G575" s="8"/>
      <c r="H575" s="8"/>
      <c r="I575" s="12"/>
      <c r="J575" s="8"/>
      <c r="K575" s="8"/>
      <c r="L575" s="12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3.15" x14ac:dyDescent="0.4">
      <c r="A576" s="12"/>
      <c r="B576" s="8"/>
      <c r="C576" s="8"/>
      <c r="D576" s="8"/>
      <c r="E576" s="8"/>
      <c r="F576" s="8"/>
      <c r="G576" s="8"/>
      <c r="H576" s="8"/>
      <c r="I576" s="12"/>
      <c r="J576" s="8"/>
      <c r="K576" s="8"/>
      <c r="L576" s="12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3.15" x14ac:dyDescent="0.4">
      <c r="A577" s="12"/>
      <c r="B577" s="8"/>
      <c r="C577" s="8"/>
      <c r="D577" s="8"/>
      <c r="E577" s="8"/>
      <c r="F577" s="8"/>
      <c r="G577" s="8"/>
      <c r="H577" s="8"/>
      <c r="I577" s="12"/>
      <c r="J577" s="8"/>
      <c r="K577" s="8"/>
      <c r="L577" s="12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3.15" x14ac:dyDescent="0.4">
      <c r="A578" s="12"/>
      <c r="B578" s="8"/>
      <c r="C578" s="8"/>
      <c r="D578" s="8"/>
      <c r="E578" s="8"/>
      <c r="F578" s="8"/>
      <c r="G578" s="8"/>
      <c r="H578" s="8"/>
      <c r="I578" s="12"/>
      <c r="J578" s="8"/>
      <c r="K578" s="8"/>
      <c r="L578" s="12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3.15" x14ac:dyDescent="0.4">
      <c r="A579" s="12"/>
      <c r="B579" s="8"/>
      <c r="C579" s="8"/>
      <c r="D579" s="8"/>
      <c r="E579" s="8"/>
      <c r="F579" s="8"/>
      <c r="G579" s="8"/>
      <c r="H579" s="8"/>
      <c r="I579" s="12"/>
      <c r="J579" s="8"/>
      <c r="K579" s="8"/>
      <c r="L579" s="12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3.15" x14ac:dyDescent="0.4">
      <c r="A580" s="12"/>
      <c r="B580" s="8"/>
      <c r="C580" s="8"/>
      <c r="D580" s="8"/>
      <c r="E580" s="8"/>
      <c r="F580" s="8"/>
      <c r="G580" s="8"/>
      <c r="H580" s="8"/>
      <c r="I580" s="12"/>
      <c r="J580" s="8"/>
      <c r="K580" s="8"/>
      <c r="L580" s="12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3.15" x14ac:dyDescent="0.4">
      <c r="A581" s="12"/>
      <c r="B581" s="8"/>
      <c r="C581" s="8"/>
      <c r="D581" s="8"/>
      <c r="E581" s="8"/>
      <c r="F581" s="8"/>
      <c r="G581" s="8"/>
      <c r="H581" s="8"/>
      <c r="I581" s="12"/>
      <c r="J581" s="8"/>
      <c r="K581" s="8"/>
      <c r="L581" s="12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3.15" x14ac:dyDescent="0.4">
      <c r="A582" s="12"/>
      <c r="B582" s="8"/>
      <c r="C582" s="8"/>
      <c r="D582" s="8"/>
      <c r="E582" s="8"/>
      <c r="F582" s="8"/>
      <c r="G582" s="8"/>
      <c r="H582" s="8"/>
      <c r="I582" s="12"/>
      <c r="J582" s="8"/>
      <c r="K582" s="8"/>
      <c r="L582" s="12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3.15" x14ac:dyDescent="0.4">
      <c r="A583" s="12"/>
      <c r="B583" s="8"/>
      <c r="C583" s="8"/>
      <c r="D583" s="8"/>
      <c r="E583" s="8"/>
      <c r="F583" s="8"/>
      <c r="G583" s="8"/>
      <c r="H583" s="8"/>
      <c r="I583" s="12"/>
      <c r="J583" s="8"/>
      <c r="K583" s="8"/>
      <c r="L583" s="12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3.15" x14ac:dyDescent="0.4">
      <c r="A584" s="12"/>
      <c r="B584" s="8"/>
      <c r="C584" s="8"/>
      <c r="D584" s="8"/>
      <c r="E584" s="8"/>
      <c r="F584" s="8"/>
      <c r="G584" s="8"/>
      <c r="H584" s="8"/>
      <c r="I584" s="12"/>
      <c r="J584" s="8"/>
      <c r="K584" s="8"/>
      <c r="L584" s="12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3.15" x14ac:dyDescent="0.4">
      <c r="A585" s="12"/>
      <c r="B585" s="8"/>
      <c r="C585" s="8"/>
      <c r="D585" s="8"/>
      <c r="E585" s="8"/>
      <c r="F585" s="8"/>
      <c r="G585" s="8"/>
      <c r="H585" s="8"/>
      <c r="I585" s="12"/>
      <c r="J585" s="8"/>
      <c r="K585" s="8"/>
      <c r="L585" s="12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3.15" x14ac:dyDescent="0.4">
      <c r="A586" s="12"/>
      <c r="B586" s="8"/>
      <c r="C586" s="8"/>
      <c r="D586" s="8"/>
      <c r="E586" s="8"/>
      <c r="F586" s="8"/>
      <c r="G586" s="8"/>
      <c r="H586" s="8"/>
      <c r="I586" s="12"/>
      <c r="J586" s="8"/>
      <c r="K586" s="8"/>
      <c r="L586" s="12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3.15" x14ac:dyDescent="0.4">
      <c r="A587" s="12"/>
      <c r="B587" s="8"/>
      <c r="C587" s="8"/>
      <c r="D587" s="8"/>
      <c r="E587" s="8"/>
      <c r="F587" s="8"/>
      <c r="G587" s="8"/>
      <c r="H587" s="8"/>
      <c r="I587" s="12"/>
      <c r="J587" s="8"/>
      <c r="K587" s="8"/>
      <c r="L587" s="12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3.15" x14ac:dyDescent="0.4">
      <c r="A588" s="12"/>
      <c r="B588" s="8"/>
      <c r="C588" s="8"/>
      <c r="D588" s="8"/>
      <c r="E588" s="8"/>
      <c r="F588" s="8"/>
      <c r="G588" s="8"/>
      <c r="H588" s="8"/>
      <c r="I588" s="12"/>
      <c r="J588" s="8"/>
      <c r="K588" s="8"/>
      <c r="L588" s="12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3.15" x14ac:dyDescent="0.4">
      <c r="A589" s="12"/>
      <c r="B589" s="8"/>
      <c r="C589" s="8"/>
      <c r="D589" s="8"/>
      <c r="E589" s="8"/>
      <c r="F589" s="8"/>
      <c r="G589" s="8"/>
      <c r="H589" s="8"/>
      <c r="I589" s="12"/>
      <c r="J589" s="8"/>
      <c r="K589" s="8"/>
      <c r="L589" s="12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3.15" x14ac:dyDescent="0.4">
      <c r="A590" s="12"/>
      <c r="B590" s="8"/>
      <c r="C590" s="8"/>
      <c r="D590" s="8"/>
      <c r="E590" s="8"/>
      <c r="F590" s="8"/>
      <c r="G590" s="8"/>
      <c r="H590" s="8"/>
      <c r="I590" s="12"/>
      <c r="J590" s="8"/>
      <c r="K590" s="8"/>
      <c r="L590" s="12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3.15" x14ac:dyDescent="0.4">
      <c r="A591" s="12"/>
      <c r="B591" s="8"/>
      <c r="C591" s="8"/>
      <c r="D591" s="8"/>
      <c r="E591" s="8"/>
      <c r="F591" s="8"/>
      <c r="G591" s="8"/>
      <c r="H591" s="8"/>
      <c r="I591" s="12"/>
      <c r="J591" s="8"/>
      <c r="K591" s="8"/>
      <c r="L591" s="12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3.15" x14ac:dyDescent="0.4">
      <c r="A592" s="12"/>
      <c r="B592" s="8"/>
      <c r="C592" s="8"/>
      <c r="D592" s="8"/>
      <c r="E592" s="8"/>
      <c r="F592" s="8"/>
      <c r="G592" s="8"/>
      <c r="H592" s="8"/>
      <c r="I592" s="12"/>
      <c r="J592" s="8"/>
      <c r="K592" s="8"/>
      <c r="L592" s="12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3.15" x14ac:dyDescent="0.4">
      <c r="A593" s="12"/>
      <c r="B593" s="8"/>
      <c r="C593" s="8"/>
      <c r="D593" s="8"/>
      <c r="E593" s="8"/>
      <c r="F593" s="8"/>
      <c r="G593" s="8"/>
      <c r="H593" s="8"/>
      <c r="I593" s="12"/>
      <c r="J593" s="8"/>
      <c r="K593" s="8"/>
      <c r="L593" s="12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3.15" x14ac:dyDescent="0.4">
      <c r="A594" s="12"/>
      <c r="B594" s="8"/>
      <c r="C594" s="8"/>
      <c r="D594" s="8"/>
      <c r="E594" s="8"/>
      <c r="F594" s="8"/>
      <c r="G594" s="8"/>
      <c r="H594" s="8"/>
      <c r="I594" s="12"/>
      <c r="J594" s="8"/>
      <c r="K594" s="8"/>
      <c r="L594" s="12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3.15" x14ac:dyDescent="0.4">
      <c r="A595" s="12"/>
      <c r="B595" s="8"/>
      <c r="C595" s="8"/>
      <c r="D595" s="8"/>
      <c r="E595" s="8"/>
      <c r="F595" s="8"/>
      <c r="G595" s="8"/>
      <c r="H595" s="8"/>
      <c r="I595" s="12"/>
      <c r="J595" s="8"/>
      <c r="K595" s="8"/>
      <c r="L595" s="12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3.15" x14ac:dyDescent="0.4">
      <c r="A596" s="12"/>
      <c r="B596" s="8"/>
      <c r="C596" s="8"/>
      <c r="D596" s="8"/>
      <c r="E596" s="8"/>
      <c r="F596" s="8"/>
      <c r="G596" s="8"/>
      <c r="H596" s="8"/>
      <c r="I596" s="12"/>
      <c r="J596" s="8"/>
      <c r="K596" s="8"/>
      <c r="L596" s="12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3.15" x14ac:dyDescent="0.4">
      <c r="A597" s="12"/>
      <c r="B597" s="8"/>
      <c r="C597" s="8"/>
      <c r="D597" s="8"/>
      <c r="E597" s="8"/>
      <c r="F597" s="8"/>
      <c r="G597" s="8"/>
      <c r="H597" s="8"/>
      <c r="I597" s="12"/>
      <c r="J597" s="8"/>
      <c r="K597" s="8"/>
      <c r="L597" s="12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3.15" x14ac:dyDescent="0.4">
      <c r="A598" s="12"/>
      <c r="B598" s="8"/>
      <c r="C598" s="8"/>
      <c r="D598" s="8"/>
      <c r="E598" s="8"/>
      <c r="F598" s="8"/>
      <c r="G598" s="8"/>
      <c r="H598" s="8"/>
      <c r="I598" s="12"/>
      <c r="J598" s="8"/>
      <c r="K598" s="8"/>
      <c r="L598" s="12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3.15" x14ac:dyDescent="0.4">
      <c r="A599" s="12"/>
      <c r="B599" s="8"/>
      <c r="C599" s="8"/>
      <c r="D599" s="8"/>
      <c r="E599" s="8"/>
      <c r="F599" s="8"/>
      <c r="G599" s="8"/>
      <c r="H599" s="8"/>
      <c r="I599" s="12"/>
      <c r="J599" s="8"/>
      <c r="K599" s="8"/>
      <c r="L599" s="12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3.15" x14ac:dyDescent="0.4">
      <c r="A600" s="12"/>
      <c r="B600" s="8"/>
      <c r="C600" s="8"/>
      <c r="D600" s="8"/>
      <c r="E600" s="8"/>
      <c r="F600" s="8"/>
      <c r="G600" s="8"/>
      <c r="H600" s="8"/>
      <c r="I600" s="12"/>
      <c r="J600" s="8"/>
      <c r="K600" s="8"/>
      <c r="L600" s="12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3.15" x14ac:dyDescent="0.4">
      <c r="A601" s="12"/>
      <c r="B601" s="8"/>
      <c r="C601" s="8"/>
      <c r="D601" s="8"/>
      <c r="E601" s="8"/>
      <c r="F601" s="8"/>
      <c r="G601" s="8"/>
      <c r="H601" s="8"/>
      <c r="I601" s="12"/>
      <c r="J601" s="8"/>
      <c r="K601" s="8"/>
      <c r="L601" s="12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3.15" x14ac:dyDescent="0.4">
      <c r="A602" s="12"/>
      <c r="B602" s="8"/>
      <c r="C602" s="8"/>
      <c r="D602" s="8"/>
      <c r="E602" s="8"/>
      <c r="F602" s="8"/>
      <c r="G602" s="8"/>
      <c r="H602" s="8"/>
      <c r="I602" s="12"/>
      <c r="J602" s="8"/>
      <c r="K602" s="8"/>
      <c r="L602" s="12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3.15" x14ac:dyDescent="0.4">
      <c r="A603" s="12"/>
      <c r="B603" s="8"/>
      <c r="C603" s="8"/>
      <c r="D603" s="8"/>
      <c r="E603" s="8"/>
      <c r="F603" s="8"/>
      <c r="G603" s="8"/>
      <c r="H603" s="8"/>
      <c r="I603" s="12"/>
      <c r="J603" s="8"/>
      <c r="K603" s="8"/>
      <c r="L603" s="12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3.15" x14ac:dyDescent="0.4">
      <c r="A604" s="12"/>
      <c r="B604" s="8"/>
      <c r="C604" s="8"/>
      <c r="D604" s="8"/>
      <c r="E604" s="8"/>
      <c r="F604" s="8"/>
      <c r="G604" s="8"/>
      <c r="H604" s="8"/>
      <c r="I604" s="12"/>
      <c r="J604" s="8"/>
      <c r="K604" s="8"/>
      <c r="L604" s="12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3.15" x14ac:dyDescent="0.4">
      <c r="A605" s="12"/>
      <c r="B605" s="8"/>
      <c r="C605" s="8"/>
      <c r="D605" s="8"/>
      <c r="E605" s="8"/>
      <c r="F605" s="8"/>
      <c r="G605" s="8"/>
      <c r="H605" s="8"/>
      <c r="I605" s="12"/>
      <c r="J605" s="8"/>
      <c r="K605" s="8"/>
      <c r="L605" s="12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3.15" x14ac:dyDescent="0.4">
      <c r="A606" s="12"/>
      <c r="B606" s="8"/>
      <c r="C606" s="8"/>
      <c r="D606" s="8"/>
      <c r="E606" s="8"/>
      <c r="F606" s="8"/>
      <c r="G606" s="8"/>
      <c r="H606" s="8"/>
      <c r="I606" s="12"/>
      <c r="J606" s="8"/>
      <c r="K606" s="8"/>
      <c r="L606" s="12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3.15" x14ac:dyDescent="0.4">
      <c r="A607" s="12"/>
      <c r="B607" s="8"/>
      <c r="C607" s="8"/>
      <c r="D607" s="8"/>
      <c r="E607" s="8"/>
      <c r="F607" s="8"/>
      <c r="G607" s="8"/>
      <c r="H607" s="8"/>
      <c r="I607" s="12"/>
      <c r="J607" s="8"/>
      <c r="K607" s="8"/>
      <c r="L607" s="12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3.15" x14ac:dyDescent="0.4">
      <c r="A608" s="12"/>
      <c r="B608" s="8"/>
      <c r="C608" s="8"/>
      <c r="D608" s="8"/>
      <c r="E608" s="8"/>
      <c r="F608" s="8"/>
      <c r="G608" s="8"/>
      <c r="H608" s="8"/>
      <c r="I608" s="12"/>
      <c r="J608" s="8"/>
      <c r="K608" s="8"/>
      <c r="L608" s="12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3.15" x14ac:dyDescent="0.4">
      <c r="A609" s="12"/>
      <c r="B609" s="8"/>
      <c r="C609" s="8"/>
      <c r="D609" s="8"/>
      <c r="E609" s="8"/>
      <c r="F609" s="8"/>
      <c r="G609" s="8"/>
      <c r="H609" s="8"/>
      <c r="I609" s="12"/>
      <c r="J609" s="8"/>
      <c r="K609" s="8"/>
      <c r="L609" s="12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3.15" x14ac:dyDescent="0.4">
      <c r="A610" s="12"/>
      <c r="B610" s="8"/>
      <c r="C610" s="8"/>
      <c r="D610" s="8"/>
      <c r="E610" s="8"/>
      <c r="F610" s="8"/>
      <c r="G610" s="8"/>
      <c r="H610" s="8"/>
      <c r="I610" s="12"/>
      <c r="J610" s="8"/>
      <c r="K610" s="8"/>
      <c r="L610" s="12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3.15" x14ac:dyDescent="0.4">
      <c r="A611" s="12"/>
      <c r="B611" s="8"/>
      <c r="C611" s="8"/>
      <c r="D611" s="8"/>
      <c r="E611" s="8"/>
      <c r="F611" s="8"/>
      <c r="G611" s="8"/>
      <c r="H611" s="8"/>
      <c r="I611" s="12"/>
      <c r="J611" s="8"/>
      <c r="K611" s="8"/>
      <c r="L611" s="12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3.15" x14ac:dyDescent="0.4">
      <c r="A612" s="12"/>
      <c r="B612" s="8"/>
      <c r="C612" s="8"/>
      <c r="D612" s="8"/>
      <c r="E612" s="8"/>
      <c r="F612" s="8"/>
      <c r="G612" s="8"/>
      <c r="H612" s="8"/>
      <c r="I612" s="12"/>
      <c r="J612" s="8"/>
      <c r="K612" s="8"/>
      <c r="L612" s="12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3.15" x14ac:dyDescent="0.4">
      <c r="A613" s="12"/>
      <c r="B613" s="8"/>
      <c r="C613" s="8"/>
      <c r="D613" s="8"/>
      <c r="E613" s="8"/>
      <c r="F613" s="8"/>
      <c r="G613" s="8"/>
      <c r="H613" s="8"/>
      <c r="I613" s="12"/>
      <c r="J613" s="8"/>
      <c r="K613" s="8"/>
      <c r="L613" s="12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3.15" x14ac:dyDescent="0.4">
      <c r="A614" s="12"/>
      <c r="B614" s="8"/>
      <c r="C614" s="8"/>
      <c r="D614" s="8"/>
      <c r="E614" s="8"/>
      <c r="F614" s="8"/>
      <c r="G614" s="8"/>
      <c r="H614" s="8"/>
      <c r="I614" s="12"/>
      <c r="J614" s="8"/>
      <c r="K614" s="8"/>
      <c r="L614" s="12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3.15" x14ac:dyDescent="0.4">
      <c r="A615" s="12"/>
      <c r="B615" s="8"/>
      <c r="C615" s="8"/>
      <c r="D615" s="8"/>
      <c r="E615" s="8"/>
      <c r="F615" s="8"/>
      <c r="G615" s="8"/>
      <c r="H615" s="8"/>
      <c r="I615" s="12"/>
      <c r="J615" s="8"/>
      <c r="K615" s="8"/>
      <c r="L615" s="12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3.15" x14ac:dyDescent="0.4">
      <c r="A616" s="12"/>
      <c r="B616" s="8"/>
      <c r="C616" s="8"/>
      <c r="D616" s="8"/>
      <c r="E616" s="8"/>
      <c r="F616" s="8"/>
      <c r="G616" s="8"/>
      <c r="H616" s="8"/>
      <c r="I616" s="12"/>
      <c r="J616" s="8"/>
      <c r="K616" s="8"/>
      <c r="L616" s="12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3.15" x14ac:dyDescent="0.4">
      <c r="A617" s="12"/>
      <c r="B617" s="8"/>
      <c r="C617" s="8"/>
      <c r="D617" s="8"/>
      <c r="E617" s="8"/>
      <c r="F617" s="8"/>
      <c r="G617" s="8"/>
      <c r="H617" s="8"/>
      <c r="I617" s="12"/>
      <c r="J617" s="8"/>
      <c r="K617" s="8"/>
      <c r="L617" s="12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3.15" x14ac:dyDescent="0.4">
      <c r="A618" s="12"/>
      <c r="B618" s="8"/>
      <c r="C618" s="8"/>
      <c r="D618" s="8"/>
      <c r="E618" s="8"/>
      <c r="F618" s="8"/>
      <c r="G618" s="8"/>
      <c r="H618" s="8"/>
      <c r="I618" s="12"/>
      <c r="J618" s="8"/>
      <c r="K618" s="8"/>
      <c r="L618" s="12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3.15" x14ac:dyDescent="0.4">
      <c r="A619" s="12"/>
      <c r="B619" s="8"/>
      <c r="C619" s="8"/>
      <c r="D619" s="8"/>
      <c r="E619" s="8"/>
      <c r="F619" s="8"/>
      <c r="G619" s="8"/>
      <c r="H619" s="8"/>
      <c r="I619" s="12"/>
      <c r="J619" s="8"/>
      <c r="K619" s="8"/>
      <c r="L619" s="12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3.15" x14ac:dyDescent="0.4">
      <c r="A620" s="12"/>
      <c r="B620" s="8"/>
      <c r="C620" s="8"/>
      <c r="D620" s="8"/>
      <c r="E620" s="8"/>
      <c r="F620" s="8"/>
      <c r="G620" s="8"/>
      <c r="H620" s="8"/>
      <c r="I620" s="12"/>
      <c r="J620" s="8"/>
      <c r="K620" s="8"/>
      <c r="L620" s="12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3.15" x14ac:dyDescent="0.4">
      <c r="A621" s="12"/>
      <c r="B621" s="8"/>
      <c r="C621" s="8"/>
      <c r="D621" s="8"/>
      <c r="E621" s="8"/>
      <c r="F621" s="8"/>
      <c r="G621" s="8"/>
      <c r="H621" s="8"/>
      <c r="I621" s="12"/>
      <c r="J621" s="8"/>
      <c r="K621" s="8"/>
      <c r="L621" s="12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3.15" x14ac:dyDescent="0.4">
      <c r="A622" s="12"/>
      <c r="B622" s="8"/>
      <c r="C622" s="8"/>
      <c r="D622" s="8"/>
      <c r="E622" s="8"/>
      <c r="F622" s="8"/>
      <c r="G622" s="8"/>
      <c r="H622" s="8"/>
      <c r="I622" s="12"/>
      <c r="J622" s="8"/>
      <c r="K622" s="8"/>
      <c r="L622" s="12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3.15" x14ac:dyDescent="0.4">
      <c r="A623" s="12"/>
      <c r="B623" s="8"/>
      <c r="C623" s="8"/>
      <c r="D623" s="8"/>
      <c r="E623" s="8"/>
      <c r="F623" s="8"/>
      <c r="G623" s="8"/>
      <c r="H623" s="8"/>
      <c r="I623" s="12"/>
      <c r="J623" s="8"/>
      <c r="K623" s="8"/>
      <c r="L623" s="12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3.15" x14ac:dyDescent="0.4">
      <c r="A624" s="12"/>
      <c r="B624" s="8"/>
      <c r="C624" s="8"/>
      <c r="D624" s="8"/>
      <c r="E624" s="8"/>
      <c r="F624" s="8"/>
      <c r="G624" s="8"/>
      <c r="H624" s="8"/>
      <c r="I624" s="12"/>
      <c r="J624" s="8"/>
      <c r="K624" s="8"/>
      <c r="L624" s="12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3.15" x14ac:dyDescent="0.4">
      <c r="A625" s="12"/>
      <c r="B625" s="8"/>
      <c r="C625" s="8"/>
      <c r="D625" s="8"/>
      <c r="E625" s="8"/>
      <c r="F625" s="8"/>
      <c r="G625" s="8"/>
      <c r="H625" s="8"/>
      <c r="I625" s="12"/>
      <c r="J625" s="8"/>
      <c r="K625" s="8"/>
      <c r="L625" s="12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3.15" x14ac:dyDescent="0.4">
      <c r="A626" s="12"/>
      <c r="B626" s="8"/>
      <c r="C626" s="8"/>
      <c r="D626" s="8"/>
      <c r="E626" s="8"/>
      <c r="F626" s="8"/>
      <c r="G626" s="8"/>
      <c r="H626" s="8"/>
      <c r="I626" s="12"/>
      <c r="J626" s="8"/>
      <c r="K626" s="8"/>
      <c r="L626" s="12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3.15" x14ac:dyDescent="0.4">
      <c r="A627" s="12"/>
      <c r="B627" s="8"/>
      <c r="C627" s="8"/>
      <c r="D627" s="8"/>
      <c r="E627" s="8"/>
      <c r="F627" s="8"/>
      <c r="G627" s="8"/>
      <c r="H627" s="8"/>
      <c r="I627" s="12"/>
      <c r="J627" s="8"/>
      <c r="K627" s="8"/>
      <c r="L627" s="12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3.15" x14ac:dyDescent="0.4">
      <c r="A628" s="12"/>
      <c r="B628" s="8"/>
      <c r="C628" s="8"/>
      <c r="D628" s="8"/>
      <c r="E628" s="8"/>
      <c r="F628" s="8"/>
      <c r="G628" s="8"/>
      <c r="H628" s="8"/>
      <c r="I628" s="12"/>
      <c r="J628" s="8"/>
      <c r="K628" s="8"/>
      <c r="L628" s="12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3.15" x14ac:dyDescent="0.4">
      <c r="A629" s="12"/>
      <c r="B629" s="8"/>
      <c r="C629" s="8"/>
      <c r="D629" s="8"/>
      <c r="E629" s="8"/>
      <c r="F629" s="8"/>
      <c r="G629" s="8"/>
      <c r="H629" s="8"/>
      <c r="I629" s="12"/>
      <c r="J629" s="8"/>
      <c r="K629" s="8"/>
      <c r="L629" s="12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3.15" x14ac:dyDescent="0.4">
      <c r="A630" s="12"/>
      <c r="B630" s="8"/>
      <c r="C630" s="8"/>
      <c r="D630" s="8"/>
      <c r="E630" s="8"/>
      <c r="F630" s="8"/>
      <c r="G630" s="8"/>
      <c r="H630" s="8"/>
      <c r="I630" s="12"/>
      <c r="J630" s="8"/>
      <c r="K630" s="8"/>
      <c r="L630" s="12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3.15" x14ac:dyDescent="0.4">
      <c r="A631" s="12"/>
      <c r="B631" s="8"/>
      <c r="C631" s="8"/>
      <c r="D631" s="8"/>
      <c r="E631" s="8"/>
      <c r="F631" s="8"/>
      <c r="G631" s="8"/>
      <c r="H631" s="8"/>
      <c r="I631" s="12"/>
      <c r="J631" s="8"/>
      <c r="K631" s="8"/>
      <c r="L631" s="12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3.15" x14ac:dyDescent="0.4">
      <c r="A632" s="12"/>
      <c r="B632" s="8"/>
      <c r="C632" s="8"/>
      <c r="D632" s="8"/>
      <c r="E632" s="8"/>
      <c r="F632" s="8"/>
      <c r="G632" s="8"/>
      <c r="H632" s="8"/>
      <c r="I632" s="12"/>
      <c r="J632" s="8"/>
      <c r="K632" s="8"/>
      <c r="L632" s="12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3.15" x14ac:dyDescent="0.4">
      <c r="A633" s="12"/>
      <c r="B633" s="8"/>
      <c r="C633" s="8"/>
      <c r="D633" s="8"/>
      <c r="E633" s="8"/>
      <c r="F633" s="8"/>
      <c r="G633" s="8"/>
      <c r="H633" s="8"/>
      <c r="I633" s="12"/>
      <c r="J633" s="8"/>
      <c r="K633" s="8"/>
      <c r="L633" s="12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3.15" x14ac:dyDescent="0.4">
      <c r="A634" s="12"/>
      <c r="B634" s="8"/>
      <c r="C634" s="8"/>
      <c r="D634" s="8"/>
      <c r="E634" s="8"/>
      <c r="F634" s="8"/>
      <c r="G634" s="8"/>
      <c r="H634" s="8"/>
      <c r="I634" s="12"/>
      <c r="J634" s="8"/>
      <c r="K634" s="8"/>
      <c r="L634" s="12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3.15" x14ac:dyDescent="0.4">
      <c r="A635" s="12"/>
      <c r="B635" s="8"/>
      <c r="C635" s="8"/>
      <c r="D635" s="8"/>
      <c r="E635" s="8"/>
      <c r="F635" s="8"/>
      <c r="G635" s="8"/>
      <c r="H635" s="8"/>
      <c r="I635" s="12"/>
      <c r="J635" s="8"/>
      <c r="K635" s="8"/>
      <c r="L635" s="12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3.15" x14ac:dyDescent="0.4">
      <c r="A636" s="12"/>
      <c r="B636" s="8"/>
      <c r="C636" s="8"/>
      <c r="D636" s="8"/>
      <c r="E636" s="8"/>
      <c r="F636" s="8"/>
      <c r="G636" s="8"/>
      <c r="H636" s="8"/>
      <c r="I636" s="12"/>
      <c r="J636" s="8"/>
      <c r="K636" s="8"/>
      <c r="L636" s="12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3.15" x14ac:dyDescent="0.4">
      <c r="A637" s="12"/>
      <c r="B637" s="8"/>
      <c r="C637" s="8"/>
      <c r="D637" s="8"/>
      <c r="E637" s="8"/>
      <c r="F637" s="8"/>
      <c r="G637" s="8"/>
      <c r="H637" s="8"/>
      <c r="I637" s="12"/>
      <c r="J637" s="8"/>
      <c r="K637" s="8"/>
      <c r="L637" s="12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3.15" x14ac:dyDescent="0.4">
      <c r="A638" s="12"/>
      <c r="B638" s="8"/>
      <c r="C638" s="8"/>
      <c r="D638" s="8"/>
      <c r="E638" s="8"/>
      <c r="F638" s="8"/>
      <c r="G638" s="8"/>
      <c r="H638" s="8"/>
      <c r="I638" s="12"/>
      <c r="J638" s="8"/>
      <c r="K638" s="8"/>
      <c r="L638" s="12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3.15" x14ac:dyDescent="0.4">
      <c r="A639" s="12"/>
      <c r="B639" s="8"/>
      <c r="C639" s="8"/>
      <c r="D639" s="8"/>
      <c r="E639" s="8"/>
      <c r="F639" s="8"/>
      <c r="G639" s="8"/>
      <c r="H639" s="8"/>
      <c r="I639" s="12"/>
      <c r="J639" s="8"/>
      <c r="K639" s="8"/>
      <c r="L639" s="12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3.15" x14ac:dyDescent="0.4">
      <c r="A640" s="12"/>
      <c r="B640" s="8"/>
      <c r="C640" s="8"/>
      <c r="D640" s="8"/>
      <c r="E640" s="8"/>
      <c r="F640" s="8"/>
      <c r="G640" s="8"/>
      <c r="H640" s="8"/>
      <c r="I640" s="12"/>
      <c r="J640" s="8"/>
      <c r="K640" s="8"/>
      <c r="L640" s="12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3.15" x14ac:dyDescent="0.4">
      <c r="A641" s="12"/>
      <c r="B641" s="8"/>
      <c r="C641" s="8"/>
      <c r="D641" s="8"/>
      <c r="E641" s="8"/>
      <c r="F641" s="8"/>
      <c r="G641" s="8"/>
      <c r="H641" s="8"/>
      <c r="I641" s="12"/>
      <c r="J641" s="8"/>
      <c r="K641" s="8"/>
      <c r="L641" s="12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3.15" x14ac:dyDescent="0.4">
      <c r="A642" s="12"/>
      <c r="B642" s="8"/>
      <c r="C642" s="8"/>
      <c r="D642" s="8"/>
      <c r="E642" s="8"/>
      <c r="F642" s="8"/>
      <c r="G642" s="8"/>
      <c r="H642" s="8"/>
      <c r="I642" s="12"/>
      <c r="J642" s="8"/>
      <c r="K642" s="8"/>
      <c r="L642" s="12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3.15" x14ac:dyDescent="0.4">
      <c r="A643" s="12"/>
      <c r="B643" s="8"/>
      <c r="C643" s="8"/>
      <c r="D643" s="8"/>
      <c r="E643" s="8"/>
      <c r="F643" s="8"/>
      <c r="G643" s="8"/>
      <c r="H643" s="8"/>
      <c r="I643" s="12"/>
      <c r="J643" s="8"/>
      <c r="K643" s="8"/>
      <c r="L643" s="12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3.15" x14ac:dyDescent="0.4">
      <c r="A644" s="12"/>
      <c r="B644" s="8"/>
      <c r="C644" s="8"/>
      <c r="D644" s="8"/>
      <c r="E644" s="8"/>
      <c r="F644" s="8"/>
      <c r="G644" s="8"/>
      <c r="H644" s="8"/>
      <c r="I644" s="12"/>
      <c r="J644" s="8"/>
      <c r="K644" s="8"/>
      <c r="L644" s="12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3.15" x14ac:dyDescent="0.4">
      <c r="A645" s="12"/>
      <c r="B645" s="8"/>
      <c r="C645" s="8"/>
      <c r="D645" s="8"/>
      <c r="E645" s="8"/>
      <c r="F645" s="8"/>
      <c r="G645" s="8"/>
      <c r="H645" s="8"/>
      <c r="I645" s="12"/>
      <c r="J645" s="8"/>
      <c r="K645" s="8"/>
      <c r="L645" s="12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3.15" x14ac:dyDescent="0.4">
      <c r="A646" s="12"/>
      <c r="B646" s="8"/>
      <c r="C646" s="8"/>
      <c r="D646" s="8"/>
      <c r="E646" s="8"/>
      <c r="F646" s="8"/>
      <c r="G646" s="8"/>
      <c r="H646" s="8"/>
      <c r="I646" s="12"/>
      <c r="J646" s="8"/>
      <c r="K646" s="8"/>
      <c r="L646" s="12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3.15" x14ac:dyDescent="0.4">
      <c r="A647" s="12"/>
      <c r="B647" s="8"/>
      <c r="C647" s="8"/>
      <c r="D647" s="8"/>
      <c r="E647" s="8"/>
      <c r="F647" s="8"/>
      <c r="G647" s="8"/>
      <c r="H647" s="8"/>
      <c r="I647" s="12"/>
      <c r="J647" s="8"/>
      <c r="K647" s="8"/>
      <c r="L647" s="12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3.15" x14ac:dyDescent="0.4">
      <c r="A648" s="12"/>
      <c r="B648" s="8"/>
      <c r="C648" s="8"/>
      <c r="D648" s="8"/>
      <c r="E648" s="8"/>
      <c r="F648" s="8"/>
      <c r="G648" s="8"/>
      <c r="H648" s="8"/>
      <c r="I648" s="12"/>
      <c r="J648" s="8"/>
      <c r="K648" s="8"/>
      <c r="L648" s="12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3.15" x14ac:dyDescent="0.4">
      <c r="A649" s="12"/>
      <c r="B649" s="8"/>
      <c r="C649" s="8"/>
      <c r="D649" s="8"/>
      <c r="E649" s="8"/>
      <c r="F649" s="8"/>
      <c r="G649" s="8"/>
      <c r="H649" s="8"/>
      <c r="I649" s="12"/>
      <c r="J649" s="8"/>
      <c r="K649" s="8"/>
      <c r="L649" s="12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3.15" x14ac:dyDescent="0.4">
      <c r="A650" s="12"/>
      <c r="B650" s="8"/>
      <c r="C650" s="8"/>
      <c r="D650" s="8"/>
      <c r="E650" s="8"/>
      <c r="F650" s="8"/>
      <c r="G650" s="8"/>
      <c r="H650" s="8"/>
      <c r="I650" s="12"/>
      <c r="J650" s="8"/>
      <c r="K650" s="8"/>
      <c r="L650" s="12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3.15" x14ac:dyDescent="0.4">
      <c r="A651" s="12"/>
      <c r="B651" s="8"/>
      <c r="C651" s="8"/>
      <c r="D651" s="8"/>
      <c r="E651" s="8"/>
      <c r="F651" s="8"/>
      <c r="G651" s="8"/>
      <c r="H651" s="8"/>
      <c r="I651" s="12"/>
      <c r="J651" s="8"/>
      <c r="K651" s="8"/>
      <c r="L651" s="12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3.15" x14ac:dyDescent="0.4">
      <c r="A652" s="12"/>
      <c r="B652" s="8"/>
      <c r="C652" s="8"/>
      <c r="D652" s="8"/>
      <c r="E652" s="8"/>
      <c r="F652" s="8"/>
      <c r="G652" s="8"/>
      <c r="H652" s="8"/>
      <c r="I652" s="12"/>
      <c r="J652" s="8"/>
      <c r="K652" s="8"/>
      <c r="L652" s="12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3.15" x14ac:dyDescent="0.4">
      <c r="A653" s="12"/>
      <c r="B653" s="8"/>
      <c r="C653" s="8"/>
      <c r="D653" s="8"/>
      <c r="E653" s="8"/>
      <c r="F653" s="8"/>
      <c r="G653" s="8"/>
      <c r="H653" s="8"/>
      <c r="I653" s="12"/>
      <c r="J653" s="8"/>
      <c r="K653" s="8"/>
      <c r="L653" s="12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3.15" x14ac:dyDescent="0.4">
      <c r="A654" s="12"/>
      <c r="B654" s="8"/>
      <c r="C654" s="8"/>
      <c r="D654" s="8"/>
      <c r="E654" s="8"/>
      <c r="F654" s="8"/>
      <c r="G654" s="8"/>
      <c r="H654" s="8"/>
      <c r="I654" s="12"/>
      <c r="J654" s="8"/>
      <c r="K654" s="8"/>
      <c r="L654" s="12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3.15" x14ac:dyDescent="0.4">
      <c r="A655" s="12"/>
      <c r="B655" s="8"/>
      <c r="C655" s="8"/>
      <c r="D655" s="8"/>
      <c r="E655" s="8"/>
      <c r="F655" s="8"/>
      <c r="G655" s="8"/>
      <c r="H655" s="8"/>
      <c r="I655" s="12"/>
      <c r="J655" s="8"/>
      <c r="K655" s="8"/>
      <c r="L655" s="12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3.15" x14ac:dyDescent="0.4">
      <c r="A656" s="12"/>
      <c r="B656" s="8"/>
      <c r="C656" s="8"/>
      <c r="D656" s="8"/>
      <c r="E656" s="8"/>
      <c r="F656" s="8"/>
      <c r="G656" s="8"/>
      <c r="H656" s="8"/>
      <c r="I656" s="12"/>
      <c r="J656" s="8"/>
      <c r="K656" s="8"/>
      <c r="L656" s="12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3.15" x14ac:dyDescent="0.4">
      <c r="A657" s="12"/>
      <c r="B657" s="8"/>
      <c r="C657" s="8"/>
      <c r="D657" s="8"/>
      <c r="E657" s="8"/>
      <c r="F657" s="8"/>
      <c r="G657" s="8"/>
      <c r="H657" s="8"/>
      <c r="I657" s="12"/>
      <c r="J657" s="8"/>
      <c r="K657" s="8"/>
      <c r="L657" s="12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3.15" x14ac:dyDescent="0.4">
      <c r="A658" s="12"/>
      <c r="B658" s="8"/>
      <c r="C658" s="8"/>
      <c r="D658" s="8"/>
      <c r="E658" s="8"/>
      <c r="F658" s="8"/>
      <c r="G658" s="8"/>
      <c r="H658" s="8"/>
      <c r="I658" s="12"/>
      <c r="J658" s="8"/>
      <c r="K658" s="8"/>
      <c r="L658" s="12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3.15" x14ac:dyDescent="0.4">
      <c r="A659" s="12"/>
      <c r="B659" s="8"/>
      <c r="C659" s="8"/>
      <c r="D659" s="8"/>
      <c r="E659" s="8"/>
      <c r="F659" s="8"/>
      <c r="G659" s="8"/>
      <c r="H659" s="8"/>
      <c r="I659" s="12"/>
      <c r="J659" s="8"/>
      <c r="K659" s="8"/>
      <c r="L659" s="12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3.15" x14ac:dyDescent="0.4">
      <c r="A660" s="12"/>
      <c r="B660" s="8"/>
      <c r="C660" s="8"/>
      <c r="D660" s="8"/>
      <c r="E660" s="8"/>
      <c r="F660" s="8"/>
      <c r="G660" s="8"/>
      <c r="H660" s="8"/>
      <c r="I660" s="12"/>
      <c r="J660" s="8"/>
      <c r="K660" s="8"/>
      <c r="L660" s="12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3.15" x14ac:dyDescent="0.4">
      <c r="A661" s="12"/>
      <c r="B661" s="8"/>
      <c r="C661" s="8"/>
      <c r="D661" s="8"/>
      <c r="E661" s="8"/>
      <c r="F661" s="8"/>
      <c r="G661" s="8"/>
      <c r="H661" s="8"/>
      <c r="I661" s="12"/>
      <c r="J661" s="8"/>
      <c r="K661" s="8"/>
      <c r="L661" s="12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3.15" x14ac:dyDescent="0.4">
      <c r="A662" s="12"/>
      <c r="B662" s="8"/>
      <c r="C662" s="8"/>
      <c r="D662" s="8"/>
      <c r="E662" s="8"/>
      <c r="F662" s="8"/>
      <c r="G662" s="8"/>
      <c r="H662" s="8"/>
      <c r="I662" s="12"/>
      <c r="J662" s="8"/>
      <c r="K662" s="8"/>
      <c r="L662" s="12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3.15" x14ac:dyDescent="0.4">
      <c r="A663" s="12"/>
      <c r="B663" s="8"/>
      <c r="C663" s="8"/>
      <c r="D663" s="8"/>
      <c r="E663" s="8"/>
      <c r="F663" s="8"/>
      <c r="G663" s="8"/>
      <c r="H663" s="8"/>
      <c r="I663" s="12"/>
      <c r="J663" s="8"/>
      <c r="K663" s="8"/>
      <c r="L663" s="12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3.15" x14ac:dyDescent="0.4">
      <c r="A664" s="12"/>
      <c r="B664" s="8"/>
      <c r="C664" s="8"/>
      <c r="D664" s="8"/>
      <c r="E664" s="8"/>
      <c r="F664" s="8"/>
      <c r="G664" s="8"/>
      <c r="H664" s="8"/>
      <c r="I664" s="12"/>
      <c r="J664" s="8"/>
      <c r="K664" s="8"/>
      <c r="L664" s="12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3.15" x14ac:dyDescent="0.4">
      <c r="A665" s="12"/>
      <c r="B665" s="8"/>
      <c r="C665" s="8"/>
      <c r="D665" s="8"/>
      <c r="E665" s="8"/>
      <c r="F665" s="8"/>
      <c r="G665" s="8"/>
      <c r="H665" s="8"/>
      <c r="I665" s="12"/>
      <c r="J665" s="8"/>
      <c r="K665" s="8"/>
      <c r="L665" s="12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3.15" x14ac:dyDescent="0.4">
      <c r="A666" s="12"/>
      <c r="B666" s="8"/>
      <c r="C666" s="8"/>
      <c r="D666" s="8"/>
      <c r="E666" s="8"/>
      <c r="F666" s="8"/>
      <c r="G666" s="8"/>
      <c r="H666" s="8"/>
      <c r="I666" s="12"/>
      <c r="J666" s="8"/>
      <c r="K666" s="8"/>
      <c r="L666" s="12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3.15" x14ac:dyDescent="0.4">
      <c r="A667" s="12"/>
      <c r="B667" s="8"/>
      <c r="C667" s="8"/>
      <c r="D667" s="8"/>
      <c r="E667" s="8"/>
      <c r="F667" s="8"/>
      <c r="G667" s="8"/>
      <c r="H667" s="8"/>
      <c r="I667" s="12"/>
      <c r="J667" s="8"/>
      <c r="K667" s="8"/>
      <c r="L667" s="12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3.15" x14ac:dyDescent="0.4">
      <c r="A668" s="12"/>
      <c r="B668" s="8"/>
      <c r="C668" s="8"/>
      <c r="D668" s="8"/>
      <c r="E668" s="8"/>
      <c r="F668" s="8"/>
      <c r="G668" s="8"/>
      <c r="H668" s="8"/>
      <c r="I668" s="12"/>
      <c r="J668" s="8"/>
      <c r="K668" s="8"/>
      <c r="L668" s="12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3.15" x14ac:dyDescent="0.4">
      <c r="A669" s="12"/>
      <c r="B669" s="8"/>
      <c r="C669" s="8"/>
      <c r="D669" s="8"/>
      <c r="E669" s="8"/>
      <c r="F669" s="8"/>
      <c r="G669" s="8"/>
      <c r="H669" s="8"/>
      <c r="I669" s="12"/>
      <c r="J669" s="8"/>
      <c r="K669" s="8"/>
      <c r="L669" s="12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3.15" x14ac:dyDescent="0.4">
      <c r="A670" s="12"/>
      <c r="B670" s="8"/>
      <c r="C670" s="8"/>
      <c r="D670" s="8"/>
      <c r="E670" s="8"/>
      <c r="F670" s="8"/>
      <c r="G670" s="8"/>
      <c r="H670" s="8"/>
      <c r="I670" s="12"/>
      <c r="J670" s="8"/>
      <c r="K670" s="8"/>
      <c r="L670" s="12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3.15" x14ac:dyDescent="0.4">
      <c r="A671" s="12"/>
      <c r="B671" s="8"/>
      <c r="C671" s="8"/>
      <c r="D671" s="8"/>
      <c r="E671" s="8"/>
      <c r="F671" s="8"/>
      <c r="G671" s="8"/>
      <c r="H671" s="8"/>
      <c r="I671" s="12"/>
      <c r="J671" s="8"/>
      <c r="K671" s="8"/>
      <c r="L671" s="12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3.15" x14ac:dyDescent="0.4">
      <c r="A672" s="12"/>
      <c r="B672" s="8"/>
      <c r="C672" s="8"/>
      <c r="D672" s="8"/>
      <c r="E672" s="8"/>
      <c r="F672" s="8"/>
      <c r="G672" s="8"/>
      <c r="H672" s="8"/>
      <c r="I672" s="12"/>
      <c r="J672" s="8"/>
      <c r="K672" s="8"/>
      <c r="L672" s="12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3.15" x14ac:dyDescent="0.4">
      <c r="A673" s="12"/>
      <c r="B673" s="8"/>
      <c r="C673" s="8"/>
      <c r="D673" s="8"/>
      <c r="E673" s="8"/>
      <c r="F673" s="8"/>
      <c r="G673" s="8"/>
      <c r="H673" s="8"/>
      <c r="I673" s="12"/>
      <c r="J673" s="8"/>
      <c r="K673" s="8"/>
      <c r="L673" s="12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3.15" x14ac:dyDescent="0.4">
      <c r="A674" s="12"/>
      <c r="B674" s="8"/>
      <c r="C674" s="8"/>
      <c r="D674" s="8"/>
      <c r="E674" s="8"/>
      <c r="F674" s="8"/>
      <c r="G674" s="8"/>
      <c r="H674" s="8"/>
      <c r="I674" s="12"/>
      <c r="J674" s="8"/>
      <c r="K674" s="8"/>
      <c r="L674" s="12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3.15" x14ac:dyDescent="0.4">
      <c r="A675" s="12"/>
      <c r="B675" s="8"/>
      <c r="C675" s="8"/>
      <c r="D675" s="8"/>
      <c r="E675" s="8"/>
      <c r="F675" s="8"/>
      <c r="G675" s="8"/>
      <c r="H675" s="8"/>
      <c r="I675" s="12"/>
      <c r="J675" s="8"/>
      <c r="K675" s="8"/>
      <c r="L675" s="12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3.15" x14ac:dyDescent="0.4">
      <c r="A676" s="12"/>
      <c r="B676" s="8"/>
      <c r="C676" s="8"/>
      <c r="D676" s="8"/>
      <c r="E676" s="8"/>
      <c r="F676" s="8"/>
      <c r="G676" s="8"/>
      <c r="H676" s="8"/>
      <c r="I676" s="12"/>
      <c r="J676" s="8"/>
      <c r="K676" s="8"/>
      <c r="L676" s="12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3.15" x14ac:dyDescent="0.4">
      <c r="A677" s="12"/>
      <c r="B677" s="8"/>
      <c r="C677" s="8"/>
      <c r="D677" s="8"/>
      <c r="E677" s="8"/>
      <c r="F677" s="8"/>
      <c r="G677" s="8"/>
      <c r="H677" s="8"/>
      <c r="I677" s="12"/>
      <c r="J677" s="8"/>
      <c r="K677" s="8"/>
      <c r="L677" s="12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3.15" x14ac:dyDescent="0.4">
      <c r="A678" s="12"/>
      <c r="B678" s="8"/>
      <c r="C678" s="8"/>
      <c r="D678" s="8"/>
      <c r="E678" s="8"/>
      <c r="F678" s="8"/>
      <c r="G678" s="8"/>
      <c r="H678" s="8"/>
      <c r="I678" s="12"/>
      <c r="J678" s="8"/>
      <c r="K678" s="8"/>
      <c r="L678" s="12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3.15" x14ac:dyDescent="0.4">
      <c r="A679" s="12"/>
      <c r="B679" s="8"/>
      <c r="C679" s="8"/>
      <c r="D679" s="8"/>
      <c r="E679" s="8"/>
      <c r="F679" s="8"/>
      <c r="G679" s="8"/>
      <c r="H679" s="8"/>
      <c r="I679" s="12"/>
      <c r="J679" s="8"/>
      <c r="K679" s="8"/>
      <c r="L679" s="12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3.15" x14ac:dyDescent="0.4">
      <c r="A680" s="12"/>
      <c r="B680" s="8"/>
      <c r="C680" s="8"/>
      <c r="D680" s="8"/>
      <c r="E680" s="8"/>
      <c r="F680" s="8"/>
      <c r="G680" s="8"/>
      <c r="H680" s="8"/>
      <c r="I680" s="12"/>
      <c r="J680" s="8"/>
      <c r="K680" s="8"/>
      <c r="L680" s="12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3.15" x14ac:dyDescent="0.4">
      <c r="A681" s="12"/>
      <c r="B681" s="8"/>
      <c r="C681" s="8"/>
      <c r="D681" s="8"/>
      <c r="E681" s="8"/>
      <c r="F681" s="8"/>
      <c r="G681" s="8"/>
      <c r="H681" s="8"/>
      <c r="I681" s="12"/>
      <c r="J681" s="8"/>
      <c r="K681" s="8"/>
      <c r="L681" s="12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3.15" x14ac:dyDescent="0.4">
      <c r="A682" s="12"/>
      <c r="B682" s="8"/>
      <c r="C682" s="8"/>
      <c r="D682" s="8"/>
      <c r="E682" s="8"/>
      <c r="F682" s="8"/>
      <c r="G682" s="8"/>
      <c r="H682" s="8"/>
      <c r="I682" s="12"/>
      <c r="J682" s="8"/>
      <c r="K682" s="8"/>
      <c r="L682" s="12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3.15" x14ac:dyDescent="0.4">
      <c r="A683" s="12"/>
      <c r="B683" s="8"/>
      <c r="C683" s="8"/>
      <c r="D683" s="8"/>
      <c r="E683" s="8"/>
      <c r="F683" s="8"/>
      <c r="G683" s="8"/>
      <c r="H683" s="8"/>
      <c r="I683" s="12"/>
      <c r="J683" s="8"/>
      <c r="K683" s="8"/>
      <c r="L683" s="12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3.15" x14ac:dyDescent="0.4">
      <c r="A684" s="12"/>
      <c r="B684" s="8"/>
      <c r="C684" s="8"/>
      <c r="D684" s="8"/>
      <c r="E684" s="8"/>
      <c r="F684" s="8"/>
      <c r="G684" s="8"/>
      <c r="H684" s="8"/>
      <c r="I684" s="12"/>
      <c r="J684" s="8"/>
      <c r="K684" s="8"/>
      <c r="L684" s="12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3.15" x14ac:dyDescent="0.4">
      <c r="A685" s="12"/>
      <c r="B685" s="8"/>
      <c r="C685" s="8"/>
      <c r="D685" s="8"/>
      <c r="E685" s="8"/>
      <c r="F685" s="8"/>
      <c r="G685" s="8"/>
      <c r="H685" s="8"/>
      <c r="I685" s="12"/>
      <c r="J685" s="8"/>
      <c r="K685" s="8"/>
      <c r="L685" s="12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3.15" x14ac:dyDescent="0.4">
      <c r="A686" s="12"/>
      <c r="B686" s="8"/>
      <c r="C686" s="8"/>
      <c r="D686" s="8"/>
      <c r="E686" s="8"/>
      <c r="F686" s="8"/>
      <c r="G686" s="8"/>
      <c r="H686" s="8"/>
      <c r="I686" s="12"/>
      <c r="J686" s="8"/>
      <c r="K686" s="8"/>
      <c r="L686" s="12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3.15" x14ac:dyDescent="0.4">
      <c r="A687" s="12"/>
      <c r="B687" s="8"/>
      <c r="C687" s="8"/>
      <c r="D687" s="8"/>
      <c r="E687" s="8"/>
      <c r="F687" s="8"/>
      <c r="G687" s="8"/>
      <c r="H687" s="8"/>
      <c r="I687" s="12"/>
      <c r="J687" s="8"/>
      <c r="K687" s="8"/>
      <c r="L687" s="12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3.15" x14ac:dyDescent="0.4">
      <c r="A688" s="12"/>
      <c r="B688" s="8"/>
      <c r="C688" s="8"/>
      <c r="D688" s="8"/>
      <c r="E688" s="8"/>
      <c r="F688" s="8"/>
      <c r="G688" s="8"/>
      <c r="H688" s="8"/>
      <c r="I688" s="12"/>
      <c r="J688" s="8"/>
      <c r="K688" s="8"/>
      <c r="L688" s="12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3.15" x14ac:dyDescent="0.4">
      <c r="A689" s="12"/>
      <c r="B689" s="8"/>
      <c r="C689" s="8"/>
      <c r="D689" s="8"/>
      <c r="E689" s="8"/>
      <c r="F689" s="8"/>
      <c r="G689" s="8"/>
      <c r="H689" s="8"/>
      <c r="I689" s="12"/>
      <c r="J689" s="8"/>
      <c r="K689" s="8"/>
      <c r="L689" s="12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3.15" x14ac:dyDescent="0.4">
      <c r="A690" s="12"/>
      <c r="B690" s="8"/>
      <c r="C690" s="8"/>
      <c r="D690" s="8"/>
      <c r="E690" s="8"/>
      <c r="F690" s="8"/>
      <c r="G690" s="8"/>
      <c r="H690" s="8"/>
      <c r="I690" s="12"/>
      <c r="J690" s="8"/>
      <c r="K690" s="8"/>
      <c r="L690" s="12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3.15" x14ac:dyDescent="0.4">
      <c r="A691" s="12"/>
      <c r="B691" s="8"/>
      <c r="C691" s="8"/>
      <c r="D691" s="8"/>
      <c r="E691" s="8"/>
      <c r="F691" s="8"/>
      <c r="G691" s="8"/>
      <c r="H691" s="8"/>
      <c r="I691" s="12"/>
      <c r="J691" s="8"/>
      <c r="K691" s="8"/>
      <c r="L691" s="12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3.15" x14ac:dyDescent="0.4">
      <c r="A692" s="12"/>
      <c r="B692" s="8"/>
      <c r="C692" s="8"/>
      <c r="D692" s="8"/>
      <c r="E692" s="8"/>
      <c r="F692" s="8"/>
      <c r="G692" s="8"/>
      <c r="H692" s="8"/>
      <c r="I692" s="12"/>
      <c r="J692" s="8"/>
      <c r="K692" s="8"/>
      <c r="L692" s="12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3.15" x14ac:dyDescent="0.4">
      <c r="A693" s="12"/>
      <c r="B693" s="8"/>
      <c r="C693" s="8"/>
      <c r="D693" s="8"/>
      <c r="E693" s="8"/>
      <c r="F693" s="8"/>
      <c r="G693" s="8"/>
      <c r="H693" s="8"/>
      <c r="I693" s="12"/>
      <c r="J693" s="8"/>
      <c r="K693" s="8"/>
      <c r="L693" s="12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3.15" x14ac:dyDescent="0.4">
      <c r="A694" s="12"/>
      <c r="B694" s="8"/>
      <c r="C694" s="8"/>
      <c r="D694" s="8"/>
      <c r="E694" s="8"/>
      <c r="F694" s="8"/>
      <c r="G694" s="8"/>
      <c r="H694" s="8"/>
      <c r="I694" s="12"/>
      <c r="J694" s="8"/>
      <c r="K694" s="8"/>
      <c r="L694" s="12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3.15" x14ac:dyDescent="0.4">
      <c r="A695" s="12"/>
      <c r="B695" s="8"/>
      <c r="C695" s="8"/>
      <c r="D695" s="8"/>
      <c r="E695" s="8"/>
      <c r="F695" s="8"/>
      <c r="G695" s="8"/>
      <c r="H695" s="8"/>
      <c r="I695" s="12"/>
      <c r="J695" s="8"/>
      <c r="K695" s="8"/>
      <c r="L695" s="12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3.15" x14ac:dyDescent="0.4">
      <c r="A696" s="12"/>
      <c r="B696" s="8"/>
      <c r="C696" s="8"/>
      <c r="D696" s="8"/>
      <c r="E696" s="8"/>
      <c r="F696" s="8"/>
      <c r="G696" s="8"/>
      <c r="H696" s="8"/>
      <c r="I696" s="12"/>
      <c r="J696" s="8"/>
      <c r="K696" s="8"/>
      <c r="L696" s="12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3.15" x14ac:dyDescent="0.4">
      <c r="A697" s="12"/>
      <c r="B697" s="8"/>
      <c r="C697" s="8"/>
      <c r="D697" s="8"/>
      <c r="E697" s="8"/>
      <c r="F697" s="8"/>
      <c r="G697" s="8"/>
      <c r="H697" s="8"/>
      <c r="I697" s="12"/>
      <c r="J697" s="8"/>
      <c r="K697" s="8"/>
      <c r="L697" s="12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3.15" x14ac:dyDescent="0.4">
      <c r="A698" s="12"/>
      <c r="B698" s="8"/>
      <c r="C698" s="8"/>
      <c r="D698" s="8"/>
      <c r="E698" s="8"/>
      <c r="F698" s="8"/>
      <c r="G698" s="8"/>
      <c r="H698" s="8"/>
      <c r="I698" s="12"/>
      <c r="J698" s="8"/>
      <c r="K698" s="8"/>
      <c r="L698" s="12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3.15" x14ac:dyDescent="0.4">
      <c r="A699" s="12"/>
      <c r="B699" s="8"/>
      <c r="C699" s="8"/>
      <c r="D699" s="8"/>
      <c r="E699" s="8"/>
      <c r="F699" s="8"/>
      <c r="G699" s="8"/>
      <c r="H699" s="8"/>
      <c r="I699" s="12"/>
      <c r="J699" s="8"/>
      <c r="K699" s="8"/>
      <c r="L699" s="12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3.15" x14ac:dyDescent="0.4">
      <c r="A700" s="12"/>
      <c r="B700" s="8"/>
      <c r="C700" s="8"/>
      <c r="D700" s="8"/>
      <c r="E700" s="8"/>
      <c r="F700" s="8"/>
      <c r="G700" s="8"/>
      <c r="H700" s="8"/>
      <c r="I700" s="12"/>
      <c r="J700" s="8"/>
      <c r="K700" s="8"/>
      <c r="L700" s="12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3.15" x14ac:dyDescent="0.4">
      <c r="A701" s="12"/>
      <c r="B701" s="8"/>
      <c r="C701" s="8"/>
      <c r="D701" s="8"/>
      <c r="E701" s="8"/>
      <c r="F701" s="8"/>
      <c r="G701" s="8"/>
      <c r="H701" s="8"/>
      <c r="I701" s="12"/>
      <c r="J701" s="8"/>
      <c r="K701" s="8"/>
      <c r="L701" s="12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3.15" x14ac:dyDescent="0.4">
      <c r="A702" s="12"/>
      <c r="B702" s="8"/>
      <c r="C702" s="8"/>
      <c r="D702" s="8"/>
      <c r="E702" s="8"/>
      <c r="F702" s="8"/>
      <c r="G702" s="8"/>
      <c r="H702" s="8"/>
      <c r="I702" s="12"/>
      <c r="J702" s="8"/>
      <c r="K702" s="8"/>
      <c r="L702" s="12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3.15" x14ac:dyDescent="0.4">
      <c r="A703" s="12"/>
      <c r="B703" s="8"/>
      <c r="C703" s="8"/>
      <c r="D703" s="8"/>
      <c r="E703" s="8"/>
      <c r="F703" s="8"/>
      <c r="G703" s="8"/>
      <c r="H703" s="8"/>
      <c r="I703" s="12"/>
      <c r="J703" s="8"/>
      <c r="K703" s="8"/>
      <c r="L703" s="12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3.15" x14ac:dyDescent="0.4">
      <c r="A704" s="12"/>
      <c r="B704" s="8"/>
      <c r="C704" s="8"/>
      <c r="D704" s="8"/>
      <c r="E704" s="8"/>
      <c r="F704" s="8"/>
      <c r="G704" s="8"/>
      <c r="H704" s="8"/>
      <c r="I704" s="12"/>
      <c r="J704" s="8"/>
      <c r="K704" s="8"/>
      <c r="L704" s="12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3.15" x14ac:dyDescent="0.4">
      <c r="A705" s="12"/>
      <c r="B705" s="8"/>
      <c r="C705" s="8"/>
      <c r="D705" s="8"/>
      <c r="E705" s="8"/>
      <c r="F705" s="8"/>
      <c r="G705" s="8"/>
      <c r="H705" s="8"/>
      <c r="I705" s="12"/>
      <c r="J705" s="8"/>
      <c r="K705" s="8"/>
      <c r="L705" s="12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3.15" x14ac:dyDescent="0.4">
      <c r="A706" s="12"/>
      <c r="B706" s="8"/>
      <c r="C706" s="8"/>
      <c r="D706" s="8"/>
      <c r="E706" s="8"/>
      <c r="F706" s="8"/>
      <c r="G706" s="8"/>
      <c r="H706" s="8"/>
      <c r="I706" s="12"/>
      <c r="J706" s="8"/>
      <c r="K706" s="8"/>
      <c r="L706" s="12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3.15" x14ac:dyDescent="0.4">
      <c r="A707" s="12"/>
      <c r="B707" s="8"/>
      <c r="C707" s="8"/>
      <c r="D707" s="8"/>
      <c r="E707" s="8"/>
      <c r="F707" s="8"/>
      <c r="G707" s="8"/>
      <c r="H707" s="8"/>
      <c r="I707" s="12"/>
      <c r="J707" s="8"/>
      <c r="K707" s="8"/>
      <c r="L707" s="12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3.15" x14ac:dyDescent="0.4">
      <c r="A708" s="12"/>
      <c r="B708" s="8"/>
      <c r="C708" s="8"/>
      <c r="D708" s="8"/>
      <c r="E708" s="8"/>
      <c r="F708" s="8"/>
      <c r="G708" s="8"/>
      <c r="H708" s="8"/>
      <c r="I708" s="12"/>
      <c r="J708" s="8"/>
      <c r="K708" s="8"/>
      <c r="L708" s="12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3.15" x14ac:dyDescent="0.4">
      <c r="A709" s="12"/>
      <c r="B709" s="8"/>
      <c r="C709" s="8"/>
      <c r="D709" s="8"/>
      <c r="E709" s="8"/>
      <c r="F709" s="8"/>
      <c r="G709" s="8"/>
      <c r="H709" s="8"/>
      <c r="I709" s="12"/>
      <c r="J709" s="8"/>
      <c r="K709" s="8"/>
      <c r="L709" s="12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3.15" x14ac:dyDescent="0.4">
      <c r="A710" s="12"/>
      <c r="B710" s="8"/>
      <c r="C710" s="8"/>
      <c r="D710" s="8"/>
      <c r="E710" s="8"/>
      <c r="F710" s="8"/>
      <c r="G710" s="8"/>
      <c r="H710" s="8"/>
      <c r="I710" s="12"/>
      <c r="J710" s="8"/>
      <c r="K710" s="8"/>
      <c r="L710" s="12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3.15" x14ac:dyDescent="0.4">
      <c r="A711" s="12"/>
      <c r="B711" s="8"/>
      <c r="C711" s="8"/>
      <c r="D711" s="8"/>
      <c r="E711" s="8"/>
      <c r="F711" s="8"/>
      <c r="G711" s="8"/>
      <c r="H711" s="8"/>
      <c r="I711" s="12"/>
      <c r="J711" s="8"/>
      <c r="K711" s="8"/>
      <c r="L711" s="12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3.15" x14ac:dyDescent="0.4">
      <c r="A712" s="12"/>
      <c r="B712" s="8"/>
      <c r="C712" s="8"/>
      <c r="D712" s="8"/>
      <c r="E712" s="8"/>
      <c r="F712" s="8"/>
      <c r="G712" s="8"/>
      <c r="H712" s="8"/>
      <c r="I712" s="12"/>
      <c r="J712" s="8"/>
      <c r="K712" s="8"/>
      <c r="L712" s="12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3.15" x14ac:dyDescent="0.4">
      <c r="A713" s="12"/>
      <c r="B713" s="8"/>
      <c r="C713" s="8"/>
      <c r="D713" s="8"/>
      <c r="E713" s="8"/>
      <c r="F713" s="8"/>
      <c r="G713" s="8"/>
      <c r="H713" s="8"/>
      <c r="I713" s="12"/>
      <c r="J713" s="8"/>
      <c r="K713" s="8"/>
      <c r="L713" s="12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3.15" x14ac:dyDescent="0.4">
      <c r="A714" s="12"/>
      <c r="B714" s="8"/>
      <c r="C714" s="8"/>
      <c r="D714" s="8"/>
      <c r="E714" s="8"/>
      <c r="F714" s="8"/>
      <c r="G714" s="8"/>
      <c r="H714" s="8"/>
      <c r="I714" s="12"/>
      <c r="J714" s="8"/>
      <c r="K714" s="8"/>
      <c r="L714" s="12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3.15" x14ac:dyDescent="0.4">
      <c r="A715" s="12"/>
      <c r="B715" s="8"/>
      <c r="C715" s="8"/>
      <c r="D715" s="8"/>
      <c r="E715" s="8"/>
      <c r="F715" s="8"/>
      <c r="G715" s="8"/>
      <c r="H715" s="8"/>
      <c r="I715" s="12"/>
      <c r="J715" s="8"/>
      <c r="K715" s="8"/>
      <c r="L715" s="12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3.15" x14ac:dyDescent="0.4">
      <c r="A716" s="12"/>
      <c r="B716" s="8"/>
      <c r="C716" s="8"/>
      <c r="D716" s="8"/>
      <c r="E716" s="8"/>
      <c r="F716" s="8"/>
      <c r="G716" s="8"/>
      <c r="H716" s="8"/>
      <c r="I716" s="12"/>
      <c r="J716" s="8"/>
      <c r="K716" s="8"/>
      <c r="L716" s="12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3.15" x14ac:dyDescent="0.4">
      <c r="A717" s="12"/>
      <c r="B717" s="8"/>
      <c r="C717" s="8"/>
      <c r="D717" s="8"/>
      <c r="E717" s="8"/>
      <c r="F717" s="8"/>
      <c r="G717" s="8"/>
      <c r="H717" s="8"/>
      <c r="I717" s="12"/>
      <c r="J717" s="8"/>
      <c r="K717" s="8"/>
      <c r="L717" s="12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3.15" x14ac:dyDescent="0.4">
      <c r="A718" s="12"/>
      <c r="B718" s="8"/>
      <c r="C718" s="8"/>
      <c r="D718" s="8"/>
      <c r="E718" s="8"/>
      <c r="F718" s="8"/>
      <c r="G718" s="8"/>
      <c r="H718" s="8"/>
      <c r="I718" s="12"/>
      <c r="J718" s="8"/>
      <c r="K718" s="8"/>
      <c r="L718" s="12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3.15" x14ac:dyDescent="0.4">
      <c r="A719" s="12"/>
      <c r="B719" s="8"/>
      <c r="C719" s="8"/>
      <c r="D719" s="8"/>
      <c r="E719" s="8"/>
      <c r="F719" s="8"/>
      <c r="G719" s="8"/>
      <c r="H719" s="8"/>
      <c r="I719" s="12"/>
      <c r="J719" s="8"/>
      <c r="K719" s="8"/>
      <c r="L719" s="12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3.15" x14ac:dyDescent="0.4">
      <c r="A720" s="12"/>
      <c r="B720" s="8"/>
      <c r="C720" s="8"/>
      <c r="D720" s="8"/>
      <c r="E720" s="8"/>
      <c r="F720" s="8"/>
      <c r="G720" s="8"/>
      <c r="H720" s="8"/>
      <c r="I720" s="12"/>
      <c r="J720" s="8"/>
      <c r="K720" s="8"/>
      <c r="L720" s="12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3.15" x14ac:dyDescent="0.4">
      <c r="A721" s="12"/>
      <c r="B721" s="8"/>
      <c r="C721" s="8"/>
      <c r="D721" s="8"/>
      <c r="E721" s="8"/>
      <c r="F721" s="8"/>
      <c r="G721" s="8"/>
      <c r="H721" s="8"/>
      <c r="I721" s="12"/>
      <c r="J721" s="8"/>
      <c r="K721" s="8"/>
      <c r="L721" s="12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3.15" x14ac:dyDescent="0.4">
      <c r="A722" s="12"/>
      <c r="B722" s="8"/>
      <c r="C722" s="8"/>
      <c r="D722" s="8"/>
      <c r="E722" s="8"/>
      <c r="F722" s="8"/>
      <c r="G722" s="8"/>
      <c r="H722" s="8"/>
      <c r="I722" s="12"/>
      <c r="J722" s="8"/>
      <c r="K722" s="8"/>
      <c r="L722" s="12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3.15" x14ac:dyDescent="0.4">
      <c r="A723" s="12"/>
      <c r="B723" s="8"/>
      <c r="C723" s="8"/>
      <c r="D723" s="8"/>
      <c r="E723" s="8"/>
      <c r="F723" s="8"/>
      <c r="G723" s="8"/>
      <c r="H723" s="8"/>
      <c r="I723" s="12"/>
      <c r="J723" s="8"/>
      <c r="K723" s="8"/>
      <c r="L723" s="12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3.15" x14ac:dyDescent="0.4">
      <c r="A724" s="12"/>
      <c r="B724" s="8"/>
      <c r="C724" s="8"/>
      <c r="D724" s="8"/>
      <c r="E724" s="8"/>
      <c r="F724" s="8"/>
      <c r="G724" s="8"/>
      <c r="H724" s="8"/>
      <c r="I724" s="12"/>
      <c r="J724" s="8"/>
      <c r="K724" s="8"/>
      <c r="L724" s="12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3.15" x14ac:dyDescent="0.4">
      <c r="A725" s="12"/>
      <c r="B725" s="8"/>
      <c r="C725" s="8"/>
      <c r="D725" s="8"/>
      <c r="E725" s="8"/>
      <c r="F725" s="8"/>
      <c r="G725" s="8"/>
      <c r="H725" s="8"/>
      <c r="I725" s="12"/>
      <c r="J725" s="8"/>
      <c r="K725" s="8"/>
      <c r="L725" s="12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3.15" x14ac:dyDescent="0.4">
      <c r="A726" s="12"/>
      <c r="B726" s="8"/>
      <c r="C726" s="8"/>
      <c r="D726" s="8"/>
      <c r="E726" s="8"/>
      <c r="F726" s="8"/>
      <c r="G726" s="8"/>
      <c r="H726" s="8"/>
      <c r="I726" s="12"/>
      <c r="J726" s="8"/>
      <c r="K726" s="8"/>
      <c r="L726" s="12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3.15" x14ac:dyDescent="0.4">
      <c r="A727" s="12"/>
      <c r="B727" s="8"/>
      <c r="C727" s="8"/>
      <c r="D727" s="8"/>
      <c r="E727" s="8"/>
      <c r="F727" s="8"/>
      <c r="G727" s="8"/>
      <c r="H727" s="8"/>
      <c r="I727" s="12"/>
      <c r="J727" s="8"/>
      <c r="K727" s="8"/>
      <c r="L727" s="12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3.15" x14ac:dyDescent="0.4">
      <c r="A728" s="12"/>
      <c r="B728" s="8"/>
      <c r="C728" s="8"/>
      <c r="D728" s="8"/>
      <c r="E728" s="8"/>
      <c r="F728" s="8"/>
      <c r="G728" s="8"/>
      <c r="H728" s="8"/>
      <c r="I728" s="12"/>
      <c r="J728" s="8"/>
      <c r="K728" s="8"/>
      <c r="L728" s="12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3.15" x14ac:dyDescent="0.4">
      <c r="A729" s="12"/>
      <c r="B729" s="8"/>
      <c r="C729" s="8"/>
      <c r="D729" s="8"/>
      <c r="E729" s="8"/>
      <c r="F729" s="8"/>
      <c r="G729" s="8"/>
      <c r="H729" s="8"/>
      <c r="I729" s="12"/>
      <c r="J729" s="8"/>
      <c r="K729" s="8"/>
      <c r="L729" s="12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3.15" x14ac:dyDescent="0.4">
      <c r="A730" s="12"/>
      <c r="B730" s="8"/>
      <c r="C730" s="8"/>
      <c r="D730" s="8"/>
      <c r="E730" s="8"/>
      <c r="F730" s="8"/>
      <c r="G730" s="8"/>
      <c r="H730" s="8"/>
      <c r="I730" s="12"/>
      <c r="J730" s="8"/>
      <c r="K730" s="8"/>
      <c r="L730" s="12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3.15" x14ac:dyDescent="0.4">
      <c r="A731" s="12"/>
      <c r="B731" s="8"/>
      <c r="C731" s="8"/>
      <c r="D731" s="8"/>
      <c r="E731" s="8"/>
      <c r="F731" s="8"/>
      <c r="G731" s="8"/>
      <c r="H731" s="8"/>
      <c r="I731" s="12"/>
      <c r="J731" s="8"/>
      <c r="K731" s="8"/>
      <c r="L731" s="12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3.15" x14ac:dyDescent="0.4">
      <c r="A732" s="12"/>
      <c r="B732" s="8"/>
      <c r="C732" s="8"/>
      <c r="D732" s="8"/>
      <c r="E732" s="8"/>
      <c r="F732" s="8"/>
      <c r="G732" s="8"/>
      <c r="H732" s="8"/>
      <c r="I732" s="12"/>
      <c r="J732" s="8"/>
      <c r="K732" s="8"/>
      <c r="L732" s="12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3.15" x14ac:dyDescent="0.4">
      <c r="A733" s="12"/>
      <c r="B733" s="8"/>
      <c r="C733" s="8"/>
      <c r="D733" s="8"/>
      <c r="E733" s="8"/>
      <c r="F733" s="8"/>
      <c r="G733" s="8"/>
      <c r="H733" s="8"/>
      <c r="I733" s="12"/>
      <c r="J733" s="8"/>
      <c r="K733" s="8"/>
      <c r="L733" s="12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3.15" x14ac:dyDescent="0.4">
      <c r="A734" s="12"/>
      <c r="B734" s="8"/>
      <c r="C734" s="8"/>
      <c r="D734" s="8"/>
      <c r="E734" s="8"/>
      <c r="F734" s="8"/>
      <c r="G734" s="8"/>
      <c r="H734" s="8"/>
      <c r="I734" s="12"/>
      <c r="J734" s="8"/>
      <c r="K734" s="8"/>
      <c r="L734" s="12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3.15" x14ac:dyDescent="0.4">
      <c r="A735" s="12"/>
      <c r="B735" s="8"/>
      <c r="C735" s="8"/>
      <c r="D735" s="8"/>
      <c r="E735" s="8"/>
      <c r="F735" s="8"/>
      <c r="G735" s="8"/>
      <c r="H735" s="8"/>
      <c r="I735" s="12"/>
      <c r="J735" s="8"/>
      <c r="K735" s="8"/>
      <c r="L735" s="12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3.15" x14ac:dyDescent="0.4">
      <c r="A736" s="12"/>
      <c r="B736" s="8"/>
      <c r="C736" s="8"/>
      <c r="D736" s="8"/>
      <c r="E736" s="8"/>
      <c r="F736" s="8"/>
      <c r="G736" s="8"/>
      <c r="H736" s="8"/>
      <c r="I736" s="12"/>
      <c r="J736" s="8"/>
      <c r="K736" s="8"/>
      <c r="L736" s="12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3.15" x14ac:dyDescent="0.4">
      <c r="A737" s="12"/>
      <c r="B737" s="8"/>
      <c r="C737" s="8"/>
      <c r="D737" s="8"/>
      <c r="E737" s="8"/>
      <c r="F737" s="8"/>
      <c r="G737" s="8"/>
      <c r="H737" s="8"/>
      <c r="I737" s="12"/>
      <c r="J737" s="8"/>
      <c r="K737" s="8"/>
      <c r="L737" s="12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3.15" x14ac:dyDescent="0.4">
      <c r="A738" s="12"/>
      <c r="B738" s="8"/>
      <c r="C738" s="8"/>
      <c r="D738" s="8"/>
      <c r="E738" s="8"/>
      <c r="F738" s="8"/>
      <c r="G738" s="8"/>
      <c r="H738" s="8"/>
      <c r="I738" s="12"/>
      <c r="J738" s="8"/>
      <c r="K738" s="8"/>
      <c r="L738" s="12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3.15" x14ac:dyDescent="0.4">
      <c r="A739" s="12"/>
      <c r="B739" s="8"/>
      <c r="C739" s="8"/>
      <c r="D739" s="8"/>
      <c r="E739" s="8"/>
      <c r="F739" s="8"/>
      <c r="G739" s="8"/>
      <c r="H739" s="8"/>
      <c r="I739" s="12"/>
      <c r="J739" s="8"/>
      <c r="K739" s="8"/>
      <c r="L739" s="12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3.15" x14ac:dyDescent="0.4">
      <c r="A740" s="12"/>
      <c r="B740" s="8"/>
      <c r="C740" s="8"/>
      <c r="D740" s="8"/>
      <c r="E740" s="8"/>
      <c r="F740" s="8"/>
      <c r="G740" s="8"/>
      <c r="H740" s="8"/>
      <c r="I740" s="12"/>
      <c r="J740" s="8"/>
      <c r="K740" s="8"/>
      <c r="L740" s="12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3.15" x14ac:dyDescent="0.4">
      <c r="A741" s="12"/>
      <c r="B741" s="8"/>
      <c r="C741" s="8"/>
      <c r="D741" s="8"/>
      <c r="E741" s="8"/>
      <c r="F741" s="8"/>
      <c r="G741" s="8"/>
      <c r="H741" s="8"/>
      <c r="I741" s="12"/>
      <c r="J741" s="8"/>
      <c r="K741" s="8"/>
      <c r="L741" s="12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3.15" x14ac:dyDescent="0.4">
      <c r="A742" s="12"/>
      <c r="B742" s="8"/>
      <c r="C742" s="8"/>
      <c r="D742" s="8"/>
      <c r="E742" s="8"/>
      <c r="F742" s="8"/>
      <c r="G742" s="8"/>
      <c r="H742" s="8"/>
      <c r="I742" s="12"/>
      <c r="J742" s="8"/>
      <c r="K742" s="8"/>
      <c r="L742" s="12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3.15" x14ac:dyDescent="0.4">
      <c r="A743" s="12"/>
      <c r="B743" s="8"/>
      <c r="C743" s="8"/>
      <c r="D743" s="8"/>
      <c r="E743" s="8"/>
      <c r="F743" s="8"/>
      <c r="G743" s="8"/>
      <c r="H743" s="8"/>
      <c r="I743" s="12"/>
      <c r="J743" s="8"/>
      <c r="K743" s="8"/>
      <c r="L743" s="12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3.15" x14ac:dyDescent="0.4">
      <c r="A744" s="12"/>
      <c r="B744" s="8"/>
      <c r="C744" s="8"/>
      <c r="D744" s="8"/>
      <c r="E744" s="8"/>
      <c r="F744" s="8"/>
      <c r="G744" s="8"/>
      <c r="H744" s="8"/>
      <c r="I744" s="12"/>
      <c r="J744" s="8"/>
      <c r="K744" s="8"/>
      <c r="L744" s="12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3.15" x14ac:dyDescent="0.4">
      <c r="A745" s="12"/>
      <c r="B745" s="8"/>
      <c r="C745" s="8"/>
      <c r="D745" s="8"/>
      <c r="E745" s="8"/>
      <c r="F745" s="8"/>
      <c r="G745" s="8"/>
      <c r="H745" s="8"/>
      <c r="I745" s="12"/>
      <c r="J745" s="8"/>
      <c r="K745" s="8"/>
      <c r="L745" s="12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3.15" x14ac:dyDescent="0.4">
      <c r="A746" s="12"/>
      <c r="B746" s="8"/>
      <c r="C746" s="8"/>
      <c r="D746" s="8"/>
      <c r="E746" s="8"/>
      <c r="F746" s="8"/>
      <c r="G746" s="8"/>
      <c r="H746" s="8"/>
      <c r="I746" s="12"/>
      <c r="J746" s="8"/>
      <c r="K746" s="8"/>
      <c r="L746" s="12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3.15" x14ac:dyDescent="0.4">
      <c r="A747" s="12"/>
      <c r="B747" s="8"/>
      <c r="C747" s="8"/>
      <c r="D747" s="8"/>
      <c r="E747" s="8"/>
      <c r="F747" s="8"/>
      <c r="G747" s="8"/>
      <c r="H747" s="8"/>
      <c r="I747" s="12"/>
      <c r="J747" s="8"/>
      <c r="K747" s="8"/>
      <c r="L747" s="12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3.15" x14ac:dyDescent="0.4">
      <c r="A748" s="12"/>
      <c r="B748" s="8"/>
      <c r="C748" s="8"/>
      <c r="D748" s="8"/>
      <c r="E748" s="8"/>
      <c r="F748" s="8"/>
      <c r="G748" s="8"/>
      <c r="H748" s="8"/>
      <c r="I748" s="12"/>
      <c r="J748" s="8"/>
      <c r="K748" s="8"/>
      <c r="L748" s="12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3.15" x14ac:dyDescent="0.4">
      <c r="A749" s="12"/>
      <c r="B749" s="8"/>
      <c r="C749" s="8"/>
      <c r="D749" s="8"/>
      <c r="E749" s="8"/>
      <c r="F749" s="8"/>
      <c r="G749" s="8"/>
      <c r="H749" s="8"/>
      <c r="I749" s="12"/>
      <c r="J749" s="8"/>
      <c r="K749" s="8"/>
      <c r="L749" s="12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3.15" x14ac:dyDescent="0.4">
      <c r="A750" s="12"/>
      <c r="B750" s="8"/>
      <c r="C750" s="8"/>
      <c r="D750" s="8"/>
      <c r="E750" s="8"/>
      <c r="F750" s="8"/>
      <c r="G750" s="8"/>
      <c r="H750" s="8"/>
      <c r="I750" s="12"/>
      <c r="J750" s="8"/>
      <c r="K750" s="8"/>
      <c r="L750" s="12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3.15" x14ac:dyDescent="0.4">
      <c r="A751" s="12"/>
      <c r="B751" s="8"/>
      <c r="C751" s="8"/>
      <c r="D751" s="8"/>
      <c r="E751" s="8"/>
      <c r="F751" s="8"/>
      <c r="G751" s="8"/>
      <c r="H751" s="8"/>
      <c r="I751" s="12"/>
      <c r="J751" s="8"/>
      <c r="K751" s="8"/>
      <c r="L751" s="12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3.15" x14ac:dyDescent="0.4">
      <c r="A752" s="12"/>
      <c r="B752" s="8"/>
      <c r="C752" s="8"/>
      <c r="D752" s="8"/>
      <c r="E752" s="8"/>
      <c r="F752" s="8"/>
      <c r="G752" s="8"/>
      <c r="H752" s="8"/>
      <c r="I752" s="12"/>
      <c r="J752" s="8"/>
      <c r="K752" s="8"/>
      <c r="L752" s="12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3.15" x14ac:dyDescent="0.4">
      <c r="A753" s="12"/>
      <c r="B753" s="8"/>
      <c r="C753" s="8"/>
      <c r="D753" s="8"/>
      <c r="E753" s="8"/>
      <c r="F753" s="8"/>
      <c r="G753" s="8"/>
      <c r="H753" s="8"/>
      <c r="I753" s="12"/>
      <c r="J753" s="8"/>
      <c r="K753" s="8"/>
      <c r="L753" s="12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3.15" x14ac:dyDescent="0.4">
      <c r="A754" s="12"/>
      <c r="B754" s="8"/>
      <c r="C754" s="8"/>
      <c r="D754" s="8"/>
      <c r="E754" s="8"/>
      <c r="F754" s="8"/>
      <c r="G754" s="8"/>
      <c r="H754" s="8"/>
      <c r="I754" s="12"/>
      <c r="J754" s="8"/>
      <c r="K754" s="8"/>
      <c r="L754" s="12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3.15" x14ac:dyDescent="0.4">
      <c r="A755" s="12"/>
      <c r="B755" s="8"/>
      <c r="C755" s="8"/>
      <c r="D755" s="8"/>
      <c r="E755" s="8"/>
      <c r="F755" s="8"/>
      <c r="G755" s="8"/>
      <c r="H755" s="8"/>
      <c r="I755" s="12"/>
      <c r="J755" s="8"/>
      <c r="K755" s="8"/>
      <c r="L755" s="12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3.15" x14ac:dyDescent="0.4">
      <c r="A756" s="12"/>
      <c r="B756" s="8"/>
      <c r="C756" s="8"/>
      <c r="D756" s="8"/>
      <c r="E756" s="8"/>
      <c r="F756" s="8"/>
      <c r="G756" s="8"/>
      <c r="H756" s="8"/>
      <c r="I756" s="12"/>
      <c r="J756" s="8"/>
      <c r="K756" s="8"/>
      <c r="L756" s="12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3.15" x14ac:dyDescent="0.4">
      <c r="A757" s="12"/>
      <c r="B757" s="8"/>
      <c r="C757" s="8"/>
      <c r="D757" s="8"/>
      <c r="E757" s="8"/>
      <c r="F757" s="8"/>
      <c r="G757" s="8"/>
      <c r="H757" s="8"/>
      <c r="I757" s="12"/>
      <c r="J757" s="8"/>
      <c r="K757" s="8"/>
      <c r="L757" s="12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3.15" x14ac:dyDescent="0.4">
      <c r="A758" s="12"/>
      <c r="B758" s="8"/>
      <c r="C758" s="8"/>
      <c r="D758" s="8"/>
      <c r="E758" s="8"/>
      <c r="F758" s="8"/>
      <c r="G758" s="8"/>
      <c r="H758" s="8"/>
      <c r="I758" s="12"/>
      <c r="J758" s="8"/>
      <c r="K758" s="8"/>
      <c r="L758" s="12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3.15" x14ac:dyDescent="0.4">
      <c r="A759" s="12"/>
      <c r="B759" s="8"/>
      <c r="C759" s="8"/>
      <c r="D759" s="8"/>
      <c r="E759" s="8"/>
      <c r="F759" s="8"/>
      <c r="G759" s="8"/>
      <c r="H759" s="8"/>
      <c r="I759" s="12"/>
      <c r="J759" s="8"/>
      <c r="K759" s="8"/>
      <c r="L759" s="12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3.15" x14ac:dyDescent="0.4">
      <c r="A760" s="12"/>
      <c r="B760" s="8"/>
      <c r="C760" s="8"/>
      <c r="D760" s="8"/>
      <c r="E760" s="8"/>
      <c r="F760" s="8"/>
      <c r="G760" s="8"/>
      <c r="H760" s="8"/>
      <c r="I760" s="12"/>
      <c r="J760" s="8"/>
      <c r="K760" s="8"/>
      <c r="L760" s="12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3.15" x14ac:dyDescent="0.4">
      <c r="A761" s="12"/>
      <c r="B761" s="8"/>
      <c r="C761" s="8"/>
      <c r="D761" s="8"/>
      <c r="E761" s="8"/>
      <c r="F761" s="8"/>
      <c r="G761" s="8"/>
      <c r="H761" s="8"/>
      <c r="I761" s="12"/>
      <c r="J761" s="8"/>
      <c r="K761" s="8"/>
      <c r="L761" s="12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3.15" x14ac:dyDescent="0.4">
      <c r="A762" s="12"/>
      <c r="B762" s="8"/>
      <c r="C762" s="8"/>
      <c r="D762" s="8"/>
      <c r="E762" s="8"/>
      <c r="F762" s="8"/>
      <c r="G762" s="8"/>
      <c r="H762" s="8"/>
      <c r="I762" s="12"/>
      <c r="J762" s="8"/>
      <c r="K762" s="8"/>
      <c r="L762" s="12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3.15" x14ac:dyDescent="0.4">
      <c r="A763" s="12"/>
      <c r="B763" s="8"/>
      <c r="C763" s="8"/>
      <c r="D763" s="8"/>
      <c r="E763" s="8"/>
      <c r="F763" s="8"/>
      <c r="G763" s="8"/>
      <c r="H763" s="8"/>
      <c r="I763" s="12"/>
      <c r="J763" s="8"/>
      <c r="K763" s="8"/>
      <c r="L763" s="12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3.15" x14ac:dyDescent="0.4">
      <c r="A764" s="12"/>
      <c r="B764" s="8"/>
      <c r="C764" s="8"/>
      <c r="D764" s="8"/>
      <c r="E764" s="8"/>
      <c r="F764" s="8"/>
      <c r="G764" s="8"/>
      <c r="H764" s="8"/>
      <c r="I764" s="12"/>
      <c r="J764" s="8"/>
      <c r="K764" s="8"/>
      <c r="L764" s="12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3.15" x14ac:dyDescent="0.4">
      <c r="A765" s="12"/>
      <c r="B765" s="8"/>
      <c r="C765" s="8"/>
      <c r="D765" s="8"/>
      <c r="E765" s="8"/>
      <c r="F765" s="8"/>
      <c r="G765" s="8"/>
      <c r="H765" s="8"/>
      <c r="I765" s="12"/>
      <c r="J765" s="8"/>
      <c r="K765" s="8"/>
      <c r="L765" s="12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3.15" x14ac:dyDescent="0.4">
      <c r="A766" s="12"/>
      <c r="B766" s="8"/>
      <c r="C766" s="8"/>
      <c r="D766" s="8"/>
      <c r="E766" s="8"/>
      <c r="F766" s="8"/>
      <c r="G766" s="8"/>
      <c r="H766" s="8"/>
      <c r="I766" s="12"/>
      <c r="J766" s="8"/>
      <c r="K766" s="8"/>
      <c r="L766" s="12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3.15" x14ac:dyDescent="0.4">
      <c r="A767" s="12"/>
      <c r="B767" s="8"/>
      <c r="C767" s="8"/>
      <c r="D767" s="8"/>
      <c r="E767" s="8"/>
      <c r="F767" s="8"/>
      <c r="G767" s="8"/>
      <c r="H767" s="8"/>
      <c r="I767" s="12"/>
      <c r="J767" s="8"/>
      <c r="K767" s="8"/>
      <c r="L767" s="12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3.15" x14ac:dyDescent="0.4">
      <c r="A768" s="12"/>
      <c r="B768" s="8"/>
      <c r="C768" s="8"/>
      <c r="D768" s="8"/>
      <c r="E768" s="8"/>
      <c r="F768" s="8"/>
      <c r="G768" s="8"/>
      <c r="H768" s="8"/>
      <c r="I768" s="12"/>
      <c r="J768" s="8"/>
      <c r="K768" s="8"/>
      <c r="L768" s="12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3.15" x14ac:dyDescent="0.4">
      <c r="A769" s="12"/>
      <c r="B769" s="8"/>
      <c r="C769" s="8"/>
      <c r="D769" s="8"/>
      <c r="E769" s="8"/>
      <c r="F769" s="8"/>
      <c r="G769" s="8"/>
      <c r="H769" s="8"/>
      <c r="I769" s="12"/>
      <c r="J769" s="8"/>
      <c r="K769" s="8"/>
      <c r="L769" s="12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3.15" x14ac:dyDescent="0.4">
      <c r="A770" s="12"/>
      <c r="B770" s="8"/>
      <c r="C770" s="8"/>
      <c r="D770" s="8"/>
      <c r="E770" s="8"/>
      <c r="F770" s="8"/>
      <c r="G770" s="8"/>
      <c r="H770" s="8"/>
      <c r="I770" s="12"/>
      <c r="J770" s="8"/>
      <c r="K770" s="8"/>
      <c r="L770" s="12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3.15" x14ac:dyDescent="0.4">
      <c r="A771" s="12"/>
      <c r="B771" s="8"/>
      <c r="C771" s="8"/>
      <c r="D771" s="8"/>
      <c r="E771" s="8"/>
      <c r="F771" s="8"/>
      <c r="G771" s="8"/>
      <c r="H771" s="8"/>
      <c r="I771" s="12"/>
      <c r="J771" s="8"/>
      <c r="K771" s="8"/>
      <c r="L771" s="12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3.15" x14ac:dyDescent="0.4">
      <c r="A772" s="12"/>
      <c r="B772" s="8"/>
      <c r="C772" s="8"/>
      <c r="D772" s="8"/>
      <c r="E772" s="8"/>
      <c r="F772" s="8"/>
      <c r="G772" s="8"/>
      <c r="H772" s="8"/>
      <c r="I772" s="12"/>
      <c r="J772" s="8"/>
      <c r="K772" s="8"/>
      <c r="L772" s="12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3.15" x14ac:dyDescent="0.4">
      <c r="A773" s="12"/>
      <c r="B773" s="8"/>
      <c r="C773" s="8"/>
      <c r="D773" s="8"/>
      <c r="E773" s="8"/>
      <c r="F773" s="8"/>
      <c r="G773" s="8"/>
      <c r="H773" s="8"/>
      <c r="I773" s="12"/>
      <c r="J773" s="8"/>
      <c r="K773" s="8"/>
      <c r="L773" s="12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3.15" x14ac:dyDescent="0.4">
      <c r="A774" s="12"/>
      <c r="B774" s="8"/>
      <c r="C774" s="8"/>
      <c r="D774" s="8"/>
      <c r="E774" s="8"/>
      <c r="F774" s="8"/>
      <c r="G774" s="8"/>
      <c r="H774" s="8"/>
      <c r="I774" s="12"/>
      <c r="J774" s="8"/>
      <c r="K774" s="8"/>
      <c r="L774" s="12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3.15" x14ac:dyDescent="0.4">
      <c r="A775" s="12"/>
      <c r="B775" s="8"/>
      <c r="C775" s="8"/>
      <c r="D775" s="8"/>
      <c r="E775" s="8"/>
      <c r="F775" s="8"/>
      <c r="G775" s="8"/>
      <c r="H775" s="8"/>
      <c r="I775" s="12"/>
      <c r="J775" s="8"/>
      <c r="K775" s="8"/>
      <c r="L775" s="12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3.15" x14ac:dyDescent="0.4">
      <c r="A776" s="12"/>
      <c r="B776" s="8"/>
      <c r="C776" s="8"/>
      <c r="D776" s="8"/>
      <c r="E776" s="8"/>
      <c r="F776" s="8"/>
      <c r="G776" s="8"/>
      <c r="H776" s="8"/>
      <c r="I776" s="12"/>
      <c r="J776" s="8"/>
      <c r="K776" s="8"/>
      <c r="L776" s="12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3.15" x14ac:dyDescent="0.4">
      <c r="A777" s="12"/>
      <c r="B777" s="8"/>
      <c r="C777" s="8"/>
      <c r="D777" s="8"/>
      <c r="E777" s="8"/>
      <c r="F777" s="8"/>
      <c r="G777" s="8"/>
      <c r="H777" s="8"/>
      <c r="I777" s="12"/>
      <c r="J777" s="8"/>
      <c r="K777" s="8"/>
      <c r="L777" s="12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3.15" x14ac:dyDescent="0.4">
      <c r="A778" s="12"/>
      <c r="B778" s="8"/>
      <c r="C778" s="8"/>
      <c r="D778" s="8"/>
      <c r="E778" s="8"/>
      <c r="F778" s="8"/>
      <c r="G778" s="8"/>
      <c r="H778" s="8"/>
      <c r="I778" s="12"/>
      <c r="J778" s="8"/>
      <c r="K778" s="8"/>
      <c r="L778" s="12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3.15" x14ac:dyDescent="0.4">
      <c r="A779" s="12"/>
      <c r="B779" s="8"/>
      <c r="C779" s="8"/>
      <c r="D779" s="8"/>
      <c r="E779" s="8"/>
      <c r="F779" s="8"/>
      <c r="G779" s="8"/>
      <c r="H779" s="8"/>
      <c r="I779" s="12"/>
      <c r="J779" s="8"/>
      <c r="K779" s="8"/>
      <c r="L779" s="12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3.15" x14ac:dyDescent="0.4">
      <c r="A780" s="12"/>
      <c r="B780" s="8"/>
      <c r="C780" s="8"/>
      <c r="D780" s="8"/>
      <c r="E780" s="8"/>
      <c r="F780" s="8"/>
      <c r="G780" s="8"/>
      <c r="H780" s="8"/>
      <c r="I780" s="12"/>
      <c r="J780" s="8"/>
      <c r="K780" s="8"/>
      <c r="L780" s="12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3.15" x14ac:dyDescent="0.4">
      <c r="A781" s="12"/>
      <c r="B781" s="8"/>
      <c r="C781" s="8"/>
      <c r="D781" s="8"/>
      <c r="E781" s="8"/>
      <c r="F781" s="8"/>
      <c r="G781" s="8"/>
      <c r="H781" s="8"/>
      <c r="I781" s="12"/>
      <c r="J781" s="8"/>
      <c r="K781" s="8"/>
      <c r="L781" s="12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3.15" x14ac:dyDescent="0.4">
      <c r="A782" s="12"/>
      <c r="B782" s="8"/>
      <c r="C782" s="8"/>
      <c r="D782" s="8"/>
      <c r="E782" s="8"/>
      <c r="F782" s="8"/>
      <c r="G782" s="8"/>
      <c r="H782" s="8"/>
      <c r="I782" s="12"/>
      <c r="J782" s="8"/>
      <c r="K782" s="8"/>
      <c r="L782" s="12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3.15" x14ac:dyDescent="0.4">
      <c r="A783" s="12"/>
      <c r="B783" s="8"/>
      <c r="C783" s="8"/>
      <c r="D783" s="8"/>
      <c r="E783" s="8"/>
      <c r="F783" s="8"/>
      <c r="G783" s="8"/>
      <c r="H783" s="8"/>
      <c r="I783" s="12"/>
      <c r="J783" s="8"/>
      <c r="K783" s="8"/>
      <c r="L783" s="12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3.15" x14ac:dyDescent="0.4">
      <c r="A784" s="12"/>
      <c r="B784" s="8"/>
      <c r="C784" s="8"/>
      <c r="D784" s="8"/>
      <c r="E784" s="8"/>
      <c r="F784" s="8"/>
      <c r="G784" s="8"/>
      <c r="H784" s="8"/>
      <c r="I784" s="12"/>
      <c r="J784" s="8"/>
      <c r="K784" s="8"/>
      <c r="L784" s="12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3.15" x14ac:dyDescent="0.4">
      <c r="A785" s="12"/>
      <c r="B785" s="8"/>
      <c r="C785" s="8"/>
      <c r="D785" s="8"/>
      <c r="E785" s="8"/>
      <c r="F785" s="8"/>
      <c r="G785" s="8"/>
      <c r="H785" s="8"/>
      <c r="I785" s="12"/>
      <c r="J785" s="8"/>
      <c r="K785" s="8"/>
      <c r="L785" s="12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3.15" x14ac:dyDescent="0.4">
      <c r="A786" s="12"/>
      <c r="B786" s="8"/>
      <c r="C786" s="8"/>
      <c r="D786" s="8"/>
      <c r="E786" s="8"/>
      <c r="F786" s="8"/>
      <c r="G786" s="8"/>
      <c r="H786" s="8"/>
      <c r="I786" s="12"/>
      <c r="J786" s="8"/>
      <c r="K786" s="8"/>
      <c r="L786" s="12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3.15" x14ac:dyDescent="0.4">
      <c r="A787" s="12"/>
      <c r="B787" s="8"/>
      <c r="C787" s="8"/>
      <c r="D787" s="8"/>
      <c r="E787" s="8"/>
      <c r="F787" s="8"/>
      <c r="G787" s="8"/>
      <c r="H787" s="8"/>
      <c r="I787" s="12"/>
      <c r="J787" s="8"/>
      <c r="K787" s="8"/>
      <c r="L787" s="12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3.15" x14ac:dyDescent="0.4">
      <c r="A788" s="12"/>
      <c r="B788" s="8"/>
      <c r="C788" s="8"/>
      <c r="D788" s="8"/>
      <c r="E788" s="8"/>
      <c r="F788" s="8"/>
      <c r="G788" s="8"/>
      <c r="H788" s="8"/>
      <c r="I788" s="12"/>
      <c r="J788" s="8"/>
      <c r="K788" s="8"/>
      <c r="L788" s="12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3.15" x14ac:dyDescent="0.4">
      <c r="A789" s="12"/>
      <c r="B789" s="8"/>
      <c r="C789" s="8"/>
      <c r="D789" s="8"/>
      <c r="E789" s="8"/>
      <c r="F789" s="8"/>
      <c r="G789" s="8"/>
      <c r="H789" s="8"/>
      <c r="I789" s="12"/>
      <c r="J789" s="8"/>
      <c r="K789" s="8"/>
      <c r="L789" s="12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3.15" x14ac:dyDescent="0.4">
      <c r="A790" s="12"/>
      <c r="B790" s="8"/>
      <c r="C790" s="8"/>
      <c r="D790" s="8"/>
      <c r="E790" s="8"/>
      <c r="F790" s="8"/>
      <c r="G790" s="8"/>
      <c r="H790" s="8"/>
      <c r="I790" s="12"/>
      <c r="J790" s="8"/>
      <c r="K790" s="8"/>
      <c r="L790" s="12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3.15" x14ac:dyDescent="0.4">
      <c r="A791" s="12"/>
      <c r="B791" s="8"/>
      <c r="C791" s="8"/>
      <c r="D791" s="8"/>
      <c r="E791" s="8"/>
      <c r="F791" s="8"/>
      <c r="G791" s="8"/>
      <c r="H791" s="8"/>
      <c r="I791" s="12"/>
      <c r="J791" s="8"/>
      <c r="K791" s="8"/>
      <c r="L791" s="12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3.15" x14ac:dyDescent="0.4">
      <c r="A792" s="12"/>
      <c r="B792" s="8"/>
      <c r="C792" s="8"/>
      <c r="D792" s="8"/>
      <c r="E792" s="8"/>
      <c r="F792" s="8"/>
      <c r="G792" s="8"/>
      <c r="H792" s="8"/>
      <c r="I792" s="12"/>
      <c r="J792" s="8"/>
      <c r="K792" s="8"/>
      <c r="L792" s="12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3.15" x14ac:dyDescent="0.4">
      <c r="A793" s="12"/>
      <c r="B793" s="8"/>
      <c r="C793" s="8"/>
      <c r="D793" s="8"/>
      <c r="E793" s="8"/>
      <c r="F793" s="8"/>
      <c r="G793" s="8"/>
      <c r="H793" s="8"/>
      <c r="I793" s="12"/>
      <c r="J793" s="8"/>
      <c r="K793" s="8"/>
      <c r="L793" s="12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3.15" x14ac:dyDescent="0.4">
      <c r="A794" s="12"/>
      <c r="B794" s="8"/>
      <c r="C794" s="8"/>
      <c r="D794" s="8"/>
      <c r="E794" s="8"/>
      <c r="F794" s="8"/>
      <c r="G794" s="8"/>
      <c r="H794" s="8"/>
      <c r="I794" s="12"/>
      <c r="J794" s="8"/>
      <c r="K794" s="8"/>
      <c r="L794" s="12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3.15" x14ac:dyDescent="0.4">
      <c r="A795" s="12"/>
      <c r="B795" s="8"/>
      <c r="C795" s="8"/>
      <c r="D795" s="8"/>
      <c r="E795" s="8"/>
      <c r="F795" s="8"/>
      <c r="G795" s="8"/>
      <c r="H795" s="8"/>
      <c r="I795" s="12"/>
      <c r="J795" s="8"/>
      <c r="K795" s="8"/>
      <c r="L795" s="12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3.15" x14ac:dyDescent="0.4">
      <c r="A796" s="12"/>
      <c r="B796" s="8"/>
      <c r="C796" s="8"/>
      <c r="D796" s="8"/>
      <c r="E796" s="8"/>
      <c r="F796" s="8"/>
      <c r="G796" s="8"/>
      <c r="H796" s="8"/>
      <c r="I796" s="12"/>
      <c r="J796" s="8"/>
      <c r="K796" s="8"/>
      <c r="L796" s="12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3.15" x14ac:dyDescent="0.4">
      <c r="A797" s="12"/>
      <c r="B797" s="8"/>
      <c r="C797" s="8"/>
      <c r="D797" s="8"/>
      <c r="E797" s="8"/>
      <c r="F797" s="8"/>
      <c r="G797" s="8"/>
      <c r="H797" s="8"/>
      <c r="I797" s="12"/>
      <c r="J797" s="8"/>
      <c r="K797" s="8"/>
      <c r="L797" s="12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3.15" x14ac:dyDescent="0.4">
      <c r="A798" s="12"/>
      <c r="B798" s="8"/>
      <c r="C798" s="8"/>
      <c r="D798" s="8"/>
      <c r="E798" s="8"/>
      <c r="F798" s="8"/>
      <c r="G798" s="8"/>
      <c r="H798" s="8"/>
      <c r="I798" s="12"/>
      <c r="J798" s="8"/>
      <c r="K798" s="8"/>
      <c r="L798" s="12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3.15" x14ac:dyDescent="0.4">
      <c r="A799" s="12"/>
      <c r="B799" s="8"/>
      <c r="C799" s="8"/>
      <c r="D799" s="8"/>
      <c r="E799" s="8"/>
      <c r="F799" s="8"/>
      <c r="G799" s="8"/>
      <c r="H799" s="8"/>
      <c r="I799" s="12"/>
      <c r="J799" s="8"/>
      <c r="K799" s="8"/>
      <c r="L799" s="12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3.15" x14ac:dyDescent="0.4">
      <c r="A800" s="12"/>
      <c r="B800" s="8"/>
      <c r="C800" s="8"/>
      <c r="D800" s="8"/>
      <c r="E800" s="8"/>
      <c r="F800" s="8"/>
      <c r="G800" s="8"/>
      <c r="H800" s="8"/>
      <c r="I800" s="12"/>
      <c r="J800" s="8"/>
      <c r="K800" s="8"/>
      <c r="L800" s="12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3.15" x14ac:dyDescent="0.4">
      <c r="A801" s="12"/>
      <c r="B801" s="8"/>
      <c r="C801" s="8"/>
      <c r="D801" s="8"/>
      <c r="E801" s="8"/>
      <c r="F801" s="8"/>
      <c r="G801" s="8"/>
      <c r="H801" s="8"/>
      <c r="I801" s="12"/>
      <c r="J801" s="8"/>
      <c r="K801" s="8"/>
      <c r="L801" s="12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3.15" x14ac:dyDescent="0.4">
      <c r="A802" s="12"/>
      <c r="B802" s="8"/>
      <c r="C802" s="8"/>
      <c r="D802" s="8"/>
      <c r="E802" s="8"/>
      <c r="F802" s="8"/>
      <c r="G802" s="8"/>
      <c r="H802" s="8"/>
      <c r="I802" s="12"/>
      <c r="J802" s="8"/>
      <c r="K802" s="8"/>
      <c r="L802" s="12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3.15" x14ac:dyDescent="0.4">
      <c r="A803" s="12"/>
      <c r="B803" s="8"/>
      <c r="C803" s="8"/>
      <c r="D803" s="8"/>
      <c r="E803" s="8"/>
      <c r="F803" s="8"/>
      <c r="G803" s="8"/>
      <c r="H803" s="8"/>
      <c r="I803" s="12"/>
      <c r="J803" s="8"/>
      <c r="K803" s="8"/>
      <c r="L803" s="12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3.15" x14ac:dyDescent="0.4">
      <c r="A804" s="12"/>
      <c r="B804" s="8"/>
      <c r="C804" s="8"/>
      <c r="D804" s="8"/>
      <c r="E804" s="8"/>
      <c r="F804" s="8"/>
      <c r="G804" s="8"/>
      <c r="H804" s="8"/>
      <c r="I804" s="12"/>
      <c r="J804" s="8"/>
      <c r="K804" s="8"/>
      <c r="L804" s="12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3.15" x14ac:dyDescent="0.4">
      <c r="A805" s="12"/>
      <c r="B805" s="8"/>
      <c r="C805" s="8"/>
      <c r="D805" s="8"/>
      <c r="E805" s="8"/>
      <c r="F805" s="8"/>
      <c r="G805" s="8"/>
      <c r="H805" s="8"/>
      <c r="I805" s="12"/>
      <c r="J805" s="8"/>
      <c r="K805" s="8"/>
      <c r="L805" s="12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3.15" x14ac:dyDescent="0.4">
      <c r="A806" s="12"/>
      <c r="B806" s="8"/>
      <c r="C806" s="8"/>
      <c r="D806" s="8"/>
      <c r="E806" s="8"/>
      <c r="F806" s="8"/>
      <c r="G806" s="8"/>
      <c r="H806" s="8"/>
      <c r="I806" s="12"/>
      <c r="J806" s="8"/>
      <c r="K806" s="8"/>
      <c r="L806" s="12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3.15" x14ac:dyDescent="0.4">
      <c r="A807" s="12"/>
      <c r="B807" s="8"/>
      <c r="C807" s="8"/>
      <c r="D807" s="8"/>
      <c r="E807" s="8"/>
      <c r="F807" s="8"/>
      <c r="G807" s="8"/>
      <c r="H807" s="8"/>
      <c r="I807" s="12"/>
      <c r="J807" s="8"/>
      <c r="K807" s="8"/>
      <c r="L807" s="12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3.15" x14ac:dyDescent="0.4">
      <c r="A808" s="12"/>
      <c r="B808" s="8"/>
      <c r="C808" s="8"/>
      <c r="D808" s="8"/>
      <c r="E808" s="8"/>
      <c r="F808" s="8"/>
      <c r="G808" s="8"/>
      <c r="H808" s="8"/>
      <c r="I808" s="12"/>
      <c r="J808" s="8"/>
      <c r="K808" s="8"/>
      <c r="L808" s="12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3.15" x14ac:dyDescent="0.4">
      <c r="A809" s="12"/>
      <c r="B809" s="8"/>
      <c r="C809" s="8"/>
      <c r="D809" s="8"/>
      <c r="E809" s="8"/>
      <c r="F809" s="8"/>
      <c r="G809" s="8"/>
      <c r="H809" s="8"/>
      <c r="I809" s="12"/>
      <c r="J809" s="8"/>
      <c r="K809" s="8"/>
      <c r="L809" s="12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3.15" x14ac:dyDescent="0.4">
      <c r="A810" s="12"/>
      <c r="B810" s="8"/>
      <c r="C810" s="8"/>
      <c r="D810" s="8"/>
      <c r="E810" s="8"/>
      <c r="F810" s="8"/>
      <c r="G810" s="8"/>
      <c r="H810" s="8"/>
      <c r="I810" s="12"/>
      <c r="J810" s="8"/>
      <c r="K810" s="8"/>
      <c r="L810" s="12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3.15" x14ac:dyDescent="0.4">
      <c r="A811" s="12"/>
      <c r="B811" s="8"/>
      <c r="C811" s="8"/>
      <c r="D811" s="8"/>
      <c r="E811" s="8"/>
      <c r="F811" s="8"/>
      <c r="G811" s="8"/>
      <c r="H811" s="8"/>
      <c r="I811" s="12"/>
      <c r="J811" s="8"/>
      <c r="K811" s="8"/>
      <c r="L811" s="12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3.15" x14ac:dyDescent="0.4">
      <c r="A812" s="12"/>
      <c r="B812" s="8"/>
      <c r="C812" s="8"/>
      <c r="D812" s="8"/>
      <c r="E812" s="8"/>
      <c r="F812" s="8"/>
      <c r="G812" s="8"/>
      <c r="H812" s="8"/>
      <c r="I812" s="12"/>
      <c r="J812" s="8"/>
      <c r="K812" s="8"/>
      <c r="L812" s="12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3.15" x14ac:dyDescent="0.4">
      <c r="A813" s="12"/>
      <c r="B813" s="8"/>
      <c r="C813" s="8"/>
      <c r="D813" s="8"/>
      <c r="E813" s="8"/>
      <c r="F813" s="8"/>
      <c r="G813" s="8"/>
      <c r="H813" s="8"/>
      <c r="I813" s="12"/>
      <c r="J813" s="8"/>
      <c r="K813" s="8"/>
      <c r="L813" s="12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3.15" x14ac:dyDescent="0.4">
      <c r="A814" s="12"/>
      <c r="B814" s="8"/>
      <c r="C814" s="8"/>
      <c r="D814" s="8"/>
      <c r="E814" s="8"/>
      <c r="F814" s="8"/>
      <c r="G814" s="8"/>
      <c r="H814" s="8"/>
      <c r="I814" s="12"/>
      <c r="J814" s="8"/>
      <c r="K814" s="8"/>
      <c r="L814" s="12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3.15" x14ac:dyDescent="0.4">
      <c r="A815" s="12"/>
      <c r="B815" s="8"/>
      <c r="C815" s="8"/>
      <c r="D815" s="8"/>
      <c r="E815" s="8"/>
      <c r="F815" s="8"/>
      <c r="G815" s="8"/>
      <c r="H815" s="8"/>
      <c r="I815" s="12"/>
      <c r="J815" s="8"/>
      <c r="K815" s="8"/>
      <c r="L815" s="12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3.15" x14ac:dyDescent="0.4">
      <c r="A816" s="12"/>
      <c r="B816" s="8"/>
      <c r="C816" s="8"/>
      <c r="D816" s="8"/>
      <c r="E816" s="8"/>
      <c r="F816" s="8"/>
      <c r="G816" s="8"/>
      <c r="H816" s="8"/>
      <c r="I816" s="12"/>
      <c r="J816" s="8"/>
      <c r="K816" s="8"/>
      <c r="L816" s="12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3.15" x14ac:dyDescent="0.4">
      <c r="A817" s="12"/>
      <c r="B817" s="8"/>
      <c r="C817" s="8"/>
      <c r="D817" s="8"/>
      <c r="E817" s="8"/>
      <c r="F817" s="8"/>
      <c r="G817" s="8"/>
      <c r="H817" s="8"/>
      <c r="I817" s="12"/>
      <c r="J817" s="8"/>
      <c r="K817" s="8"/>
      <c r="L817" s="12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3.15" x14ac:dyDescent="0.4">
      <c r="A818" s="12"/>
      <c r="B818" s="8"/>
      <c r="C818" s="8"/>
      <c r="D818" s="8"/>
      <c r="E818" s="8"/>
      <c r="F818" s="8"/>
      <c r="G818" s="8"/>
      <c r="H818" s="8"/>
      <c r="I818" s="12"/>
      <c r="J818" s="8"/>
      <c r="K818" s="8"/>
      <c r="L818" s="12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3.15" x14ac:dyDescent="0.4">
      <c r="A819" s="12"/>
      <c r="B819" s="8"/>
      <c r="C819" s="8"/>
      <c r="D819" s="8"/>
      <c r="E819" s="8"/>
      <c r="F819" s="8"/>
      <c r="G819" s="8"/>
      <c r="H819" s="8"/>
      <c r="I819" s="12"/>
      <c r="J819" s="8"/>
      <c r="K819" s="8"/>
      <c r="L819" s="12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3.15" x14ac:dyDescent="0.4">
      <c r="A820" s="12"/>
      <c r="B820" s="8"/>
      <c r="C820" s="8"/>
      <c r="D820" s="8"/>
      <c r="E820" s="8"/>
      <c r="F820" s="8"/>
      <c r="G820" s="8"/>
      <c r="H820" s="8"/>
      <c r="I820" s="12"/>
      <c r="J820" s="8"/>
      <c r="K820" s="8"/>
      <c r="L820" s="12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3.15" x14ac:dyDescent="0.4">
      <c r="A821" s="12"/>
      <c r="B821" s="8"/>
      <c r="C821" s="8"/>
      <c r="D821" s="8"/>
      <c r="E821" s="8"/>
      <c r="F821" s="8"/>
      <c r="G821" s="8"/>
      <c r="H821" s="8"/>
      <c r="I821" s="12"/>
      <c r="J821" s="8"/>
      <c r="K821" s="8"/>
      <c r="L821" s="12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3.15" x14ac:dyDescent="0.4">
      <c r="A822" s="12"/>
      <c r="B822" s="8"/>
      <c r="C822" s="8"/>
      <c r="D822" s="8"/>
      <c r="E822" s="8"/>
      <c r="F822" s="8"/>
      <c r="G822" s="8"/>
      <c r="H822" s="8"/>
      <c r="I822" s="12"/>
      <c r="J822" s="8"/>
      <c r="K822" s="8"/>
      <c r="L822" s="12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3.15" x14ac:dyDescent="0.4">
      <c r="A823" s="12"/>
      <c r="B823" s="8"/>
      <c r="C823" s="8"/>
      <c r="D823" s="8"/>
      <c r="E823" s="8"/>
      <c r="F823" s="8"/>
      <c r="G823" s="8"/>
      <c r="H823" s="8"/>
      <c r="I823" s="12"/>
      <c r="J823" s="8"/>
      <c r="K823" s="8"/>
      <c r="L823" s="12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3.15" x14ac:dyDescent="0.4">
      <c r="A824" s="12"/>
      <c r="B824" s="8"/>
      <c r="C824" s="8"/>
      <c r="D824" s="8"/>
      <c r="E824" s="8"/>
      <c r="F824" s="8"/>
      <c r="G824" s="8"/>
      <c r="H824" s="8"/>
      <c r="I824" s="12"/>
      <c r="J824" s="8"/>
      <c r="K824" s="8"/>
      <c r="L824" s="12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3.15" x14ac:dyDescent="0.4">
      <c r="A825" s="12"/>
      <c r="B825" s="8"/>
      <c r="C825" s="8"/>
      <c r="D825" s="8"/>
      <c r="E825" s="8"/>
      <c r="F825" s="8"/>
      <c r="G825" s="8"/>
      <c r="H825" s="8"/>
      <c r="I825" s="12"/>
      <c r="J825" s="8"/>
      <c r="K825" s="8"/>
      <c r="L825" s="12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3.15" x14ac:dyDescent="0.4">
      <c r="A826" s="12"/>
      <c r="B826" s="8"/>
      <c r="C826" s="8"/>
      <c r="D826" s="8"/>
      <c r="E826" s="8"/>
      <c r="F826" s="8"/>
      <c r="G826" s="8"/>
      <c r="H826" s="8"/>
      <c r="I826" s="12"/>
      <c r="J826" s="8"/>
      <c r="K826" s="8"/>
      <c r="L826" s="12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3.15" x14ac:dyDescent="0.4">
      <c r="A827" s="12"/>
      <c r="B827" s="8"/>
      <c r="C827" s="8"/>
      <c r="D827" s="8"/>
      <c r="E827" s="8"/>
      <c r="F827" s="8"/>
      <c r="G827" s="8"/>
      <c r="H827" s="8"/>
      <c r="I827" s="12"/>
      <c r="J827" s="8"/>
      <c r="K827" s="8"/>
      <c r="L827" s="12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3.15" x14ac:dyDescent="0.4">
      <c r="A828" s="12"/>
      <c r="B828" s="8"/>
      <c r="C828" s="8"/>
      <c r="D828" s="8"/>
      <c r="E828" s="8"/>
      <c r="F828" s="8"/>
      <c r="G828" s="8"/>
      <c r="H828" s="8"/>
      <c r="I828" s="12"/>
      <c r="J828" s="8"/>
      <c r="K828" s="8"/>
      <c r="L828" s="12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3.15" x14ac:dyDescent="0.4">
      <c r="A829" s="12"/>
      <c r="B829" s="8"/>
      <c r="C829" s="8"/>
      <c r="D829" s="8"/>
      <c r="E829" s="8"/>
      <c r="F829" s="8"/>
      <c r="G829" s="8"/>
      <c r="H829" s="8"/>
      <c r="I829" s="12"/>
      <c r="J829" s="8"/>
      <c r="K829" s="8"/>
      <c r="L829" s="12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3.15" x14ac:dyDescent="0.4">
      <c r="A830" s="12"/>
      <c r="B830" s="8"/>
      <c r="C830" s="8"/>
      <c r="D830" s="8"/>
      <c r="E830" s="8"/>
      <c r="F830" s="8"/>
      <c r="G830" s="8"/>
      <c r="H830" s="8"/>
      <c r="I830" s="12"/>
      <c r="J830" s="8"/>
      <c r="K830" s="8"/>
      <c r="L830" s="12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3.15" x14ac:dyDescent="0.4">
      <c r="A831" s="12"/>
      <c r="B831" s="8"/>
      <c r="C831" s="8"/>
      <c r="D831" s="8"/>
      <c r="E831" s="8"/>
      <c r="F831" s="8"/>
      <c r="G831" s="8"/>
      <c r="H831" s="8"/>
      <c r="I831" s="12"/>
      <c r="J831" s="8"/>
      <c r="K831" s="8"/>
      <c r="L831" s="12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3.15" x14ac:dyDescent="0.4">
      <c r="A832" s="12"/>
      <c r="B832" s="8"/>
      <c r="C832" s="8"/>
      <c r="D832" s="8"/>
      <c r="E832" s="8"/>
      <c r="F832" s="8"/>
      <c r="G832" s="8"/>
      <c r="H832" s="8"/>
      <c r="I832" s="12"/>
      <c r="J832" s="8"/>
      <c r="K832" s="8"/>
      <c r="L832" s="12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3.15" x14ac:dyDescent="0.4">
      <c r="A833" s="12"/>
      <c r="B833" s="8"/>
      <c r="C833" s="8"/>
      <c r="D833" s="8"/>
      <c r="E833" s="8"/>
      <c r="F833" s="8"/>
      <c r="G833" s="8"/>
      <c r="H833" s="8"/>
      <c r="I833" s="12"/>
      <c r="J833" s="8"/>
      <c r="K833" s="8"/>
      <c r="L833" s="12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3.15" x14ac:dyDescent="0.4">
      <c r="A834" s="12"/>
      <c r="B834" s="8"/>
      <c r="C834" s="8"/>
      <c r="D834" s="8"/>
      <c r="E834" s="8"/>
      <c r="F834" s="8"/>
      <c r="G834" s="8"/>
      <c r="H834" s="8"/>
      <c r="I834" s="12"/>
      <c r="J834" s="8"/>
      <c r="K834" s="8"/>
      <c r="L834" s="12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3.15" x14ac:dyDescent="0.4">
      <c r="A835" s="12"/>
      <c r="B835" s="8"/>
      <c r="C835" s="8"/>
      <c r="D835" s="8"/>
      <c r="E835" s="8"/>
      <c r="F835" s="8"/>
      <c r="G835" s="8"/>
      <c r="H835" s="8"/>
      <c r="I835" s="12"/>
      <c r="J835" s="8"/>
      <c r="K835" s="8"/>
      <c r="L835" s="12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3.15" x14ac:dyDescent="0.4">
      <c r="A836" s="12"/>
      <c r="B836" s="8"/>
      <c r="C836" s="8"/>
      <c r="D836" s="8"/>
      <c r="E836" s="8"/>
      <c r="F836" s="8"/>
      <c r="G836" s="8"/>
      <c r="H836" s="8"/>
      <c r="I836" s="12"/>
      <c r="J836" s="8"/>
      <c r="K836" s="8"/>
      <c r="L836" s="12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3.15" x14ac:dyDescent="0.4">
      <c r="A837" s="12"/>
      <c r="B837" s="8"/>
      <c r="C837" s="8"/>
      <c r="D837" s="8"/>
      <c r="E837" s="8"/>
      <c r="F837" s="8"/>
      <c r="G837" s="8"/>
      <c r="H837" s="8"/>
      <c r="I837" s="12"/>
      <c r="J837" s="8"/>
      <c r="K837" s="8"/>
      <c r="L837" s="12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3.15" x14ac:dyDescent="0.4">
      <c r="A838" s="12"/>
      <c r="B838" s="8"/>
      <c r="C838" s="8"/>
      <c r="D838" s="8"/>
      <c r="E838" s="8"/>
      <c r="F838" s="8"/>
      <c r="G838" s="8"/>
      <c r="H838" s="8"/>
      <c r="I838" s="12"/>
      <c r="J838" s="8"/>
      <c r="K838" s="8"/>
      <c r="L838" s="12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3.15" x14ac:dyDescent="0.4">
      <c r="A839" s="12"/>
      <c r="B839" s="8"/>
      <c r="C839" s="8"/>
      <c r="D839" s="8"/>
      <c r="E839" s="8"/>
      <c r="F839" s="8"/>
      <c r="G839" s="8"/>
      <c r="H839" s="8"/>
      <c r="I839" s="12"/>
      <c r="J839" s="8"/>
      <c r="K839" s="8"/>
      <c r="L839" s="12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3.15" x14ac:dyDescent="0.4">
      <c r="A840" s="12"/>
      <c r="B840" s="8"/>
      <c r="C840" s="8"/>
      <c r="D840" s="8"/>
      <c r="E840" s="8"/>
      <c r="F840" s="8"/>
      <c r="G840" s="8"/>
      <c r="H840" s="8"/>
      <c r="I840" s="12"/>
      <c r="J840" s="8"/>
      <c r="K840" s="8"/>
      <c r="L840" s="12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3.15" x14ac:dyDescent="0.4">
      <c r="A841" s="12"/>
      <c r="B841" s="8"/>
      <c r="C841" s="8"/>
      <c r="D841" s="8"/>
      <c r="E841" s="8"/>
      <c r="F841" s="8"/>
      <c r="G841" s="8"/>
      <c r="H841" s="8"/>
      <c r="I841" s="12"/>
      <c r="J841" s="8"/>
      <c r="K841" s="8"/>
      <c r="L841" s="12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3.15" x14ac:dyDescent="0.4">
      <c r="A842" s="12"/>
      <c r="B842" s="8"/>
      <c r="C842" s="8"/>
      <c r="D842" s="8"/>
      <c r="E842" s="8"/>
      <c r="F842" s="8"/>
      <c r="G842" s="8"/>
      <c r="H842" s="8"/>
      <c r="I842" s="12"/>
      <c r="J842" s="8"/>
      <c r="K842" s="8"/>
      <c r="L842" s="12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3.15" x14ac:dyDescent="0.4">
      <c r="A843" s="12"/>
      <c r="B843" s="8"/>
      <c r="C843" s="8"/>
      <c r="D843" s="8"/>
      <c r="E843" s="8"/>
      <c r="F843" s="8"/>
      <c r="G843" s="8"/>
      <c r="H843" s="8"/>
      <c r="I843" s="12"/>
      <c r="J843" s="8"/>
      <c r="K843" s="8"/>
      <c r="L843" s="12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3.15" x14ac:dyDescent="0.4">
      <c r="A844" s="12"/>
      <c r="B844" s="8"/>
      <c r="C844" s="8"/>
      <c r="D844" s="8"/>
      <c r="E844" s="8"/>
      <c r="F844" s="8"/>
      <c r="G844" s="8"/>
      <c r="H844" s="8"/>
      <c r="I844" s="12"/>
      <c r="J844" s="8"/>
      <c r="K844" s="8"/>
      <c r="L844" s="12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3.15" x14ac:dyDescent="0.4">
      <c r="A845" s="12"/>
      <c r="B845" s="8"/>
      <c r="C845" s="8"/>
      <c r="D845" s="8"/>
      <c r="E845" s="8"/>
      <c r="F845" s="8"/>
      <c r="G845" s="8"/>
      <c r="H845" s="8"/>
      <c r="I845" s="12"/>
      <c r="J845" s="8"/>
      <c r="K845" s="8"/>
      <c r="L845" s="12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3.15" x14ac:dyDescent="0.4">
      <c r="A846" s="12"/>
      <c r="B846" s="8"/>
      <c r="C846" s="8"/>
      <c r="D846" s="8"/>
      <c r="E846" s="8"/>
      <c r="F846" s="8"/>
      <c r="G846" s="8"/>
      <c r="H846" s="8"/>
      <c r="I846" s="12"/>
      <c r="J846" s="8"/>
      <c r="K846" s="8"/>
      <c r="L846" s="12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3.15" x14ac:dyDescent="0.4">
      <c r="A847" s="12"/>
      <c r="B847" s="8"/>
      <c r="C847" s="8"/>
      <c r="D847" s="8"/>
      <c r="E847" s="8"/>
      <c r="F847" s="8"/>
      <c r="G847" s="8"/>
      <c r="H847" s="8"/>
      <c r="I847" s="12"/>
      <c r="J847" s="8"/>
      <c r="K847" s="8"/>
      <c r="L847" s="12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3.15" x14ac:dyDescent="0.4">
      <c r="A848" s="12"/>
      <c r="B848" s="8"/>
      <c r="C848" s="8"/>
      <c r="D848" s="8"/>
      <c r="E848" s="8"/>
      <c r="F848" s="8"/>
      <c r="G848" s="8"/>
      <c r="H848" s="8"/>
      <c r="I848" s="12"/>
      <c r="J848" s="8"/>
      <c r="K848" s="8"/>
      <c r="L848" s="12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3.15" x14ac:dyDescent="0.4">
      <c r="A849" s="12"/>
      <c r="B849" s="8"/>
      <c r="C849" s="8"/>
      <c r="D849" s="8"/>
      <c r="E849" s="8"/>
      <c r="F849" s="8"/>
      <c r="G849" s="8"/>
      <c r="H849" s="8"/>
      <c r="I849" s="12"/>
      <c r="J849" s="8"/>
      <c r="K849" s="8"/>
      <c r="L849" s="12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3.15" x14ac:dyDescent="0.4">
      <c r="A850" s="12"/>
      <c r="B850" s="8"/>
      <c r="C850" s="8"/>
      <c r="D850" s="8"/>
      <c r="E850" s="8"/>
      <c r="F850" s="8"/>
      <c r="G850" s="8"/>
      <c r="H850" s="8"/>
      <c r="I850" s="12"/>
      <c r="J850" s="8"/>
      <c r="K850" s="8"/>
      <c r="L850" s="12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3.15" x14ac:dyDescent="0.4">
      <c r="A851" s="12"/>
      <c r="B851" s="8"/>
      <c r="C851" s="8"/>
      <c r="D851" s="8"/>
      <c r="E851" s="8"/>
      <c r="F851" s="8"/>
      <c r="G851" s="8"/>
      <c r="H851" s="8"/>
      <c r="I851" s="12"/>
      <c r="J851" s="8"/>
      <c r="K851" s="8"/>
      <c r="L851" s="12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3.15" x14ac:dyDescent="0.4">
      <c r="A852" s="12"/>
      <c r="B852" s="8"/>
      <c r="C852" s="8"/>
      <c r="D852" s="8"/>
      <c r="E852" s="8"/>
      <c r="F852" s="8"/>
      <c r="G852" s="8"/>
      <c r="H852" s="8"/>
      <c r="I852" s="12"/>
      <c r="J852" s="8"/>
      <c r="K852" s="8"/>
      <c r="L852" s="12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3.15" x14ac:dyDescent="0.4">
      <c r="A853" s="12"/>
      <c r="B853" s="8"/>
      <c r="C853" s="8"/>
      <c r="D853" s="8"/>
      <c r="E853" s="8"/>
      <c r="F853" s="8"/>
      <c r="G853" s="8"/>
      <c r="H853" s="8"/>
      <c r="I853" s="12"/>
      <c r="J853" s="8"/>
      <c r="K853" s="8"/>
      <c r="L853" s="12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3.15" x14ac:dyDescent="0.4">
      <c r="A854" s="12"/>
      <c r="B854" s="8"/>
      <c r="C854" s="8"/>
      <c r="D854" s="8"/>
      <c r="E854" s="8"/>
      <c r="F854" s="8"/>
      <c r="G854" s="8"/>
      <c r="H854" s="8"/>
      <c r="I854" s="12"/>
      <c r="J854" s="8"/>
      <c r="K854" s="8"/>
      <c r="L854" s="12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3.15" x14ac:dyDescent="0.4">
      <c r="A855" s="12"/>
      <c r="B855" s="8"/>
      <c r="C855" s="8"/>
      <c r="D855" s="8"/>
      <c r="E855" s="8"/>
      <c r="F855" s="8"/>
      <c r="G855" s="8"/>
      <c r="H855" s="8"/>
      <c r="I855" s="12"/>
      <c r="J855" s="8"/>
      <c r="K855" s="8"/>
      <c r="L855" s="12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3.15" x14ac:dyDescent="0.4">
      <c r="A856" s="12"/>
      <c r="B856" s="8"/>
      <c r="C856" s="8"/>
      <c r="D856" s="8"/>
      <c r="E856" s="8"/>
      <c r="F856" s="8"/>
      <c r="G856" s="8"/>
      <c r="H856" s="8"/>
      <c r="I856" s="12"/>
      <c r="J856" s="8"/>
      <c r="K856" s="8"/>
      <c r="L856" s="12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3.15" x14ac:dyDescent="0.4">
      <c r="A857" s="12"/>
      <c r="B857" s="8"/>
      <c r="C857" s="8"/>
      <c r="D857" s="8"/>
      <c r="E857" s="8"/>
      <c r="F857" s="8"/>
      <c r="G857" s="8"/>
      <c r="H857" s="8"/>
      <c r="I857" s="12"/>
      <c r="J857" s="8"/>
      <c r="K857" s="8"/>
      <c r="L857" s="12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3.15" x14ac:dyDescent="0.4">
      <c r="A858" s="12"/>
      <c r="B858" s="8"/>
      <c r="C858" s="8"/>
      <c r="D858" s="8"/>
      <c r="E858" s="8"/>
      <c r="F858" s="8"/>
      <c r="G858" s="8"/>
      <c r="H858" s="8"/>
      <c r="I858" s="12"/>
      <c r="J858" s="8"/>
      <c r="K858" s="8"/>
      <c r="L858" s="12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3.15" x14ac:dyDescent="0.4">
      <c r="A859" s="12"/>
      <c r="B859" s="8"/>
      <c r="C859" s="8"/>
      <c r="D859" s="8"/>
      <c r="E859" s="8"/>
      <c r="F859" s="8"/>
      <c r="G859" s="8"/>
      <c r="H859" s="8"/>
      <c r="I859" s="12"/>
      <c r="J859" s="8"/>
      <c r="K859" s="8"/>
      <c r="L859" s="12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3.15" x14ac:dyDescent="0.4">
      <c r="A860" s="12"/>
      <c r="B860" s="8"/>
      <c r="C860" s="8"/>
      <c r="D860" s="8"/>
      <c r="E860" s="8"/>
      <c r="F860" s="8"/>
      <c r="G860" s="8"/>
      <c r="H860" s="8"/>
      <c r="I860" s="12"/>
      <c r="J860" s="8"/>
      <c r="K860" s="8"/>
      <c r="L860" s="12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3.15" x14ac:dyDescent="0.4">
      <c r="A861" s="12"/>
      <c r="B861" s="8"/>
      <c r="C861" s="8"/>
      <c r="D861" s="8"/>
      <c r="E861" s="8"/>
      <c r="F861" s="8"/>
      <c r="G861" s="8"/>
      <c r="H861" s="8"/>
      <c r="I861" s="12"/>
      <c r="J861" s="8"/>
      <c r="K861" s="8"/>
      <c r="L861" s="12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3.15" x14ac:dyDescent="0.4">
      <c r="A862" s="12"/>
      <c r="B862" s="8"/>
      <c r="C862" s="8"/>
      <c r="D862" s="8"/>
      <c r="E862" s="8"/>
      <c r="F862" s="8"/>
      <c r="G862" s="8"/>
      <c r="H862" s="8"/>
      <c r="I862" s="12"/>
      <c r="J862" s="8"/>
      <c r="K862" s="8"/>
      <c r="L862" s="12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3.15" x14ac:dyDescent="0.4">
      <c r="A863" s="12"/>
      <c r="B863" s="8"/>
      <c r="C863" s="8"/>
      <c r="D863" s="8"/>
      <c r="E863" s="8"/>
      <c r="F863" s="8"/>
      <c r="G863" s="8"/>
      <c r="H863" s="8"/>
      <c r="I863" s="12"/>
      <c r="J863" s="8"/>
      <c r="K863" s="8"/>
      <c r="L863" s="12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3.15" x14ac:dyDescent="0.4">
      <c r="A864" s="12"/>
      <c r="B864" s="8"/>
      <c r="C864" s="8"/>
      <c r="D864" s="8"/>
      <c r="E864" s="8"/>
      <c r="F864" s="8"/>
      <c r="G864" s="8"/>
      <c r="H864" s="8"/>
      <c r="I864" s="12"/>
      <c r="J864" s="8"/>
      <c r="K864" s="8"/>
      <c r="L864" s="12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3.15" x14ac:dyDescent="0.4">
      <c r="A865" s="12"/>
      <c r="B865" s="8"/>
      <c r="C865" s="8"/>
      <c r="D865" s="8"/>
      <c r="E865" s="8"/>
      <c r="F865" s="8"/>
      <c r="G865" s="8"/>
      <c r="H865" s="8"/>
      <c r="I865" s="12"/>
      <c r="J865" s="8"/>
      <c r="K865" s="8"/>
      <c r="L865" s="12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3.15" x14ac:dyDescent="0.4">
      <c r="A866" s="12"/>
      <c r="B866" s="8"/>
      <c r="C866" s="8"/>
      <c r="D866" s="8"/>
      <c r="E866" s="8"/>
      <c r="F866" s="8"/>
      <c r="G866" s="8"/>
      <c r="H866" s="8"/>
      <c r="I866" s="12"/>
      <c r="J866" s="8"/>
      <c r="K866" s="8"/>
      <c r="L866" s="12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3.15" x14ac:dyDescent="0.4">
      <c r="A867" s="12"/>
      <c r="B867" s="8"/>
      <c r="C867" s="8"/>
      <c r="D867" s="8"/>
      <c r="E867" s="8"/>
      <c r="F867" s="8"/>
      <c r="G867" s="8"/>
      <c r="H867" s="8"/>
      <c r="I867" s="12"/>
      <c r="J867" s="8"/>
      <c r="K867" s="8"/>
      <c r="L867" s="12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3.15" x14ac:dyDescent="0.4">
      <c r="A868" s="12"/>
      <c r="B868" s="8"/>
      <c r="C868" s="8"/>
      <c r="D868" s="8"/>
      <c r="E868" s="8"/>
      <c r="F868" s="8"/>
      <c r="G868" s="8"/>
      <c r="H868" s="8"/>
      <c r="I868" s="12"/>
      <c r="J868" s="8"/>
      <c r="K868" s="8"/>
      <c r="L868" s="12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3.15" x14ac:dyDescent="0.4">
      <c r="A869" s="12"/>
      <c r="B869" s="8"/>
      <c r="C869" s="8"/>
      <c r="D869" s="8"/>
      <c r="E869" s="8"/>
      <c r="F869" s="8"/>
      <c r="G869" s="8"/>
      <c r="H869" s="8"/>
      <c r="I869" s="12"/>
      <c r="J869" s="8"/>
      <c r="K869" s="8"/>
      <c r="L869" s="12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3.15" x14ac:dyDescent="0.4">
      <c r="A870" s="12"/>
      <c r="B870" s="8"/>
      <c r="C870" s="8"/>
      <c r="D870" s="8"/>
      <c r="E870" s="8"/>
      <c r="F870" s="8"/>
      <c r="G870" s="8"/>
      <c r="H870" s="8"/>
      <c r="I870" s="12"/>
      <c r="J870" s="8"/>
      <c r="K870" s="8"/>
      <c r="L870" s="12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3.15" x14ac:dyDescent="0.4">
      <c r="A871" s="12"/>
      <c r="B871" s="8"/>
      <c r="C871" s="8"/>
      <c r="D871" s="8"/>
      <c r="E871" s="8"/>
      <c r="F871" s="8"/>
      <c r="G871" s="8"/>
      <c r="H871" s="8"/>
      <c r="I871" s="12"/>
      <c r="J871" s="8"/>
      <c r="K871" s="8"/>
      <c r="L871" s="12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3.15" x14ac:dyDescent="0.4">
      <c r="A872" s="12"/>
      <c r="B872" s="8"/>
      <c r="C872" s="8"/>
      <c r="D872" s="8"/>
      <c r="E872" s="8"/>
      <c r="F872" s="8"/>
      <c r="G872" s="8"/>
      <c r="H872" s="8"/>
      <c r="I872" s="12"/>
      <c r="J872" s="8"/>
      <c r="K872" s="8"/>
      <c r="L872" s="12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3.15" x14ac:dyDescent="0.4">
      <c r="A873" s="12"/>
      <c r="B873" s="8"/>
      <c r="C873" s="8"/>
      <c r="D873" s="8"/>
      <c r="E873" s="8"/>
      <c r="F873" s="8"/>
      <c r="G873" s="8"/>
      <c r="H873" s="8"/>
      <c r="I873" s="12"/>
      <c r="J873" s="8"/>
      <c r="K873" s="8"/>
      <c r="L873" s="12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3.15" x14ac:dyDescent="0.4">
      <c r="A874" s="12"/>
      <c r="B874" s="8"/>
      <c r="C874" s="8"/>
      <c r="D874" s="8"/>
      <c r="E874" s="8"/>
      <c r="F874" s="8"/>
      <c r="G874" s="8"/>
      <c r="H874" s="8"/>
      <c r="I874" s="12"/>
      <c r="J874" s="8"/>
      <c r="K874" s="8"/>
      <c r="L874" s="12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3.15" x14ac:dyDescent="0.4">
      <c r="A875" s="12"/>
      <c r="B875" s="8"/>
      <c r="C875" s="8"/>
      <c r="D875" s="8"/>
      <c r="E875" s="8"/>
      <c r="F875" s="8"/>
      <c r="G875" s="8"/>
      <c r="H875" s="8"/>
      <c r="I875" s="12"/>
      <c r="J875" s="8"/>
      <c r="K875" s="8"/>
      <c r="L875" s="12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3.15" x14ac:dyDescent="0.4">
      <c r="A876" s="12"/>
      <c r="B876" s="8"/>
      <c r="C876" s="8"/>
      <c r="D876" s="8"/>
      <c r="E876" s="8"/>
      <c r="F876" s="8"/>
      <c r="G876" s="8"/>
      <c r="H876" s="8"/>
      <c r="I876" s="12"/>
      <c r="J876" s="8"/>
      <c r="K876" s="8"/>
      <c r="L876" s="12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3.15" x14ac:dyDescent="0.4">
      <c r="A877" s="12"/>
      <c r="B877" s="8"/>
      <c r="C877" s="8"/>
      <c r="D877" s="8"/>
      <c r="E877" s="8"/>
      <c r="F877" s="8"/>
      <c r="G877" s="8"/>
      <c r="H877" s="8"/>
      <c r="I877" s="12"/>
      <c r="J877" s="8"/>
      <c r="K877" s="8"/>
      <c r="L877" s="12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3.15" x14ac:dyDescent="0.4">
      <c r="A878" s="12"/>
      <c r="B878" s="8"/>
      <c r="C878" s="8"/>
      <c r="D878" s="8"/>
      <c r="E878" s="8"/>
      <c r="F878" s="8"/>
      <c r="G878" s="8"/>
      <c r="H878" s="8"/>
      <c r="I878" s="12"/>
      <c r="J878" s="8"/>
      <c r="K878" s="8"/>
      <c r="L878" s="12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3.15" x14ac:dyDescent="0.4">
      <c r="A879" s="12"/>
      <c r="B879" s="8"/>
      <c r="C879" s="8"/>
      <c r="D879" s="8"/>
      <c r="E879" s="8"/>
      <c r="F879" s="8"/>
      <c r="G879" s="8"/>
      <c r="H879" s="8"/>
      <c r="I879" s="12"/>
      <c r="J879" s="8"/>
      <c r="K879" s="8"/>
      <c r="L879" s="12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3.15" x14ac:dyDescent="0.4">
      <c r="A880" s="12"/>
      <c r="B880" s="8"/>
      <c r="C880" s="8"/>
      <c r="D880" s="8"/>
      <c r="E880" s="8"/>
      <c r="F880" s="8"/>
      <c r="G880" s="8"/>
      <c r="H880" s="8"/>
      <c r="I880" s="12"/>
      <c r="J880" s="8"/>
      <c r="K880" s="8"/>
      <c r="L880" s="12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3.15" x14ac:dyDescent="0.4">
      <c r="A881" s="12"/>
      <c r="B881" s="8"/>
      <c r="C881" s="8"/>
      <c r="D881" s="8"/>
      <c r="E881" s="8"/>
      <c r="F881" s="8"/>
      <c r="G881" s="8"/>
      <c r="H881" s="8"/>
      <c r="I881" s="12"/>
      <c r="J881" s="8"/>
      <c r="K881" s="8"/>
      <c r="L881" s="12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3.15" x14ac:dyDescent="0.4">
      <c r="A882" s="12"/>
      <c r="B882" s="8"/>
      <c r="C882" s="8"/>
      <c r="D882" s="8"/>
      <c r="E882" s="8"/>
      <c r="F882" s="8"/>
      <c r="G882" s="8"/>
      <c r="H882" s="8"/>
      <c r="I882" s="12"/>
      <c r="J882" s="8"/>
      <c r="K882" s="8"/>
      <c r="L882" s="12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3.15" x14ac:dyDescent="0.4">
      <c r="A883" s="12"/>
      <c r="B883" s="8"/>
      <c r="C883" s="8"/>
      <c r="D883" s="8"/>
      <c r="E883" s="8"/>
      <c r="F883" s="8"/>
      <c r="G883" s="8"/>
      <c r="H883" s="8"/>
      <c r="I883" s="12"/>
      <c r="J883" s="8"/>
      <c r="K883" s="8"/>
      <c r="L883" s="12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3.15" x14ac:dyDescent="0.4">
      <c r="A884" s="12"/>
      <c r="B884" s="8"/>
      <c r="C884" s="8"/>
      <c r="D884" s="8"/>
      <c r="E884" s="8"/>
      <c r="F884" s="8"/>
      <c r="G884" s="8"/>
      <c r="H884" s="8"/>
      <c r="I884" s="12"/>
      <c r="J884" s="8"/>
      <c r="K884" s="8"/>
      <c r="L884" s="12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3.15" x14ac:dyDescent="0.4">
      <c r="A885" s="12"/>
      <c r="B885" s="8"/>
      <c r="C885" s="8"/>
      <c r="D885" s="8"/>
      <c r="E885" s="8"/>
      <c r="F885" s="8"/>
      <c r="G885" s="8"/>
      <c r="H885" s="8"/>
      <c r="I885" s="12"/>
      <c r="J885" s="8"/>
      <c r="K885" s="8"/>
      <c r="L885" s="12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3.15" x14ac:dyDescent="0.4">
      <c r="A886" s="12"/>
      <c r="B886" s="8"/>
      <c r="C886" s="8"/>
      <c r="D886" s="8"/>
      <c r="E886" s="8"/>
      <c r="F886" s="8"/>
      <c r="G886" s="8"/>
      <c r="H886" s="8"/>
      <c r="I886" s="12"/>
      <c r="J886" s="8"/>
      <c r="K886" s="8"/>
      <c r="L886" s="12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3.15" x14ac:dyDescent="0.4">
      <c r="A887" s="12"/>
      <c r="B887" s="8"/>
      <c r="C887" s="8"/>
      <c r="D887" s="8"/>
      <c r="E887" s="8"/>
      <c r="F887" s="8"/>
      <c r="G887" s="8"/>
      <c r="H887" s="8"/>
      <c r="I887" s="12"/>
      <c r="J887" s="8"/>
      <c r="K887" s="8"/>
      <c r="L887" s="12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3.15" x14ac:dyDescent="0.4">
      <c r="A888" s="12"/>
      <c r="B888" s="8"/>
      <c r="C888" s="8"/>
      <c r="D888" s="8"/>
      <c r="E888" s="8"/>
      <c r="F888" s="8"/>
      <c r="G888" s="8"/>
      <c r="H888" s="8"/>
      <c r="I888" s="12"/>
      <c r="J888" s="8"/>
      <c r="K888" s="8"/>
      <c r="L888" s="12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3.15" x14ac:dyDescent="0.4">
      <c r="A889" s="12"/>
      <c r="B889" s="8"/>
      <c r="C889" s="8"/>
      <c r="D889" s="8"/>
      <c r="E889" s="8"/>
      <c r="F889" s="8"/>
      <c r="G889" s="8"/>
      <c r="H889" s="8"/>
      <c r="I889" s="12"/>
      <c r="J889" s="8"/>
      <c r="K889" s="8"/>
      <c r="L889" s="12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3.15" x14ac:dyDescent="0.4">
      <c r="A890" s="12"/>
      <c r="B890" s="8"/>
      <c r="C890" s="8"/>
      <c r="D890" s="8"/>
      <c r="E890" s="8"/>
      <c r="F890" s="8"/>
      <c r="G890" s="8"/>
      <c r="H890" s="8"/>
      <c r="I890" s="12"/>
      <c r="J890" s="8"/>
      <c r="K890" s="8"/>
      <c r="L890" s="12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3.15" x14ac:dyDescent="0.4">
      <c r="A891" s="12"/>
      <c r="B891" s="8"/>
      <c r="C891" s="8"/>
      <c r="D891" s="8"/>
      <c r="E891" s="8"/>
      <c r="F891" s="8"/>
      <c r="G891" s="8"/>
      <c r="H891" s="8"/>
      <c r="I891" s="12"/>
      <c r="J891" s="8"/>
      <c r="K891" s="8"/>
      <c r="L891" s="12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3.15" x14ac:dyDescent="0.4">
      <c r="A892" s="12"/>
      <c r="B892" s="8"/>
      <c r="C892" s="8"/>
      <c r="D892" s="8"/>
      <c r="E892" s="8"/>
      <c r="F892" s="8"/>
      <c r="G892" s="8"/>
      <c r="H892" s="8"/>
      <c r="I892" s="12"/>
      <c r="J892" s="8"/>
      <c r="K892" s="8"/>
      <c r="L892" s="12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3.15" x14ac:dyDescent="0.4">
      <c r="A893" s="12"/>
      <c r="B893" s="8"/>
      <c r="C893" s="8"/>
      <c r="D893" s="8"/>
      <c r="E893" s="8"/>
      <c r="F893" s="8"/>
      <c r="G893" s="8"/>
      <c r="H893" s="8"/>
      <c r="I893" s="12"/>
      <c r="J893" s="8"/>
      <c r="K893" s="8"/>
      <c r="L893" s="12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3.15" x14ac:dyDescent="0.4">
      <c r="A894" s="12"/>
      <c r="B894" s="8"/>
      <c r="C894" s="8"/>
      <c r="D894" s="8"/>
      <c r="E894" s="8"/>
      <c r="F894" s="8"/>
      <c r="G894" s="8"/>
      <c r="H894" s="8"/>
      <c r="I894" s="12"/>
      <c r="J894" s="8"/>
      <c r="K894" s="8"/>
      <c r="L894" s="12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3.15" x14ac:dyDescent="0.4">
      <c r="A895" s="12"/>
      <c r="B895" s="8"/>
      <c r="C895" s="8"/>
      <c r="D895" s="8"/>
      <c r="E895" s="8"/>
      <c r="F895" s="8"/>
      <c r="G895" s="8"/>
      <c r="H895" s="8"/>
      <c r="I895" s="12"/>
      <c r="J895" s="8"/>
      <c r="K895" s="8"/>
      <c r="L895" s="12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3.15" x14ac:dyDescent="0.4">
      <c r="A896" s="12"/>
      <c r="B896" s="8"/>
      <c r="C896" s="8"/>
      <c r="D896" s="8"/>
      <c r="E896" s="8"/>
      <c r="F896" s="8"/>
      <c r="G896" s="8"/>
      <c r="H896" s="8"/>
      <c r="I896" s="12"/>
      <c r="J896" s="8"/>
      <c r="K896" s="8"/>
      <c r="L896" s="12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3.15" x14ac:dyDescent="0.4">
      <c r="A897" s="12"/>
      <c r="B897" s="8"/>
      <c r="C897" s="8"/>
      <c r="D897" s="8"/>
      <c r="E897" s="8"/>
      <c r="F897" s="8"/>
      <c r="G897" s="8"/>
      <c r="H897" s="8"/>
      <c r="I897" s="12"/>
      <c r="J897" s="8"/>
      <c r="K897" s="8"/>
      <c r="L897" s="12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3.15" x14ac:dyDescent="0.4">
      <c r="A898" s="12"/>
      <c r="B898" s="8"/>
      <c r="C898" s="8"/>
      <c r="D898" s="8"/>
      <c r="E898" s="8"/>
      <c r="F898" s="8"/>
      <c r="G898" s="8"/>
      <c r="H898" s="8"/>
      <c r="I898" s="12"/>
      <c r="J898" s="8"/>
      <c r="K898" s="8"/>
      <c r="L898" s="12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3.15" x14ac:dyDescent="0.4">
      <c r="A899" s="12"/>
      <c r="B899" s="8"/>
      <c r="C899" s="8"/>
      <c r="D899" s="8"/>
      <c r="E899" s="8"/>
      <c r="F899" s="8"/>
      <c r="G899" s="8"/>
      <c r="H899" s="8"/>
      <c r="I899" s="12"/>
      <c r="J899" s="8"/>
      <c r="K899" s="8"/>
      <c r="L899" s="12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3.15" x14ac:dyDescent="0.4">
      <c r="A900" s="12"/>
      <c r="B900" s="8"/>
      <c r="C900" s="8"/>
      <c r="D900" s="8"/>
      <c r="E900" s="8"/>
      <c r="F900" s="8"/>
      <c r="G900" s="8"/>
      <c r="H900" s="8"/>
      <c r="I900" s="12"/>
      <c r="J900" s="8"/>
      <c r="K900" s="8"/>
      <c r="L900" s="12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3.15" x14ac:dyDescent="0.4">
      <c r="A901" s="12"/>
      <c r="B901" s="8"/>
      <c r="C901" s="8"/>
      <c r="D901" s="8"/>
      <c r="E901" s="8"/>
      <c r="F901" s="8"/>
      <c r="G901" s="8"/>
      <c r="H901" s="8"/>
      <c r="I901" s="12"/>
      <c r="J901" s="8"/>
      <c r="K901" s="8"/>
      <c r="L901" s="12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3.15" x14ac:dyDescent="0.4">
      <c r="A902" s="12"/>
      <c r="B902" s="8"/>
      <c r="C902" s="8"/>
      <c r="D902" s="8"/>
      <c r="E902" s="8"/>
      <c r="F902" s="8"/>
      <c r="G902" s="8"/>
      <c r="H902" s="8"/>
      <c r="I902" s="12"/>
      <c r="J902" s="8"/>
      <c r="K902" s="8"/>
      <c r="L902" s="12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3.15" x14ac:dyDescent="0.4">
      <c r="A903" s="12"/>
      <c r="B903" s="8"/>
      <c r="C903" s="8"/>
      <c r="D903" s="8"/>
      <c r="E903" s="8"/>
      <c r="F903" s="8"/>
      <c r="G903" s="8"/>
      <c r="H903" s="8"/>
      <c r="I903" s="12"/>
      <c r="J903" s="8"/>
      <c r="K903" s="8"/>
      <c r="L903" s="12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3.15" x14ac:dyDescent="0.4">
      <c r="A904" s="12"/>
      <c r="B904" s="8"/>
      <c r="C904" s="8"/>
      <c r="D904" s="8"/>
      <c r="E904" s="8"/>
      <c r="F904" s="8"/>
      <c r="G904" s="8"/>
      <c r="H904" s="8"/>
      <c r="I904" s="12"/>
      <c r="J904" s="8"/>
      <c r="K904" s="8"/>
      <c r="L904" s="12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3.15" x14ac:dyDescent="0.4">
      <c r="A905" s="12"/>
      <c r="B905" s="8"/>
      <c r="C905" s="8"/>
      <c r="D905" s="8"/>
      <c r="E905" s="8"/>
      <c r="F905" s="8"/>
      <c r="G905" s="8"/>
      <c r="H905" s="8"/>
      <c r="I905" s="12"/>
      <c r="J905" s="8"/>
      <c r="K905" s="8"/>
      <c r="L905" s="12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3.15" x14ac:dyDescent="0.4">
      <c r="A906" s="12"/>
      <c r="B906" s="8"/>
      <c r="C906" s="8"/>
      <c r="D906" s="8"/>
      <c r="E906" s="8"/>
      <c r="F906" s="8"/>
      <c r="G906" s="8"/>
      <c r="H906" s="8"/>
      <c r="I906" s="12"/>
      <c r="J906" s="8"/>
      <c r="K906" s="8"/>
      <c r="L906" s="12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3.15" x14ac:dyDescent="0.4">
      <c r="A907" s="12"/>
      <c r="B907" s="8"/>
      <c r="C907" s="8"/>
      <c r="D907" s="8"/>
      <c r="E907" s="8"/>
      <c r="F907" s="8"/>
      <c r="G907" s="8"/>
      <c r="H907" s="8"/>
      <c r="I907" s="12"/>
      <c r="J907" s="8"/>
      <c r="K907" s="8"/>
      <c r="L907" s="12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3.15" x14ac:dyDescent="0.4">
      <c r="A908" s="12"/>
      <c r="B908" s="8"/>
      <c r="C908" s="8"/>
      <c r="D908" s="8"/>
      <c r="E908" s="8"/>
      <c r="F908" s="8"/>
      <c r="G908" s="8"/>
      <c r="H908" s="8"/>
      <c r="I908" s="12"/>
      <c r="J908" s="8"/>
      <c r="K908" s="8"/>
      <c r="L908" s="12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3.15" x14ac:dyDescent="0.4">
      <c r="A909" s="12"/>
      <c r="B909" s="8"/>
      <c r="C909" s="8"/>
      <c r="D909" s="8"/>
      <c r="E909" s="8"/>
      <c r="F909" s="8"/>
      <c r="G909" s="8"/>
      <c r="H909" s="8"/>
      <c r="I909" s="12"/>
      <c r="J909" s="8"/>
      <c r="K909" s="8"/>
      <c r="L909" s="12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3.15" x14ac:dyDescent="0.4">
      <c r="A910" s="12"/>
      <c r="B910" s="8"/>
      <c r="C910" s="8"/>
      <c r="D910" s="8"/>
      <c r="E910" s="8"/>
      <c r="F910" s="8"/>
      <c r="G910" s="8"/>
      <c r="H910" s="8"/>
      <c r="I910" s="12"/>
      <c r="J910" s="8"/>
      <c r="K910" s="8"/>
      <c r="L910" s="12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3.15" x14ac:dyDescent="0.4">
      <c r="A911" s="12"/>
      <c r="B911" s="8"/>
      <c r="C911" s="8"/>
      <c r="D911" s="8"/>
      <c r="E911" s="8"/>
      <c r="F911" s="8"/>
      <c r="G911" s="8"/>
      <c r="H911" s="8"/>
      <c r="I911" s="12"/>
      <c r="J911" s="8"/>
      <c r="K911" s="8"/>
      <c r="L911" s="12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3.15" x14ac:dyDescent="0.4">
      <c r="A912" s="12"/>
      <c r="B912" s="8"/>
      <c r="C912" s="8"/>
      <c r="D912" s="8"/>
      <c r="E912" s="8"/>
      <c r="F912" s="8"/>
      <c r="G912" s="8"/>
      <c r="H912" s="8"/>
      <c r="I912" s="12"/>
      <c r="J912" s="8"/>
      <c r="K912" s="8"/>
      <c r="L912" s="12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3.15" x14ac:dyDescent="0.4">
      <c r="A913" s="12"/>
      <c r="B913" s="8"/>
      <c r="C913" s="8"/>
      <c r="D913" s="8"/>
      <c r="E913" s="8"/>
      <c r="F913" s="8"/>
      <c r="G913" s="8"/>
      <c r="H913" s="8"/>
      <c r="I913" s="12"/>
      <c r="J913" s="8"/>
      <c r="K913" s="8"/>
      <c r="L913" s="12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3.15" x14ac:dyDescent="0.4">
      <c r="A914" s="12"/>
      <c r="B914" s="8"/>
      <c r="C914" s="8"/>
      <c r="D914" s="8"/>
      <c r="E914" s="8"/>
      <c r="F914" s="8"/>
      <c r="G914" s="8"/>
      <c r="H914" s="8"/>
      <c r="I914" s="12"/>
      <c r="J914" s="8"/>
      <c r="K914" s="8"/>
      <c r="L914" s="12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3.15" x14ac:dyDescent="0.4">
      <c r="A915" s="12"/>
      <c r="B915" s="8"/>
      <c r="C915" s="8"/>
      <c r="D915" s="8"/>
      <c r="E915" s="8"/>
      <c r="F915" s="8"/>
      <c r="G915" s="8"/>
      <c r="H915" s="8"/>
      <c r="I915" s="12"/>
      <c r="J915" s="8"/>
      <c r="K915" s="8"/>
      <c r="L915" s="12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3.15" x14ac:dyDescent="0.4">
      <c r="A916" s="12"/>
      <c r="B916" s="8"/>
      <c r="C916" s="8"/>
      <c r="D916" s="8"/>
      <c r="E916" s="8"/>
      <c r="F916" s="8"/>
      <c r="G916" s="8"/>
      <c r="H916" s="8"/>
      <c r="I916" s="12"/>
      <c r="J916" s="8"/>
      <c r="K916" s="8"/>
      <c r="L916" s="12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3.15" x14ac:dyDescent="0.4">
      <c r="A917" s="12"/>
      <c r="B917" s="8"/>
      <c r="C917" s="8"/>
      <c r="D917" s="8"/>
      <c r="E917" s="8"/>
      <c r="F917" s="8"/>
      <c r="G917" s="8"/>
      <c r="H917" s="8"/>
      <c r="I917" s="12"/>
      <c r="J917" s="8"/>
      <c r="K917" s="8"/>
      <c r="L917" s="12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3.15" x14ac:dyDescent="0.4">
      <c r="A918" s="12"/>
      <c r="B918" s="8"/>
      <c r="C918" s="8"/>
      <c r="D918" s="8"/>
      <c r="E918" s="8"/>
      <c r="F918" s="8"/>
      <c r="G918" s="8"/>
      <c r="H918" s="8"/>
      <c r="I918" s="12"/>
      <c r="J918" s="8"/>
      <c r="K918" s="8"/>
      <c r="L918" s="12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3.15" x14ac:dyDescent="0.4">
      <c r="A919" s="12"/>
      <c r="B919" s="8"/>
      <c r="C919" s="8"/>
      <c r="D919" s="8"/>
      <c r="E919" s="8"/>
      <c r="F919" s="8"/>
      <c r="G919" s="8"/>
      <c r="H919" s="8"/>
      <c r="I919" s="12"/>
      <c r="J919" s="8"/>
      <c r="K919" s="8"/>
      <c r="L919" s="12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3.15" x14ac:dyDescent="0.4">
      <c r="A920" s="12"/>
      <c r="B920" s="8"/>
      <c r="C920" s="8"/>
      <c r="D920" s="8"/>
      <c r="E920" s="8"/>
      <c r="F920" s="8"/>
      <c r="G920" s="8"/>
      <c r="H920" s="8"/>
      <c r="I920" s="12"/>
      <c r="J920" s="8"/>
      <c r="K920" s="8"/>
      <c r="L920" s="12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3.15" x14ac:dyDescent="0.4">
      <c r="A921" s="12"/>
      <c r="B921" s="8"/>
      <c r="C921" s="8"/>
      <c r="D921" s="8"/>
      <c r="E921" s="8"/>
      <c r="F921" s="8"/>
      <c r="G921" s="8"/>
      <c r="H921" s="8"/>
      <c r="I921" s="12"/>
      <c r="J921" s="8"/>
      <c r="K921" s="8"/>
      <c r="L921" s="12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3.15" x14ac:dyDescent="0.4">
      <c r="A922" s="12"/>
      <c r="B922" s="8"/>
      <c r="C922" s="8"/>
      <c r="D922" s="8"/>
      <c r="E922" s="8"/>
      <c r="F922" s="8"/>
      <c r="G922" s="8"/>
      <c r="H922" s="8"/>
      <c r="I922" s="12"/>
      <c r="J922" s="8"/>
      <c r="K922" s="8"/>
      <c r="L922" s="12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3.15" x14ac:dyDescent="0.4">
      <c r="A923" s="12"/>
      <c r="B923" s="8"/>
      <c r="C923" s="8"/>
      <c r="D923" s="8"/>
      <c r="E923" s="8"/>
      <c r="F923" s="8"/>
      <c r="G923" s="8"/>
      <c r="H923" s="8"/>
      <c r="I923" s="12"/>
      <c r="J923" s="8"/>
      <c r="K923" s="8"/>
      <c r="L923" s="12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3.15" x14ac:dyDescent="0.4">
      <c r="A924" s="12"/>
      <c r="B924" s="8"/>
      <c r="C924" s="8"/>
      <c r="D924" s="8"/>
      <c r="E924" s="8"/>
      <c r="F924" s="8"/>
      <c r="G924" s="8"/>
      <c r="H924" s="8"/>
      <c r="I924" s="12"/>
      <c r="J924" s="8"/>
      <c r="K924" s="8"/>
      <c r="L924" s="12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3.15" x14ac:dyDescent="0.4">
      <c r="A925" s="12"/>
      <c r="B925" s="8"/>
      <c r="C925" s="8"/>
      <c r="D925" s="8"/>
      <c r="E925" s="8"/>
      <c r="F925" s="8"/>
      <c r="G925" s="8"/>
      <c r="H925" s="8"/>
      <c r="I925" s="12"/>
      <c r="J925" s="8"/>
      <c r="K925" s="8"/>
      <c r="L925" s="12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3.15" x14ac:dyDescent="0.4">
      <c r="A926" s="12"/>
      <c r="B926" s="8"/>
      <c r="C926" s="8"/>
      <c r="D926" s="8"/>
      <c r="E926" s="8"/>
      <c r="F926" s="8"/>
      <c r="G926" s="8"/>
      <c r="H926" s="8"/>
      <c r="I926" s="12"/>
      <c r="J926" s="8"/>
      <c r="K926" s="8"/>
      <c r="L926" s="12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3.15" x14ac:dyDescent="0.4">
      <c r="A927" s="12"/>
      <c r="B927" s="8"/>
      <c r="C927" s="8"/>
      <c r="D927" s="8"/>
      <c r="E927" s="8"/>
      <c r="F927" s="8"/>
      <c r="G927" s="8"/>
      <c r="H927" s="8"/>
      <c r="I927" s="12"/>
      <c r="J927" s="8"/>
      <c r="K927" s="8"/>
      <c r="L927" s="12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3.15" x14ac:dyDescent="0.4">
      <c r="A928" s="12"/>
      <c r="B928" s="8"/>
      <c r="C928" s="8"/>
      <c r="D928" s="8"/>
      <c r="E928" s="8"/>
      <c r="F928" s="8"/>
      <c r="G928" s="8"/>
      <c r="H928" s="8"/>
      <c r="I928" s="12"/>
      <c r="J928" s="8"/>
      <c r="K928" s="8"/>
      <c r="L928" s="12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3.15" x14ac:dyDescent="0.4">
      <c r="A929" s="12"/>
      <c r="B929" s="8"/>
      <c r="C929" s="8"/>
      <c r="D929" s="8"/>
      <c r="E929" s="8"/>
      <c r="F929" s="8"/>
      <c r="G929" s="8"/>
      <c r="H929" s="8"/>
      <c r="I929" s="12"/>
      <c r="J929" s="8"/>
      <c r="K929" s="8"/>
      <c r="L929" s="12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3.15" x14ac:dyDescent="0.4">
      <c r="A930" s="12"/>
      <c r="B930" s="8"/>
      <c r="C930" s="8"/>
      <c r="D930" s="8"/>
      <c r="E930" s="8"/>
      <c r="F930" s="8"/>
      <c r="G930" s="8"/>
      <c r="H930" s="8"/>
      <c r="I930" s="12"/>
      <c r="J930" s="8"/>
      <c r="K930" s="8"/>
      <c r="L930" s="12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3.15" x14ac:dyDescent="0.4">
      <c r="A931" s="12"/>
      <c r="B931" s="8"/>
      <c r="C931" s="8"/>
      <c r="D931" s="8"/>
      <c r="E931" s="8"/>
      <c r="F931" s="8"/>
      <c r="G931" s="8"/>
      <c r="H931" s="8"/>
      <c r="I931" s="12"/>
      <c r="J931" s="8"/>
      <c r="K931" s="8"/>
      <c r="L931" s="12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3.15" x14ac:dyDescent="0.4">
      <c r="A932" s="12"/>
      <c r="B932" s="8"/>
      <c r="C932" s="8"/>
      <c r="D932" s="8"/>
      <c r="E932" s="8"/>
      <c r="F932" s="8"/>
      <c r="G932" s="8"/>
      <c r="H932" s="8"/>
      <c r="I932" s="12"/>
      <c r="J932" s="8"/>
      <c r="K932" s="8"/>
      <c r="L932" s="12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3.15" x14ac:dyDescent="0.4">
      <c r="A933" s="12"/>
      <c r="B933" s="8"/>
      <c r="C933" s="8"/>
      <c r="D933" s="8"/>
      <c r="E933" s="8"/>
      <c r="F933" s="8"/>
      <c r="G933" s="8"/>
      <c r="H933" s="8"/>
      <c r="I933" s="12"/>
      <c r="J933" s="8"/>
      <c r="K933" s="8"/>
      <c r="L933" s="12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3.15" x14ac:dyDescent="0.4">
      <c r="A934" s="12"/>
      <c r="B934" s="8"/>
      <c r="C934" s="8"/>
      <c r="D934" s="8"/>
      <c r="E934" s="8"/>
      <c r="F934" s="8"/>
      <c r="G934" s="8"/>
      <c r="H934" s="8"/>
      <c r="I934" s="12"/>
      <c r="J934" s="8"/>
      <c r="K934" s="8"/>
      <c r="L934" s="12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3.15" x14ac:dyDescent="0.4">
      <c r="A935" s="12"/>
      <c r="B935" s="8"/>
      <c r="C935" s="8"/>
      <c r="D935" s="8"/>
      <c r="E935" s="8"/>
      <c r="F935" s="8"/>
      <c r="G935" s="8"/>
      <c r="H935" s="8"/>
      <c r="I935" s="12"/>
      <c r="J935" s="8"/>
      <c r="K935" s="8"/>
      <c r="L935" s="12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3.15" x14ac:dyDescent="0.4">
      <c r="A936" s="12"/>
      <c r="B936" s="8"/>
      <c r="C936" s="8"/>
      <c r="D936" s="8"/>
      <c r="E936" s="8"/>
      <c r="F936" s="8"/>
      <c r="G936" s="8"/>
      <c r="H936" s="8"/>
      <c r="I936" s="12"/>
      <c r="J936" s="8"/>
      <c r="K936" s="8"/>
      <c r="L936" s="12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3.15" x14ac:dyDescent="0.4">
      <c r="A937" s="12"/>
      <c r="B937" s="8"/>
      <c r="C937" s="8"/>
      <c r="D937" s="8"/>
      <c r="E937" s="8"/>
      <c r="F937" s="8"/>
      <c r="G937" s="8"/>
      <c r="H937" s="8"/>
      <c r="I937" s="12"/>
      <c r="J937" s="8"/>
      <c r="K937" s="8"/>
      <c r="L937" s="12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3.15" x14ac:dyDescent="0.4">
      <c r="A938" s="12"/>
      <c r="B938" s="8"/>
      <c r="C938" s="8"/>
      <c r="D938" s="8"/>
      <c r="E938" s="8"/>
      <c r="F938" s="8"/>
      <c r="G938" s="8"/>
      <c r="H938" s="8"/>
      <c r="I938" s="12"/>
      <c r="J938" s="8"/>
      <c r="K938" s="8"/>
      <c r="L938" s="12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3.15" x14ac:dyDescent="0.4">
      <c r="A939" s="12"/>
      <c r="B939" s="8"/>
      <c r="C939" s="8"/>
      <c r="D939" s="8"/>
      <c r="E939" s="8"/>
      <c r="F939" s="8"/>
      <c r="G939" s="8"/>
      <c r="H939" s="8"/>
      <c r="I939" s="12"/>
      <c r="J939" s="8"/>
      <c r="K939" s="8"/>
      <c r="L939" s="12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3.15" x14ac:dyDescent="0.4">
      <c r="A940" s="12"/>
      <c r="B940" s="8"/>
      <c r="C940" s="8"/>
      <c r="D940" s="8"/>
      <c r="E940" s="8"/>
      <c r="F940" s="8"/>
      <c r="G940" s="8"/>
      <c r="H940" s="8"/>
      <c r="I940" s="12"/>
      <c r="J940" s="8"/>
      <c r="K940" s="8"/>
      <c r="L940" s="12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3.15" x14ac:dyDescent="0.4">
      <c r="A941" s="12"/>
      <c r="B941" s="8"/>
      <c r="C941" s="8"/>
      <c r="D941" s="8"/>
      <c r="E941" s="8"/>
      <c r="F941" s="8"/>
      <c r="G941" s="8"/>
      <c r="H941" s="8"/>
      <c r="I941" s="12"/>
      <c r="J941" s="8"/>
      <c r="K941" s="8"/>
      <c r="L941" s="12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3.15" x14ac:dyDescent="0.4">
      <c r="A942" s="12"/>
      <c r="B942" s="8"/>
      <c r="C942" s="8"/>
      <c r="D942" s="8"/>
      <c r="E942" s="8"/>
      <c r="F942" s="8"/>
      <c r="G942" s="8"/>
      <c r="H942" s="8"/>
      <c r="I942" s="12"/>
      <c r="J942" s="8"/>
      <c r="K942" s="8"/>
      <c r="L942" s="12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3.15" x14ac:dyDescent="0.4">
      <c r="A943" s="12"/>
      <c r="B943" s="8"/>
      <c r="C943" s="8"/>
      <c r="D943" s="8"/>
      <c r="E943" s="8"/>
      <c r="F943" s="8"/>
      <c r="G943" s="8"/>
      <c r="H943" s="8"/>
      <c r="I943" s="12"/>
      <c r="J943" s="8"/>
      <c r="K943" s="8"/>
      <c r="L943" s="12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3.15" x14ac:dyDescent="0.4">
      <c r="A944" s="12"/>
      <c r="B944" s="8"/>
      <c r="C944" s="8"/>
      <c r="D944" s="8"/>
      <c r="E944" s="8"/>
      <c r="F944" s="8"/>
      <c r="G944" s="8"/>
      <c r="H944" s="8"/>
      <c r="I944" s="12"/>
      <c r="J944" s="8"/>
      <c r="K944" s="8"/>
      <c r="L944" s="12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3.15" x14ac:dyDescent="0.4">
      <c r="A945" s="12"/>
      <c r="B945" s="8"/>
      <c r="C945" s="8"/>
      <c r="D945" s="8"/>
      <c r="E945" s="8"/>
      <c r="F945" s="8"/>
      <c r="G945" s="8"/>
      <c r="H945" s="8"/>
      <c r="I945" s="12"/>
      <c r="J945" s="8"/>
      <c r="K945" s="8"/>
      <c r="L945" s="12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3.15" x14ac:dyDescent="0.4">
      <c r="A946" s="12"/>
      <c r="B946" s="8"/>
      <c r="C946" s="8"/>
      <c r="D946" s="8"/>
      <c r="E946" s="8"/>
      <c r="F946" s="8"/>
      <c r="G946" s="8"/>
      <c r="H946" s="8"/>
      <c r="I946" s="12"/>
      <c r="J946" s="8"/>
      <c r="K946" s="8"/>
      <c r="L946" s="12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3.15" x14ac:dyDescent="0.4">
      <c r="A947" s="12"/>
      <c r="B947" s="8"/>
      <c r="C947" s="8"/>
      <c r="D947" s="8"/>
      <c r="E947" s="8"/>
      <c r="F947" s="8"/>
      <c r="G947" s="8"/>
      <c r="H947" s="8"/>
      <c r="I947" s="12"/>
      <c r="J947" s="8"/>
      <c r="K947" s="8"/>
      <c r="L947" s="12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3.15" x14ac:dyDescent="0.4">
      <c r="A948" s="12"/>
      <c r="B948" s="8"/>
      <c r="C948" s="8"/>
      <c r="D948" s="8"/>
      <c r="E948" s="8"/>
      <c r="F948" s="8"/>
      <c r="G948" s="8"/>
      <c r="H948" s="8"/>
      <c r="I948" s="12"/>
      <c r="J948" s="8"/>
      <c r="K948" s="8"/>
      <c r="L948" s="12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3.15" x14ac:dyDescent="0.4">
      <c r="A949" s="12"/>
      <c r="B949" s="8"/>
      <c r="C949" s="8"/>
      <c r="D949" s="8"/>
      <c r="E949" s="8"/>
      <c r="F949" s="8"/>
      <c r="G949" s="8"/>
      <c r="H949" s="8"/>
      <c r="I949" s="12"/>
      <c r="J949" s="8"/>
      <c r="K949" s="8"/>
      <c r="L949" s="12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3.15" x14ac:dyDescent="0.4">
      <c r="A950" s="12"/>
      <c r="B950" s="8"/>
      <c r="C950" s="8"/>
      <c r="D950" s="8"/>
      <c r="E950" s="8"/>
      <c r="F950" s="8"/>
      <c r="G950" s="8"/>
      <c r="H950" s="8"/>
      <c r="I950" s="12"/>
      <c r="J950" s="8"/>
      <c r="K950" s="8"/>
      <c r="L950" s="12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3.15" x14ac:dyDescent="0.4">
      <c r="A951" s="12"/>
      <c r="B951" s="8"/>
      <c r="C951" s="8"/>
      <c r="D951" s="8"/>
      <c r="E951" s="8"/>
      <c r="F951" s="8"/>
      <c r="G951" s="8"/>
      <c r="H951" s="8"/>
      <c r="I951" s="12"/>
      <c r="J951" s="8"/>
      <c r="K951" s="8"/>
      <c r="L951" s="12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3.15" x14ac:dyDescent="0.4">
      <c r="A952" s="12"/>
      <c r="B952" s="8"/>
      <c r="C952" s="8"/>
      <c r="D952" s="8"/>
      <c r="E952" s="8"/>
      <c r="F952" s="8"/>
      <c r="G952" s="8"/>
      <c r="H952" s="8"/>
      <c r="I952" s="12"/>
      <c r="J952" s="8"/>
      <c r="K952" s="8"/>
      <c r="L952" s="12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3.15" x14ac:dyDescent="0.4">
      <c r="A953" s="12"/>
      <c r="B953" s="8"/>
      <c r="C953" s="8"/>
      <c r="D953" s="8"/>
      <c r="E953" s="8"/>
      <c r="F953" s="8"/>
      <c r="G953" s="8"/>
      <c r="H953" s="8"/>
      <c r="I953" s="12"/>
      <c r="J953" s="8"/>
      <c r="K953" s="8"/>
      <c r="L953" s="12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3.15" x14ac:dyDescent="0.4">
      <c r="A954" s="12"/>
      <c r="B954" s="8"/>
      <c r="C954" s="8"/>
      <c r="D954" s="8"/>
      <c r="E954" s="8"/>
      <c r="F954" s="8"/>
      <c r="G954" s="8"/>
      <c r="H954" s="8"/>
      <c r="I954" s="12"/>
      <c r="J954" s="8"/>
      <c r="K954" s="8"/>
      <c r="L954" s="12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3.15" x14ac:dyDescent="0.4">
      <c r="A955" s="12"/>
      <c r="B955" s="8"/>
      <c r="C955" s="8"/>
      <c r="D955" s="8"/>
      <c r="E955" s="8"/>
      <c r="F955" s="8"/>
      <c r="G955" s="8"/>
      <c r="H955" s="8"/>
      <c r="I955" s="12"/>
      <c r="J955" s="8"/>
      <c r="K955" s="8"/>
      <c r="L955" s="12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3.15" x14ac:dyDescent="0.4">
      <c r="A956" s="12"/>
      <c r="B956" s="8"/>
      <c r="C956" s="8"/>
      <c r="D956" s="8"/>
      <c r="E956" s="8"/>
      <c r="F956" s="8"/>
      <c r="G956" s="8"/>
      <c r="H956" s="8"/>
      <c r="I956" s="12"/>
      <c r="J956" s="8"/>
      <c r="K956" s="8"/>
      <c r="L956" s="12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3.15" x14ac:dyDescent="0.4">
      <c r="A957" s="12"/>
      <c r="B957" s="8"/>
      <c r="C957" s="8"/>
      <c r="D957" s="8"/>
      <c r="E957" s="8"/>
      <c r="F957" s="8"/>
      <c r="G957" s="8"/>
      <c r="H957" s="8"/>
      <c r="I957" s="12"/>
      <c r="J957" s="8"/>
      <c r="K957" s="8"/>
      <c r="L957" s="12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3.15" x14ac:dyDescent="0.4">
      <c r="A958" s="12"/>
      <c r="B958" s="8"/>
      <c r="C958" s="8"/>
      <c r="D958" s="8"/>
      <c r="E958" s="8"/>
      <c r="F958" s="8"/>
      <c r="G958" s="8"/>
      <c r="H958" s="8"/>
      <c r="I958" s="12"/>
      <c r="J958" s="8"/>
      <c r="K958" s="8"/>
      <c r="L958" s="12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3.15" x14ac:dyDescent="0.4">
      <c r="A959" s="12"/>
      <c r="B959" s="8"/>
      <c r="C959" s="8"/>
      <c r="D959" s="8"/>
      <c r="E959" s="8"/>
      <c r="F959" s="8"/>
      <c r="G959" s="8"/>
      <c r="H959" s="8"/>
      <c r="I959" s="12"/>
      <c r="J959" s="8"/>
      <c r="K959" s="8"/>
      <c r="L959" s="12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3.15" x14ac:dyDescent="0.4">
      <c r="A960" s="12"/>
      <c r="B960" s="8"/>
      <c r="C960" s="8"/>
      <c r="D960" s="8"/>
      <c r="E960" s="8"/>
      <c r="F960" s="8"/>
      <c r="G960" s="8"/>
      <c r="H960" s="8"/>
      <c r="I960" s="12"/>
      <c r="J960" s="8"/>
      <c r="K960" s="8"/>
      <c r="L960" s="12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3.15" x14ac:dyDescent="0.4">
      <c r="A961" s="12"/>
      <c r="B961" s="8"/>
      <c r="C961" s="8"/>
      <c r="D961" s="8"/>
      <c r="E961" s="8"/>
      <c r="F961" s="8"/>
      <c r="G961" s="8"/>
      <c r="H961" s="8"/>
      <c r="I961" s="12"/>
      <c r="J961" s="8"/>
      <c r="K961" s="8"/>
      <c r="L961" s="12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3.15" x14ac:dyDescent="0.4">
      <c r="A962" s="12"/>
      <c r="B962" s="8"/>
      <c r="C962" s="8"/>
      <c r="D962" s="8"/>
      <c r="E962" s="8"/>
      <c r="F962" s="8"/>
      <c r="G962" s="8"/>
      <c r="H962" s="8"/>
      <c r="I962" s="12"/>
      <c r="J962" s="8"/>
      <c r="K962" s="8"/>
      <c r="L962" s="12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3.15" x14ac:dyDescent="0.4">
      <c r="A963" s="12"/>
      <c r="B963" s="8"/>
      <c r="C963" s="8"/>
      <c r="D963" s="8"/>
      <c r="E963" s="8"/>
      <c r="F963" s="8"/>
      <c r="G963" s="8"/>
      <c r="H963" s="8"/>
      <c r="I963" s="12"/>
      <c r="J963" s="8"/>
      <c r="K963" s="8"/>
      <c r="L963" s="12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3.15" x14ac:dyDescent="0.4">
      <c r="A964" s="12"/>
      <c r="B964" s="8"/>
      <c r="C964" s="8"/>
      <c r="D964" s="8"/>
      <c r="E964" s="8"/>
      <c r="F964" s="8"/>
      <c r="G964" s="8"/>
      <c r="H964" s="8"/>
      <c r="I964" s="12"/>
      <c r="J964" s="8"/>
      <c r="K964" s="8"/>
      <c r="L964" s="12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3.15" x14ac:dyDescent="0.4">
      <c r="A965" s="12"/>
      <c r="B965" s="8"/>
      <c r="C965" s="8"/>
      <c r="D965" s="8"/>
      <c r="E965" s="8"/>
      <c r="F965" s="8"/>
      <c r="G965" s="8"/>
      <c r="H965" s="8"/>
      <c r="I965" s="12"/>
      <c r="J965" s="8"/>
      <c r="K965" s="8"/>
      <c r="L965" s="12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3.15" x14ac:dyDescent="0.4">
      <c r="A966" s="12"/>
      <c r="B966" s="8"/>
      <c r="C966" s="8"/>
      <c r="D966" s="8"/>
      <c r="E966" s="8"/>
      <c r="F966" s="8"/>
      <c r="G966" s="8"/>
      <c r="H966" s="8"/>
      <c r="I966" s="12"/>
      <c r="J966" s="8"/>
      <c r="K966" s="8"/>
      <c r="L966" s="12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3.15" x14ac:dyDescent="0.4">
      <c r="A967" s="12"/>
      <c r="B967" s="8"/>
      <c r="C967" s="8"/>
      <c r="D967" s="8"/>
      <c r="E967" s="8"/>
      <c r="F967" s="8"/>
      <c r="G967" s="8"/>
      <c r="H967" s="8"/>
      <c r="I967" s="12"/>
      <c r="J967" s="8"/>
      <c r="K967" s="8"/>
      <c r="L967" s="12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3.15" x14ac:dyDescent="0.4">
      <c r="A968" s="12"/>
      <c r="B968" s="8"/>
      <c r="C968" s="8"/>
      <c r="D968" s="8"/>
      <c r="E968" s="8"/>
      <c r="F968" s="8"/>
      <c r="G968" s="8"/>
      <c r="H968" s="8"/>
      <c r="I968" s="12"/>
      <c r="J968" s="8"/>
      <c r="K968" s="8"/>
      <c r="L968" s="12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3.15" x14ac:dyDescent="0.4">
      <c r="A969" s="12"/>
      <c r="B969" s="8"/>
      <c r="C969" s="8"/>
      <c r="D969" s="8"/>
      <c r="E969" s="8"/>
      <c r="F969" s="8"/>
      <c r="G969" s="8"/>
      <c r="H969" s="8"/>
      <c r="I969" s="12"/>
      <c r="J969" s="8"/>
      <c r="K969" s="8"/>
      <c r="L969" s="12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3.15" x14ac:dyDescent="0.4">
      <c r="A970" s="12"/>
      <c r="B970" s="8"/>
      <c r="C970" s="8"/>
      <c r="D970" s="8"/>
      <c r="E970" s="8"/>
      <c r="F970" s="8"/>
      <c r="G970" s="8"/>
      <c r="H970" s="8"/>
      <c r="I970" s="12"/>
      <c r="J970" s="8"/>
      <c r="K970" s="8"/>
      <c r="L970" s="12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3.15" x14ac:dyDescent="0.4">
      <c r="A971" s="12"/>
      <c r="B971" s="8"/>
      <c r="C971" s="8"/>
      <c r="D971" s="8"/>
      <c r="E971" s="8"/>
      <c r="F971" s="8"/>
      <c r="G971" s="8"/>
      <c r="H971" s="8"/>
      <c r="I971" s="12"/>
      <c r="J971" s="8"/>
      <c r="K971" s="8"/>
      <c r="L971" s="12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3.15" x14ac:dyDescent="0.4">
      <c r="A972" s="12"/>
      <c r="B972" s="8"/>
      <c r="C972" s="8"/>
      <c r="D972" s="8"/>
      <c r="E972" s="8"/>
      <c r="F972" s="8"/>
      <c r="G972" s="8"/>
      <c r="H972" s="8"/>
      <c r="I972" s="12"/>
      <c r="J972" s="8"/>
      <c r="K972" s="8"/>
      <c r="L972" s="12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3.15" x14ac:dyDescent="0.4">
      <c r="A973" s="12"/>
      <c r="B973" s="8"/>
      <c r="C973" s="8"/>
      <c r="D973" s="8"/>
      <c r="E973" s="8"/>
      <c r="F973" s="8"/>
      <c r="G973" s="8"/>
      <c r="H973" s="8"/>
      <c r="I973" s="12"/>
      <c r="J973" s="8"/>
      <c r="K973" s="8"/>
      <c r="L973" s="12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3.15" x14ac:dyDescent="0.4">
      <c r="A974" s="12"/>
      <c r="B974" s="8"/>
      <c r="C974" s="8"/>
      <c r="D974" s="8"/>
      <c r="E974" s="8"/>
      <c r="F974" s="8"/>
      <c r="G974" s="8"/>
      <c r="H974" s="8"/>
      <c r="I974" s="12"/>
      <c r="J974" s="8"/>
      <c r="K974" s="8"/>
      <c r="L974" s="12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3.15" x14ac:dyDescent="0.4">
      <c r="A975" s="12"/>
      <c r="B975" s="8"/>
      <c r="C975" s="8"/>
      <c r="D975" s="8"/>
      <c r="E975" s="8"/>
      <c r="F975" s="8"/>
      <c r="G975" s="8"/>
      <c r="H975" s="8"/>
      <c r="I975" s="12"/>
      <c r="J975" s="8"/>
      <c r="K975" s="8"/>
      <c r="L975" s="12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3.15" x14ac:dyDescent="0.4">
      <c r="A976" s="12"/>
      <c r="B976" s="8"/>
      <c r="C976" s="8"/>
      <c r="D976" s="8"/>
      <c r="E976" s="8"/>
      <c r="F976" s="8"/>
      <c r="G976" s="8"/>
      <c r="H976" s="8"/>
      <c r="I976" s="12"/>
      <c r="J976" s="8"/>
      <c r="K976" s="8"/>
      <c r="L976" s="12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3.15" x14ac:dyDescent="0.4">
      <c r="A977" s="12"/>
      <c r="B977" s="8"/>
      <c r="C977" s="8"/>
      <c r="D977" s="8"/>
      <c r="E977" s="8"/>
      <c r="F977" s="8"/>
      <c r="G977" s="8"/>
      <c r="H977" s="8"/>
      <c r="I977" s="12"/>
      <c r="J977" s="8"/>
      <c r="K977" s="8"/>
      <c r="L977" s="12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3.15" x14ac:dyDescent="0.4">
      <c r="A978" s="12"/>
      <c r="B978" s="8"/>
      <c r="C978" s="8"/>
      <c r="D978" s="8"/>
      <c r="E978" s="8"/>
      <c r="F978" s="8"/>
      <c r="G978" s="8"/>
      <c r="H978" s="8"/>
      <c r="I978" s="12"/>
      <c r="J978" s="8"/>
      <c r="K978" s="8"/>
      <c r="L978" s="12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3.15" x14ac:dyDescent="0.4">
      <c r="A979" s="12"/>
      <c r="B979" s="8"/>
      <c r="C979" s="8"/>
      <c r="D979" s="8"/>
      <c r="E979" s="8"/>
      <c r="F979" s="8"/>
      <c r="G979" s="8"/>
      <c r="H979" s="8"/>
      <c r="I979" s="12"/>
      <c r="J979" s="8"/>
      <c r="K979" s="8"/>
      <c r="L979" s="12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3.15" x14ac:dyDescent="0.4">
      <c r="A980" s="12"/>
      <c r="B980" s="8"/>
      <c r="C980" s="8"/>
      <c r="D980" s="8"/>
      <c r="E980" s="8"/>
      <c r="F980" s="8"/>
      <c r="G980" s="8"/>
      <c r="H980" s="8"/>
      <c r="I980" s="12"/>
      <c r="J980" s="8"/>
      <c r="K980" s="8"/>
      <c r="L980" s="12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3.15" x14ac:dyDescent="0.4">
      <c r="A981" s="12"/>
      <c r="B981" s="8"/>
      <c r="C981" s="8"/>
      <c r="D981" s="8"/>
      <c r="E981" s="8"/>
      <c r="F981" s="8"/>
      <c r="G981" s="8"/>
      <c r="H981" s="8"/>
      <c r="I981" s="12"/>
      <c r="J981" s="8"/>
      <c r="K981" s="8"/>
      <c r="L981" s="12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3.15" x14ac:dyDescent="0.4">
      <c r="A982" s="12"/>
      <c r="B982" s="8"/>
      <c r="C982" s="8"/>
      <c r="D982" s="8"/>
      <c r="E982" s="8"/>
      <c r="F982" s="8"/>
      <c r="G982" s="8"/>
      <c r="H982" s="8"/>
      <c r="I982" s="12"/>
      <c r="J982" s="8"/>
      <c r="K982" s="8"/>
      <c r="L982" s="12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3.15" x14ac:dyDescent="0.4">
      <c r="A983" s="12"/>
      <c r="B983" s="8"/>
      <c r="C983" s="8"/>
      <c r="D983" s="8"/>
      <c r="E983" s="8"/>
      <c r="F983" s="8"/>
      <c r="G983" s="8"/>
      <c r="H983" s="8"/>
      <c r="I983" s="12"/>
      <c r="J983" s="8"/>
      <c r="K983" s="8"/>
      <c r="L983" s="12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3.15" x14ac:dyDescent="0.4">
      <c r="A984" s="12"/>
      <c r="B984" s="8"/>
      <c r="C984" s="8"/>
      <c r="D984" s="8"/>
      <c r="E984" s="8"/>
      <c r="F984" s="8"/>
      <c r="G984" s="8"/>
      <c r="H984" s="8"/>
      <c r="I984" s="12"/>
      <c r="J984" s="8"/>
      <c r="K984" s="8"/>
      <c r="L984" s="12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3.15" x14ac:dyDescent="0.4">
      <c r="A985" s="12"/>
      <c r="B985" s="8"/>
      <c r="C985" s="8"/>
      <c r="D985" s="8"/>
      <c r="E985" s="8"/>
      <c r="F985" s="8"/>
      <c r="G985" s="8"/>
      <c r="H985" s="8"/>
      <c r="I985" s="12"/>
      <c r="J985" s="8"/>
      <c r="K985" s="8"/>
      <c r="L985" s="12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3.15" x14ac:dyDescent="0.4">
      <c r="A986" s="12"/>
      <c r="B986" s="8"/>
      <c r="C986" s="8"/>
      <c r="D986" s="8"/>
      <c r="E986" s="8"/>
      <c r="F986" s="8"/>
      <c r="G986" s="8"/>
      <c r="H986" s="8"/>
      <c r="I986" s="12"/>
      <c r="J986" s="8"/>
      <c r="K986" s="8"/>
      <c r="L986" s="12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3.15" x14ac:dyDescent="0.4">
      <c r="A987" s="12"/>
      <c r="B987" s="8"/>
      <c r="C987" s="8"/>
      <c r="D987" s="8"/>
      <c r="E987" s="8"/>
      <c r="F987" s="8"/>
      <c r="G987" s="8"/>
      <c r="H987" s="8"/>
      <c r="I987" s="12"/>
      <c r="J987" s="8"/>
      <c r="K987" s="8"/>
      <c r="L987" s="12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3.15" x14ac:dyDescent="0.4">
      <c r="A988" s="12"/>
      <c r="B988" s="8"/>
      <c r="C988" s="8"/>
      <c r="D988" s="8"/>
      <c r="E988" s="8"/>
      <c r="F988" s="8"/>
      <c r="G988" s="8"/>
      <c r="H988" s="8"/>
      <c r="I988" s="12"/>
      <c r="J988" s="8"/>
      <c r="K988" s="8"/>
      <c r="L988" s="12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3.15" x14ac:dyDescent="0.4">
      <c r="A989" s="12"/>
      <c r="B989" s="8"/>
      <c r="C989" s="8"/>
      <c r="D989" s="8"/>
      <c r="E989" s="8"/>
      <c r="F989" s="8"/>
      <c r="G989" s="8"/>
      <c r="H989" s="8"/>
      <c r="I989" s="12"/>
      <c r="J989" s="8"/>
      <c r="K989" s="8"/>
      <c r="L989" s="12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3.15" x14ac:dyDescent="0.4">
      <c r="A990" s="12"/>
      <c r="B990" s="8"/>
      <c r="C990" s="8"/>
      <c r="D990" s="8"/>
      <c r="E990" s="8"/>
      <c r="F990" s="8"/>
      <c r="G990" s="8"/>
      <c r="H990" s="8"/>
      <c r="I990" s="12"/>
      <c r="J990" s="8"/>
      <c r="K990" s="8"/>
      <c r="L990" s="12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3.15" x14ac:dyDescent="0.4">
      <c r="A991" s="12"/>
      <c r="B991" s="8"/>
      <c r="C991" s="8"/>
      <c r="D991" s="8"/>
      <c r="E991" s="8"/>
      <c r="F991" s="8"/>
      <c r="G991" s="8"/>
      <c r="H991" s="8"/>
      <c r="I991" s="12"/>
      <c r="J991" s="8"/>
      <c r="K991" s="8"/>
      <c r="L991" s="12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3.15" x14ac:dyDescent="0.4">
      <c r="A992" s="12"/>
      <c r="B992" s="8"/>
      <c r="C992" s="8"/>
      <c r="D992" s="8"/>
      <c r="E992" s="8"/>
      <c r="F992" s="8"/>
      <c r="G992" s="8"/>
      <c r="H992" s="8"/>
      <c r="I992" s="12"/>
      <c r="J992" s="8"/>
      <c r="K992" s="8"/>
      <c r="L992" s="12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3.15" x14ac:dyDescent="0.4">
      <c r="A993" s="12"/>
      <c r="B993" s="8"/>
      <c r="C993" s="8"/>
      <c r="D993" s="8"/>
      <c r="E993" s="8"/>
      <c r="F993" s="8"/>
      <c r="G993" s="8"/>
      <c r="H993" s="8"/>
      <c r="I993" s="12"/>
      <c r="J993" s="8"/>
      <c r="K993" s="8"/>
      <c r="L993" s="12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3.15" x14ac:dyDescent="0.4">
      <c r="A994" s="12"/>
      <c r="B994" s="8"/>
      <c r="C994" s="8"/>
      <c r="D994" s="8"/>
      <c r="E994" s="8"/>
      <c r="F994" s="8"/>
      <c r="G994" s="8"/>
      <c r="H994" s="8"/>
      <c r="I994" s="12"/>
      <c r="J994" s="8"/>
      <c r="K994" s="8"/>
      <c r="L994" s="12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3.15" x14ac:dyDescent="0.4">
      <c r="A995" s="12"/>
      <c r="B995" s="8"/>
      <c r="C995" s="8"/>
      <c r="D995" s="8"/>
      <c r="E995" s="8"/>
      <c r="F995" s="8"/>
      <c r="G995" s="8"/>
      <c r="H995" s="8"/>
      <c r="I995" s="12"/>
      <c r="J995" s="8"/>
      <c r="K995" s="8"/>
      <c r="L995" s="12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3.15" x14ac:dyDescent="0.4">
      <c r="A996" s="12"/>
      <c r="B996" s="8"/>
      <c r="C996" s="8"/>
      <c r="D996" s="8"/>
      <c r="E996" s="8"/>
      <c r="F996" s="8"/>
      <c r="G996" s="8"/>
      <c r="H996" s="8"/>
      <c r="I996" s="12"/>
      <c r="J996" s="8"/>
      <c r="K996" s="8"/>
      <c r="L996" s="12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3.15" x14ac:dyDescent="0.4">
      <c r="A997" s="12"/>
      <c r="B997" s="8"/>
      <c r="C997" s="8"/>
      <c r="D997" s="8"/>
      <c r="E997" s="8"/>
      <c r="F997" s="8"/>
      <c r="G997" s="8"/>
      <c r="H997" s="8"/>
      <c r="I997" s="12"/>
      <c r="J997" s="8"/>
      <c r="K997" s="8"/>
      <c r="L997" s="12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3.15" x14ac:dyDescent="0.4">
      <c r="A998" s="12"/>
      <c r="B998" s="8"/>
      <c r="C998" s="8"/>
      <c r="D998" s="8"/>
      <c r="E998" s="8"/>
      <c r="F998" s="8"/>
      <c r="G998" s="8"/>
      <c r="H998" s="8"/>
      <c r="I998" s="12"/>
      <c r="J998" s="8"/>
      <c r="K998" s="8"/>
      <c r="L998" s="12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3.15" x14ac:dyDescent="0.4">
      <c r="A999" s="12"/>
      <c r="B999" s="8"/>
      <c r="C999" s="8"/>
      <c r="D999" s="8"/>
      <c r="E999" s="8"/>
      <c r="F999" s="8"/>
      <c r="G999" s="8"/>
      <c r="H999" s="8"/>
      <c r="I999" s="12"/>
      <c r="J999" s="8"/>
      <c r="K999" s="8"/>
      <c r="L999" s="12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3.15" x14ac:dyDescent="0.4">
      <c r="A1000" s="12"/>
      <c r="B1000" s="8"/>
      <c r="C1000" s="8"/>
      <c r="D1000" s="8"/>
      <c r="E1000" s="8"/>
      <c r="F1000" s="8"/>
      <c r="G1000" s="8"/>
      <c r="H1000" s="8"/>
      <c r="I1000" s="12"/>
      <c r="J1000" s="8"/>
      <c r="K1000" s="8"/>
      <c r="L1000" s="12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 spans="1:26" ht="13.15" x14ac:dyDescent="0.4">
      <c r="A1001" s="12"/>
      <c r="B1001" s="8"/>
      <c r="C1001" s="8"/>
      <c r="D1001" s="8"/>
      <c r="E1001" s="8"/>
      <c r="F1001" s="8"/>
      <c r="G1001" s="8"/>
      <c r="H1001" s="8"/>
      <c r="I1001" s="12"/>
      <c r="J1001" s="8"/>
      <c r="K1001" s="8"/>
      <c r="L1001" s="12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 spans="1:26" ht="13.15" x14ac:dyDescent="0.4">
      <c r="A1002" s="12"/>
      <c r="B1002" s="8"/>
      <c r="C1002" s="8"/>
      <c r="D1002" s="8"/>
      <c r="E1002" s="8"/>
      <c r="F1002" s="8"/>
      <c r="G1002" s="8"/>
      <c r="H1002" s="8"/>
      <c r="I1002" s="12"/>
      <c r="J1002" s="8"/>
      <c r="K1002" s="8"/>
      <c r="L1002" s="12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 spans="1:26" ht="13.15" x14ac:dyDescent="0.4">
      <c r="A1003" s="12"/>
      <c r="B1003" s="8"/>
      <c r="C1003" s="8"/>
      <c r="D1003" s="8"/>
      <c r="E1003" s="8"/>
      <c r="F1003" s="8"/>
      <c r="G1003" s="8"/>
      <c r="H1003" s="8"/>
      <c r="I1003" s="12"/>
      <c r="J1003" s="8"/>
      <c r="K1003" s="8"/>
      <c r="L1003" s="12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 spans="1:26" ht="13.15" x14ac:dyDescent="0.4">
      <c r="A1004" s="12"/>
      <c r="B1004" s="8"/>
      <c r="C1004" s="8"/>
      <c r="D1004" s="8"/>
      <c r="E1004" s="8"/>
      <c r="F1004" s="8"/>
      <c r="G1004" s="8"/>
      <c r="H1004" s="8"/>
      <c r="I1004" s="12"/>
      <c r="J1004" s="8"/>
      <c r="K1004" s="8"/>
      <c r="L1004" s="12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 spans="1:26" ht="13.15" x14ac:dyDescent="0.4">
      <c r="A1005" s="12"/>
      <c r="B1005" s="8"/>
      <c r="C1005" s="8"/>
      <c r="D1005" s="8"/>
      <c r="E1005" s="8"/>
      <c r="F1005" s="8"/>
      <c r="G1005" s="8"/>
      <c r="H1005" s="8"/>
      <c r="I1005" s="12"/>
      <c r="J1005" s="8"/>
      <c r="K1005" s="8"/>
      <c r="L1005" s="12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 spans="1:26" ht="13.15" x14ac:dyDescent="0.4">
      <c r="A1006" s="12"/>
      <c r="B1006" s="8"/>
      <c r="C1006" s="8"/>
      <c r="D1006" s="8"/>
      <c r="E1006" s="8"/>
      <c r="F1006" s="8"/>
      <c r="G1006" s="8"/>
      <c r="H1006" s="8"/>
      <c r="I1006" s="12"/>
      <c r="J1006" s="8"/>
      <c r="K1006" s="8"/>
      <c r="L1006" s="12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 spans="1:26" ht="13.15" x14ac:dyDescent="0.4">
      <c r="A1007" s="12"/>
      <c r="B1007" s="8"/>
      <c r="C1007" s="8"/>
      <c r="D1007" s="8"/>
      <c r="E1007" s="8"/>
      <c r="F1007" s="8"/>
      <c r="G1007" s="8"/>
      <c r="H1007" s="8"/>
      <c r="I1007" s="12"/>
      <c r="J1007" s="8"/>
      <c r="K1007" s="8"/>
      <c r="L1007" s="12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 spans="1:26" ht="13.15" x14ac:dyDescent="0.4">
      <c r="A1008" s="12"/>
      <c r="B1008" s="8"/>
      <c r="C1008" s="8"/>
      <c r="D1008" s="8"/>
      <c r="E1008" s="8"/>
      <c r="F1008" s="8"/>
      <c r="G1008" s="8"/>
      <c r="H1008" s="8"/>
      <c r="I1008" s="12"/>
      <c r="J1008" s="8"/>
      <c r="K1008" s="8"/>
      <c r="L1008" s="12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 spans="1:26" ht="13.15" x14ac:dyDescent="0.4">
      <c r="A1009" s="12"/>
      <c r="B1009" s="8"/>
      <c r="C1009" s="8"/>
      <c r="D1009" s="8"/>
      <c r="E1009" s="8"/>
      <c r="F1009" s="8"/>
      <c r="G1009" s="8"/>
      <c r="H1009" s="8"/>
      <c r="I1009" s="12"/>
      <c r="J1009" s="8"/>
      <c r="K1009" s="8"/>
      <c r="L1009" s="12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 spans="1:26" ht="13.15" x14ac:dyDescent="0.4">
      <c r="A1010" s="12"/>
      <c r="B1010" s="8"/>
      <c r="C1010" s="8"/>
      <c r="D1010" s="8"/>
      <c r="E1010" s="8"/>
      <c r="F1010" s="8"/>
      <c r="G1010" s="8"/>
      <c r="H1010" s="8"/>
      <c r="I1010" s="12"/>
      <c r="J1010" s="8"/>
      <c r="K1010" s="8"/>
      <c r="L1010" s="12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 spans="1:26" ht="13.15" x14ac:dyDescent="0.4">
      <c r="A1011" s="12"/>
      <c r="B1011" s="8"/>
      <c r="C1011" s="8"/>
      <c r="D1011" s="8"/>
      <c r="E1011" s="8"/>
      <c r="F1011" s="8"/>
      <c r="G1011" s="8"/>
      <c r="H1011" s="8"/>
      <c r="I1011" s="12"/>
      <c r="J1011" s="8"/>
      <c r="K1011" s="8"/>
      <c r="L1011" s="12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 spans="1:26" ht="13.15" x14ac:dyDescent="0.4">
      <c r="A1012" s="12"/>
      <c r="B1012" s="8"/>
      <c r="C1012" s="8"/>
      <c r="D1012" s="8"/>
      <c r="E1012" s="8"/>
      <c r="F1012" s="8"/>
      <c r="G1012" s="8"/>
      <c r="H1012" s="8"/>
      <c r="I1012" s="12"/>
      <c r="J1012" s="8"/>
      <c r="K1012" s="8"/>
      <c r="L1012" s="12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 spans="1:26" ht="13.15" x14ac:dyDescent="0.4">
      <c r="A1013" s="12"/>
      <c r="B1013" s="8"/>
      <c r="C1013" s="8"/>
      <c r="D1013" s="8"/>
      <c r="E1013" s="8"/>
      <c r="F1013" s="8"/>
      <c r="G1013" s="8"/>
      <c r="H1013" s="8"/>
      <c r="I1013" s="12"/>
      <c r="J1013" s="8"/>
      <c r="K1013" s="8"/>
      <c r="L1013" s="12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 spans="1:26" ht="13.15" x14ac:dyDescent="0.4">
      <c r="A1014" s="12"/>
      <c r="B1014" s="8"/>
      <c r="C1014" s="8"/>
      <c r="D1014" s="8"/>
      <c r="E1014" s="8"/>
      <c r="F1014" s="8"/>
      <c r="G1014" s="8"/>
      <c r="H1014" s="8"/>
      <c r="I1014" s="12"/>
      <c r="J1014" s="8"/>
      <c r="K1014" s="8"/>
      <c r="L1014" s="12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 spans="1:26" ht="13.15" x14ac:dyDescent="0.4">
      <c r="A1015" s="12"/>
      <c r="B1015" s="8"/>
      <c r="C1015" s="8"/>
      <c r="D1015" s="8"/>
      <c r="E1015" s="8"/>
      <c r="F1015" s="8"/>
      <c r="G1015" s="8"/>
      <c r="H1015" s="8"/>
      <c r="I1015" s="12"/>
      <c r="J1015" s="8"/>
      <c r="K1015" s="8"/>
      <c r="L1015" s="12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 spans="1:26" ht="13.15" x14ac:dyDescent="0.4">
      <c r="A1016" s="12"/>
      <c r="B1016" s="8"/>
      <c r="C1016" s="8"/>
      <c r="D1016" s="8"/>
      <c r="E1016" s="8"/>
      <c r="F1016" s="8"/>
      <c r="G1016" s="8"/>
      <c r="H1016" s="8"/>
      <c r="I1016" s="12"/>
      <c r="J1016" s="8"/>
      <c r="K1016" s="8"/>
      <c r="L1016" s="12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 spans="1:26" ht="13.15" x14ac:dyDescent="0.4">
      <c r="A1017" s="12"/>
      <c r="B1017" s="8"/>
      <c r="C1017" s="8"/>
      <c r="D1017" s="8"/>
      <c r="E1017" s="8"/>
      <c r="F1017" s="8"/>
      <c r="G1017" s="8"/>
      <c r="H1017" s="8"/>
      <c r="I1017" s="12"/>
      <c r="J1017" s="8"/>
      <c r="K1017" s="8"/>
      <c r="L1017" s="12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 spans="1:26" ht="13.15" x14ac:dyDescent="0.4">
      <c r="A1018" s="12"/>
      <c r="B1018" s="8"/>
      <c r="C1018" s="8"/>
      <c r="D1018" s="8"/>
      <c r="E1018" s="8"/>
      <c r="F1018" s="8"/>
      <c r="G1018" s="8"/>
      <c r="H1018" s="8"/>
      <c r="I1018" s="12"/>
      <c r="J1018" s="8"/>
      <c r="K1018" s="8"/>
      <c r="L1018" s="12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 spans="1:26" ht="13.15" x14ac:dyDescent="0.4">
      <c r="A1019" s="12"/>
      <c r="B1019" s="8"/>
      <c r="C1019" s="8"/>
      <c r="D1019" s="8"/>
      <c r="E1019" s="8"/>
      <c r="F1019" s="8"/>
      <c r="G1019" s="8"/>
      <c r="H1019" s="8"/>
      <c r="I1019" s="12"/>
      <c r="J1019" s="8"/>
      <c r="K1019" s="8"/>
      <c r="L1019" s="12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 spans="1:26" ht="13.15" x14ac:dyDescent="0.4">
      <c r="A1020" s="12"/>
      <c r="B1020" s="8"/>
      <c r="C1020" s="8"/>
      <c r="D1020" s="8"/>
      <c r="E1020" s="8"/>
      <c r="F1020" s="8"/>
      <c r="G1020" s="8"/>
      <c r="H1020" s="8"/>
      <c r="I1020" s="12"/>
      <c r="J1020" s="8"/>
      <c r="K1020" s="8"/>
      <c r="L1020" s="12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 spans="1:26" ht="13.15" x14ac:dyDescent="0.4">
      <c r="A1021" s="12"/>
      <c r="B1021" s="8"/>
      <c r="C1021" s="8"/>
      <c r="D1021" s="8"/>
      <c r="E1021" s="8"/>
      <c r="F1021" s="8"/>
      <c r="G1021" s="8"/>
      <c r="H1021" s="8"/>
      <c r="I1021" s="12"/>
      <c r="J1021" s="8"/>
      <c r="K1021" s="8"/>
      <c r="L1021" s="12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 spans="1:26" ht="13.15" x14ac:dyDescent="0.4">
      <c r="A1022" s="12"/>
      <c r="B1022" s="8"/>
      <c r="C1022" s="8"/>
      <c r="D1022" s="8"/>
      <c r="E1022" s="8"/>
      <c r="F1022" s="8"/>
      <c r="G1022" s="8"/>
      <c r="H1022" s="8"/>
      <c r="I1022" s="12"/>
      <c r="J1022" s="8"/>
      <c r="K1022" s="8"/>
      <c r="L1022" s="12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</sheetData>
  <mergeCells count="2">
    <mergeCell ref="D13:I13"/>
    <mergeCell ref="D25:E25"/>
  </mergeCells>
  <dataValidations count="7">
    <dataValidation type="list" allowBlank="1" showErrorMessage="1" sqref="B10" xr:uid="{00000000-0002-0000-0000-000000000000}">
      <formula1>"Half Roof,Full Roof"</formula1>
    </dataValidation>
    <dataValidation type="list" allowBlank="1" showErrorMessage="1" sqref="B11 B17:B18 B22" xr:uid="{00000000-0002-0000-0000-000001000000}">
      <formula1>"y,n"</formula1>
    </dataValidation>
    <dataValidation type="list" allowBlank="1" showErrorMessage="1" sqref="B16" xr:uid="{00000000-0002-0000-0000-000002000000}">
      <formula1>"36,40,50"</formula1>
    </dataValidation>
    <dataValidation type="list" allowBlank="1" showErrorMessage="1" sqref="B70" xr:uid="{00000000-0002-0000-0000-000003000000}">
      <formula1>"Ozone,Chlorine"</formula1>
    </dataValidation>
    <dataValidation type="list" allowBlank="1" showErrorMessage="1" sqref="B19" xr:uid="{00000000-0002-0000-0000-000004000000}">
      <formula1>"HES-260,SW-80,HES-305P"</formula1>
    </dataValidation>
    <dataValidation type="list" allowBlank="1" showErrorMessage="1" sqref="B66" xr:uid="{00000000-0002-0000-0000-000005000000}">
      <formula1>"Storage Line,Consumption Line"</formula1>
    </dataValidation>
    <dataValidation type="list" allowBlank="1" showErrorMessage="1" sqref="B15" xr:uid="{00000000-0002-0000-0000-000006000000}">
      <formula1>"400,1500,2500,5000,10000"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3"/>
  <sheetViews>
    <sheetView topLeftCell="O1" workbookViewId="0">
      <selection activeCell="V7" sqref="V7"/>
    </sheetView>
  </sheetViews>
  <sheetFormatPr defaultColWidth="12.59765625" defaultRowHeight="15.75" customHeight="1" x14ac:dyDescent="0.35"/>
  <cols>
    <col min="1" max="1" width="17" customWidth="1"/>
    <col min="14" max="14" width="14.265625" customWidth="1"/>
    <col min="15" max="15" width="24.3984375" customWidth="1"/>
    <col min="17" max="17" width="17" customWidth="1"/>
    <col min="18" max="18" width="17.1328125" customWidth="1"/>
    <col min="21" max="21" width="21.86328125" customWidth="1"/>
    <col min="25" max="25" width="16.86328125" customWidth="1"/>
  </cols>
  <sheetData>
    <row r="1" spans="1:26" ht="15.75" customHeight="1" x14ac:dyDescent="0.45">
      <c r="A1" s="1" t="s">
        <v>0</v>
      </c>
      <c r="B1" s="2"/>
      <c r="C1" s="3"/>
      <c r="D1" s="5"/>
      <c r="E1" s="7" t="s">
        <v>3</v>
      </c>
      <c r="F1" s="9"/>
      <c r="G1" s="11"/>
      <c r="H1" s="8"/>
      <c r="I1" s="13" t="s">
        <v>5</v>
      </c>
      <c r="J1" s="15"/>
      <c r="K1" s="16"/>
      <c r="L1" s="8"/>
      <c r="M1" s="17" t="s">
        <v>9</v>
      </c>
      <c r="N1" s="18"/>
      <c r="O1" s="8"/>
      <c r="P1" s="20" t="s">
        <v>11</v>
      </c>
      <c r="Q1" s="21"/>
      <c r="R1" s="22"/>
      <c r="S1" s="24"/>
      <c r="T1" s="26" t="s">
        <v>19</v>
      </c>
      <c r="U1" s="28"/>
      <c r="V1" s="28"/>
      <c r="W1" s="29"/>
      <c r="Z1" s="30"/>
    </row>
    <row r="2" spans="1:26" ht="15.75" customHeight="1" x14ac:dyDescent="0.45">
      <c r="A2" s="31" t="s">
        <v>23</v>
      </c>
      <c r="B2" s="33">
        <f>Parameters!B53</f>
        <v>110</v>
      </c>
      <c r="C2" s="34" t="s">
        <v>25</v>
      </c>
      <c r="D2" s="5"/>
      <c r="E2" s="35" t="s">
        <v>26</v>
      </c>
      <c r="F2" s="37">
        <f>Parameters!B58</f>
        <v>50</v>
      </c>
      <c r="G2" s="38" t="s">
        <v>27</v>
      </c>
      <c r="H2" s="8"/>
      <c r="I2" s="39" t="s">
        <v>28</v>
      </c>
      <c r="J2" s="40" t="str">
        <f>Parameters!B62</f>
        <v>A</v>
      </c>
      <c r="K2" s="41" t="s">
        <v>31</v>
      </c>
      <c r="L2" s="8"/>
      <c r="M2" s="42" t="s">
        <v>32</v>
      </c>
      <c r="N2" s="43" t="str">
        <f>Parameters!B66</f>
        <v>Storage Line</v>
      </c>
      <c r="O2" s="8"/>
      <c r="P2" s="44" t="s">
        <v>34</v>
      </c>
      <c r="Q2" s="45" t="str">
        <f>Parameters!B70</f>
        <v>Ozone</v>
      </c>
      <c r="R2" s="46"/>
      <c r="S2" s="24"/>
      <c r="T2" s="47" t="s">
        <v>35</v>
      </c>
      <c r="U2" s="48" t="str">
        <f>Parameters!B76</f>
        <v>Solar</v>
      </c>
      <c r="V2" s="49" t="s">
        <v>31</v>
      </c>
      <c r="W2" s="50"/>
      <c r="Z2" s="30"/>
    </row>
    <row r="3" spans="1:26" ht="15.75" customHeight="1" x14ac:dyDescent="0.45">
      <c r="A3" s="31" t="s">
        <v>26</v>
      </c>
      <c r="B3" s="33">
        <f>Parameters!B54</f>
        <v>2.5</v>
      </c>
      <c r="C3" s="34" t="s">
        <v>27</v>
      </c>
      <c r="D3" s="5"/>
      <c r="E3" s="35" t="s">
        <v>39</v>
      </c>
      <c r="F3" s="37">
        <f>Parameters!B59</f>
        <v>6.5</v>
      </c>
      <c r="G3" s="38" t="s">
        <v>22</v>
      </c>
      <c r="H3" s="8"/>
      <c r="I3" s="39" t="s">
        <v>40</v>
      </c>
      <c r="J3" s="51">
        <f>Parameters!B63</f>
        <v>0.62900682885864234</v>
      </c>
      <c r="K3" s="41" t="s">
        <v>41</v>
      </c>
      <c r="L3" s="8"/>
      <c r="M3" s="42" t="s">
        <v>42</v>
      </c>
      <c r="N3" s="52" t="str">
        <f>Parameters!B67</f>
        <v>200μ, 5μ</v>
      </c>
      <c r="O3" s="8"/>
      <c r="P3" s="44" t="s">
        <v>43</v>
      </c>
      <c r="Q3" s="53">
        <f>Parameters!B71</f>
        <v>10</v>
      </c>
      <c r="R3" s="54" t="s">
        <v>44</v>
      </c>
      <c r="S3" s="24"/>
      <c r="T3" s="47" t="s">
        <v>45</v>
      </c>
      <c r="U3" s="56"/>
      <c r="V3" s="49" t="s">
        <v>31</v>
      </c>
      <c r="W3" s="50"/>
      <c r="Z3" s="5"/>
    </row>
    <row r="4" spans="1:26" ht="15.75" customHeight="1" x14ac:dyDescent="0.45">
      <c r="A4" s="31" t="s">
        <v>10</v>
      </c>
      <c r="B4" s="33">
        <f>Parameters!B55</f>
        <v>641</v>
      </c>
      <c r="C4" s="34" t="s">
        <v>12</v>
      </c>
      <c r="D4" s="5"/>
      <c r="E4" s="57" t="s">
        <v>48</v>
      </c>
      <c r="F4" s="58">
        <f>Parameters!B60</f>
        <v>52.780497164141408</v>
      </c>
      <c r="G4" s="59" t="s">
        <v>22</v>
      </c>
      <c r="H4" s="8"/>
      <c r="I4" s="60" t="s">
        <v>50</v>
      </c>
      <c r="J4" s="61">
        <f>'Pump Data'!L21</f>
        <v>35.81</v>
      </c>
      <c r="K4" s="62" t="s">
        <v>54</v>
      </c>
      <c r="L4" s="8"/>
      <c r="M4" s="63" t="s">
        <v>55</v>
      </c>
      <c r="N4" s="64">
        <f>Parameters!B68</f>
        <v>4319.6282500000007</v>
      </c>
      <c r="O4" s="8"/>
      <c r="P4" s="44" t="s">
        <v>58</v>
      </c>
      <c r="Q4" s="53">
        <f>Parameters!B72</f>
        <v>50</v>
      </c>
      <c r="R4" s="54" t="s">
        <v>60</v>
      </c>
      <c r="S4" s="24"/>
      <c r="T4" s="47" t="s">
        <v>61</v>
      </c>
      <c r="U4" s="65">
        <f>Parameters!B78</f>
        <v>9</v>
      </c>
      <c r="V4" s="49" t="s">
        <v>62</v>
      </c>
      <c r="W4" s="50"/>
      <c r="Z4" s="5"/>
    </row>
    <row r="5" spans="1:26" ht="15.75" customHeight="1" x14ac:dyDescent="0.45">
      <c r="A5" s="66" t="s">
        <v>63</v>
      </c>
      <c r="B5" s="67">
        <f>Parameters!B56</f>
        <v>0</v>
      </c>
      <c r="C5" s="68" t="s">
        <v>27</v>
      </c>
      <c r="D5" s="5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44" t="s">
        <v>65</v>
      </c>
      <c r="Q5" s="53">
        <f>Parameters!B73</f>
        <v>2</v>
      </c>
      <c r="R5" s="54" t="s">
        <v>67</v>
      </c>
      <c r="S5" s="24"/>
      <c r="T5" s="69" t="s">
        <v>68</v>
      </c>
      <c r="U5" s="70">
        <f>Parameters!B79</f>
        <v>7</v>
      </c>
      <c r="V5" s="71" t="s">
        <v>69</v>
      </c>
      <c r="W5" s="72"/>
      <c r="Z5" s="5"/>
    </row>
    <row r="6" spans="1:26" ht="15.75" customHeight="1" x14ac:dyDescent="0.45">
      <c r="A6" s="8"/>
      <c r="B6" s="8"/>
      <c r="C6" s="8"/>
      <c r="D6" s="5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73" t="s">
        <v>71</v>
      </c>
      <c r="Q6" s="74">
        <f>Parameters!B74</f>
        <v>36</v>
      </c>
      <c r="R6" s="75" t="s">
        <v>72</v>
      </c>
      <c r="S6" s="76"/>
      <c r="T6" s="5"/>
      <c r="U6" s="77"/>
      <c r="V6" s="5"/>
      <c r="W6" s="5"/>
      <c r="X6" s="5"/>
    </row>
    <row r="7" spans="1:26" ht="15.75" customHeight="1" x14ac:dyDescent="0.45">
      <c r="A7" s="78" t="s">
        <v>73</v>
      </c>
      <c r="B7" s="79">
        <f>COUNTIF(E:E,"&gt;="&amp;$F$2)</f>
        <v>3</v>
      </c>
      <c r="C7" s="12"/>
      <c r="D7" s="80"/>
      <c r="E7" s="80"/>
      <c r="F7" s="294" t="s">
        <v>75</v>
      </c>
      <c r="G7" s="295"/>
      <c r="H7" s="82">
        <f>SUM(H12:H1003)</f>
        <v>45.651868834731147</v>
      </c>
      <c r="I7" s="296" t="s">
        <v>76</v>
      </c>
      <c r="J7" s="295"/>
      <c r="K7" s="85">
        <f>SUM(L12:L1003)</f>
        <v>2476.8700000000008</v>
      </c>
      <c r="L7" s="12"/>
      <c r="M7" s="86" t="s">
        <v>78</v>
      </c>
      <c r="N7" s="87">
        <f>SUM(N12:N1003)</f>
        <v>1135.2960000000073</v>
      </c>
      <c r="O7" s="88" t="s">
        <v>80</v>
      </c>
      <c r="P7" s="90">
        <f>SUM(O12:O1003)</f>
        <v>3657.817868834738</v>
      </c>
      <c r="Q7" s="80"/>
      <c r="R7" s="92" t="s">
        <v>81</v>
      </c>
      <c r="S7" s="94">
        <f>SUM(T11:T1003)</f>
        <v>20</v>
      </c>
      <c r="U7" s="95" t="s">
        <v>85</v>
      </c>
      <c r="V7" s="97">
        <f>SUM(U11:U1003)/(IF(Parameters!B31="A",900,IF(Parameters!B31="B",1650,1800)))</f>
        <v>0.12808702307445666</v>
      </c>
      <c r="W7" s="98"/>
      <c r="X7" s="98"/>
      <c r="Y7" s="98"/>
      <c r="Z7" s="98"/>
    </row>
    <row r="8" spans="1:26" ht="15.75" customHeight="1" x14ac:dyDescent="0.45">
      <c r="A8" s="99" t="s">
        <v>87</v>
      </c>
      <c r="B8" s="100">
        <f>COUNTIF(E:E,0)</f>
        <v>12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77"/>
      <c r="O8" s="5"/>
      <c r="P8" s="76"/>
      <c r="Q8" s="5"/>
      <c r="R8" s="8"/>
      <c r="S8" s="24"/>
      <c r="T8" s="8"/>
      <c r="U8" s="8"/>
      <c r="V8" s="8"/>
    </row>
    <row r="9" spans="1:26" ht="15.75" customHeight="1" x14ac:dyDescent="0.45">
      <c r="A9" s="102" t="s">
        <v>91</v>
      </c>
      <c r="B9" s="102" t="s">
        <v>92</v>
      </c>
      <c r="C9" s="102" t="s">
        <v>93</v>
      </c>
      <c r="D9" s="104" t="s">
        <v>10</v>
      </c>
      <c r="E9" s="105" t="s">
        <v>94</v>
      </c>
      <c r="F9" s="106" t="s">
        <v>95</v>
      </c>
      <c r="G9" s="106" t="s">
        <v>96</v>
      </c>
      <c r="H9" s="106" t="s">
        <v>96</v>
      </c>
      <c r="I9" s="107" t="s">
        <v>97</v>
      </c>
      <c r="J9" s="107" t="s">
        <v>97</v>
      </c>
      <c r="K9" s="107" t="s">
        <v>65</v>
      </c>
      <c r="L9" s="107" t="s">
        <v>65</v>
      </c>
      <c r="M9" s="107" t="s">
        <v>98</v>
      </c>
      <c r="N9" s="108" t="s">
        <v>98</v>
      </c>
      <c r="O9" s="109" t="s">
        <v>99</v>
      </c>
      <c r="P9" s="110" t="s">
        <v>100</v>
      </c>
      <c r="Q9" s="110" t="s">
        <v>101</v>
      </c>
      <c r="R9" s="105" t="s">
        <v>102</v>
      </c>
      <c r="S9" s="105" t="s">
        <v>103</v>
      </c>
      <c r="T9" s="297" t="s">
        <v>104</v>
      </c>
      <c r="U9" s="111" t="s">
        <v>105</v>
      </c>
      <c r="V9" s="8"/>
      <c r="W9" s="8"/>
    </row>
    <row r="10" spans="1:26" ht="15.75" customHeight="1" x14ac:dyDescent="0.45">
      <c r="A10" s="112" t="s">
        <v>106</v>
      </c>
      <c r="B10" s="112" t="s">
        <v>107</v>
      </c>
      <c r="C10" s="112" t="s">
        <v>108</v>
      </c>
      <c r="D10" s="114" t="s">
        <v>27</v>
      </c>
      <c r="E10" s="115" t="s">
        <v>27</v>
      </c>
      <c r="F10" s="116" t="s">
        <v>110</v>
      </c>
      <c r="G10" s="116" t="s">
        <v>111</v>
      </c>
      <c r="H10" s="116" t="s">
        <v>112</v>
      </c>
      <c r="I10" s="117" t="s">
        <v>114</v>
      </c>
      <c r="J10" s="117" t="s">
        <v>115</v>
      </c>
      <c r="K10" s="117" t="s">
        <v>116</v>
      </c>
      <c r="L10" s="117" t="s">
        <v>112</v>
      </c>
      <c r="M10" s="117" t="s">
        <v>117</v>
      </c>
      <c r="N10" s="118" t="s">
        <v>112</v>
      </c>
      <c r="O10" s="119" t="s">
        <v>112</v>
      </c>
      <c r="P10" s="120" t="s">
        <v>74</v>
      </c>
      <c r="Q10" s="120" t="s">
        <v>119</v>
      </c>
      <c r="R10" s="120" t="s">
        <v>119</v>
      </c>
      <c r="S10" s="120" t="s">
        <v>119</v>
      </c>
      <c r="T10" s="298"/>
      <c r="U10" s="121" t="s">
        <v>120</v>
      </c>
      <c r="V10" s="8"/>
      <c r="W10" s="8"/>
    </row>
    <row r="11" spans="1:26" ht="15.75" customHeight="1" x14ac:dyDescent="0.45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102"/>
      <c r="L11" s="102"/>
      <c r="M11" s="102"/>
      <c r="N11" s="122"/>
      <c r="O11" s="102"/>
      <c r="P11" s="123"/>
      <c r="Q11" s="124">
        <f>IF(Parameters!G29="y",1,0)</f>
        <v>1</v>
      </c>
      <c r="R11" s="124">
        <f>IF(Parameters!G30="y",1,0)</f>
        <v>1</v>
      </c>
      <c r="S11" s="8">
        <v>1</v>
      </c>
      <c r="T11" s="76">
        <f t="shared" ref="T11:T265" si="0">MAX(MIN(SUM(Q11:S11),1),0)</f>
        <v>1</v>
      </c>
      <c r="W11" s="8"/>
    </row>
    <row r="12" spans="1:26" ht="15.75" customHeight="1" x14ac:dyDescent="0.45">
      <c r="A12" s="125">
        <v>41640</v>
      </c>
      <c r="B12" s="126">
        <v>18.8</v>
      </c>
      <c r="C12" s="127">
        <f t="shared" ref="C12:C266" si="1">IF(B12/1000*$B$2&lt;=$B$3,B12/1000*$B$2,$B$3)</f>
        <v>2.0680000000000001</v>
      </c>
      <c r="D12" s="127">
        <f t="shared" ref="D12:D266" si="2">IF(A12&gt;=DATE(2014,2,1),$B$4/1000,0)</f>
        <v>0</v>
      </c>
      <c r="E12" s="127">
        <f>IF((B5+C12-D12)&gt;=0,IF(B5+C12-D12&lt;=$F$2,B5+C12-D12,$F$2),0)</f>
        <v>2.0680000000000001</v>
      </c>
      <c r="F12" s="130">
        <f>Parameters!$B$32*'Pump Data'!$L$21^2+Parameters!$B$33*'Pump Data'!$L$21+Parameters!$B$34</f>
        <v>115.93397007999999</v>
      </c>
      <c r="G12" s="130">
        <f t="shared" ref="G12:G266" si="3">F12*C12/$J$3</f>
        <v>381.15873966023298</v>
      </c>
      <c r="H12" s="131">
        <f t="shared" ref="H12:H266" si="4">G12/1000</f>
        <v>0.381158739660233</v>
      </c>
      <c r="I12" s="126">
        <f t="shared" ref="I12:I266" si="5">C12*1000*$Q$4/$Q$3</f>
        <v>10340</v>
      </c>
      <c r="J12" s="126">
        <f t="shared" ref="J12:J266" si="6">I12/1000</f>
        <v>10.34</v>
      </c>
      <c r="K12" s="126">
        <f t="shared" ref="K12:K266" si="7">L12*1000000</f>
        <v>20680000</v>
      </c>
      <c r="L12" s="131">
        <f t="shared" ref="L12:L266" si="8">$Q$5*J12</f>
        <v>20.68</v>
      </c>
      <c r="M12" s="126">
        <f t="shared" ref="M12:M266" si="9">$Q$6*24</f>
        <v>864</v>
      </c>
      <c r="N12" s="131">
        <f t="shared" ref="N12:N266" si="10">M12*0.0036</f>
        <v>3.1103999999999998</v>
      </c>
      <c r="O12" s="131">
        <f t="shared" ref="O12:O266" si="11">H12+L12+N12</f>
        <v>24.171558739660231</v>
      </c>
      <c r="P12" s="8">
        <f t="shared" ref="P12:P266" si="12">SUM($C$12:C12)*1000</f>
        <v>2068</v>
      </c>
      <c r="Q12" s="8">
        <f>IF(Parameters!$G$29="y",IF(INT($P12/Parameters!$K$29)&gt;INT($P11/Parameters!$K$29),1,0),0)</f>
        <v>0</v>
      </c>
      <c r="R12" s="8">
        <f>IF(Parameters!$G$30="y",IF(INT($P12/Parameters!$K$30)&gt;INT($P11/Parameters!$K$30),1,0),0)</f>
        <v>0</v>
      </c>
      <c r="S12" s="8">
        <f>IF(INT($P12/Parameters!$K$31)&gt;INT($P11/Parameters!$K$31),1,0)</f>
        <v>0</v>
      </c>
      <c r="T12" s="76">
        <f t="shared" si="0"/>
        <v>0</v>
      </c>
      <c r="U12" s="8">
        <f>C11/'Pump Data'!$L$21*1000/60</f>
        <v>0</v>
      </c>
      <c r="W12" s="5"/>
    </row>
    <row r="13" spans="1:26" ht="15.75" customHeight="1" x14ac:dyDescent="0.45">
      <c r="A13" s="125">
        <v>41641</v>
      </c>
      <c r="B13" s="126">
        <v>19.8</v>
      </c>
      <c r="C13" s="127">
        <f t="shared" si="1"/>
        <v>2.1780000000000004</v>
      </c>
      <c r="D13" s="127">
        <f t="shared" si="2"/>
        <v>0</v>
      </c>
      <c r="E13" s="127">
        <f t="shared" ref="E13:E267" si="13">IF((E12+C13-D13)&gt;=0,IF(E12+C13-D13&lt;=$F$2,E12+C13-D13,$F$2),0)</f>
        <v>4.2460000000000004</v>
      </c>
      <c r="F13" s="130">
        <f>Parameters!$B$32*'Pump Data'!$L$21^2+Parameters!$B$33*'Pump Data'!$L$21+Parameters!$B$34</f>
        <v>115.93397007999999</v>
      </c>
      <c r="G13" s="130">
        <f t="shared" si="3"/>
        <v>401.43314070599018</v>
      </c>
      <c r="H13" s="131">
        <f t="shared" si="4"/>
        <v>0.40143314070599018</v>
      </c>
      <c r="I13" s="126">
        <f t="shared" si="5"/>
        <v>10890.000000000004</v>
      </c>
      <c r="J13" s="126">
        <f t="shared" si="6"/>
        <v>10.890000000000004</v>
      </c>
      <c r="K13" s="126">
        <f t="shared" si="7"/>
        <v>21780000.000000007</v>
      </c>
      <c r="L13" s="131">
        <f t="shared" si="8"/>
        <v>21.780000000000008</v>
      </c>
      <c r="M13" s="126">
        <f t="shared" si="9"/>
        <v>864</v>
      </c>
      <c r="N13" s="131">
        <f t="shared" si="10"/>
        <v>3.1103999999999998</v>
      </c>
      <c r="O13" s="131">
        <f t="shared" si="11"/>
        <v>25.291833140705997</v>
      </c>
      <c r="P13" s="8">
        <f t="shared" si="12"/>
        <v>4246</v>
      </c>
      <c r="Q13" s="8">
        <f>IF(Parameters!$G$29="y",IF(INT($P13/Parameters!$K$29)&gt;INT($P12/Parameters!$K$29),1,0),0)</f>
        <v>0</v>
      </c>
      <c r="R13" s="8">
        <f>IF(Parameters!$G$30="y",IF(INT($P13/Parameters!$K$30)&gt;INT($P12/Parameters!$K$30),1,0),0)</f>
        <v>0</v>
      </c>
      <c r="S13" s="8">
        <f>IF(INT($P13/Parameters!$K$31)&gt;INT($P12/Parameters!$K$31),1,0)</f>
        <v>0</v>
      </c>
      <c r="T13" s="76">
        <f t="shared" si="0"/>
        <v>0</v>
      </c>
      <c r="U13" s="8">
        <f>C12/'Pump Data'!$L$21*1000/60</f>
        <v>0.96248720096807217</v>
      </c>
      <c r="V13" s="8"/>
      <c r="W13" s="5"/>
    </row>
    <row r="14" spans="1:26" ht="15.75" customHeight="1" x14ac:dyDescent="0.45">
      <c r="A14" s="125">
        <v>41642</v>
      </c>
      <c r="B14" s="126">
        <v>0</v>
      </c>
      <c r="C14" s="127">
        <f t="shared" si="1"/>
        <v>0</v>
      </c>
      <c r="D14" s="127">
        <f t="shared" si="2"/>
        <v>0</v>
      </c>
      <c r="E14" s="127">
        <f t="shared" si="13"/>
        <v>4.2460000000000004</v>
      </c>
      <c r="F14" s="130">
        <f>Parameters!$B$32*'Pump Data'!$L$21^2+Parameters!$B$33*'Pump Data'!$L$21+Parameters!$B$34</f>
        <v>115.93397007999999</v>
      </c>
      <c r="G14" s="130">
        <f t="shared" si="3"/>
        <v>0</v>
      </c>
      <c r="H14" s="131">
        <f t="shared" si="4"/>
        <v>0</v>
      </c>
      <c r="I14" s="126">
        <f t="shared" si="5"/>
        <v>0</v>
      </c>
      <c r="J14" s="126">
        <f t="shared" si="6"/>
        <v>0</v>
      </c>
      <c r="K14" s="126">
        <f t="shared" si="7"/>
        <v>0</v>
      </c>
      <c r="L14" s="131">
        <f t="shared" si="8"/>
        <v>0</v>
      </c>
      <c r="M14" s="126">
        <f t="shared" si="9"/>
        <v>864</v>
      </c>
      <c r="N14" s="131">
        <f t="shared" si="10"/>
        <v>3.1103999999999998</v>
      </c>
      <c r="O14" s="131">
        <f t="shared" si="11"/>
        <v>3.1103999999999998</v>
      </c>
      <c r="P14" s="8">
        <f t="shared" si="12"/>
        <v>4246</v>
      </c>
      <c r="Q14" s="8">
        <f>IF(Parameters!$G$29="y",IF(INT($P14/Parameters!$K$29)&gt;INT($P13/Parameters!$K$29),1,0),0)</f>
        <v>0</v>
      </c>
      <c r="R14" s="8">
        <f>IF(Parameters!$G$30="y",IF(INT($P14/Parameters!$K$30)&gt;INT($P13/Parameters!$K$30),1,0),0)</f>
        <v>0</v>
      </c>
      <c r="S14" s="8">
        <f>IF(INT($P14/Parameters!$K$31)&gt;INT($P13/Parameters!$K$31),1,0)</f>
        <v>0</v>
      </c>
      <c r="T14" s="76">
        <f t="shared" si="0"/>
        <v>0</v>
      </c>
      <c r="U14" s="8">
        <f>C13/'Pump Data'!$L$21*1000/60</f>
        <v>1.01368332867914</v>
      </c>
      <c r="V14" s="8"/>
      <c r="W14" s="5"/>
    </row>
    <row r="15" spans="1:26" ht="15.75" customHeight="1" x14ac:dyDescent="0.45">
      <c r="A15" s="125">
        <v>41643</v>
      </c>
      <c r="B15" s="126">
        <v>0</v>
      </c>
      <c r="C15" s="127">
        <f t="shared" si="1"/>
        <v>0</v>
      </c>
      <c r="D15" s="127">
        <f t="shared" si="2"/>
        <v>0</v>
      </c>
      <c r="E15" s="127">
        <f t="shared" si="13"/>
        <v>4.2460000000000004</v>
      </c>
      <c r="F15" s="130">
        <f>Parameters!$B$32*'Pump Data'!$L$21^2+Parameters!$B$33*'Pump Data'!$L$21+Parameters!$B$34</f>
        <v>115.93397007999999</v>
      </c>
      <c r="G15" s="130">
        <f t="shared" si="3"/>
        <v>0</v>
      </c>
      <c r="H15" s="131">
        <f t="shared" si="4"/>
        <v>0</v>
      </c>
      <c r="I15" s="126">
        <f t="shared" si="5"/>
        <v>0</v>
      </c>
      <c r="J15" s="126">
        <f t="shared" si="6"/>
        <v>0</v>
      </c>
      <c r="K15" s="126">
        <f t="shared" si="7"/>
        <v>0</v>
      </c>
      <c r="L15" s="131">
        <f t="shared" si="8"/>
        <v>0</v>
      </c>
      <c r="M15" s="126">
        <f t="shared" si="9"/>
        <v>864</v>
      </c>
      <c r="N15" s="131">
        <f t="shared" si="10"/>
        <v>3.1103999999999998</v>
      </c>
      <c r="O15" s="131">
        <f t="shared" si="11"/>
        <v>3.1103999999999998</v>
      </c>
      <c r="P15" s="8">
        <f t="shared" si="12"/>
        <v>4246</v>
      </c>
      <c r="Q15" s="8">
        <f>IF(Parameters!$G$29="y",IF(INT($P15/Parameters!$K$29)&gt;INT($P14/Parameters!$K$29),1,0),0)</f>
        <v>0</v>
      </c>
      <c r="R15" s="8">
        <f>IF(Parameters!$G$30="y",IF(INT($P15/Parameters!$K$30)&gt;INT($P14/Parameters!$K$30),1,0),0)</f>
        <v>0</v>
      </c>
      <c r="S15" s="8">
        <f>IF(INT($P15/Parameters!$K$31)&gt;INT($P14/Parameters!$K$31),1,0)</f>
        <v>0</v>
      </c>
      <c r="T15" s="76">
        <f t="shared" si="0"/>
        <v>0</v>
      </c>
      <c r="U15" s="8">
        <f>C14/'Pump Data'!$L$21*1000/60</f>
        <v>0</v>
      </c>
      <c r="V15" s="8"/>
      <c r="W15" s="8"/>
    </row>
    <row r="16" spans="1:26" ht="15.75" customHeight="1" x14ac:dyDescent="0.45">
      <c r="A16" s="125">
        <v>41644</v>
      </c>
      <c r="B16" s="126">
        <v>0</v>
      </c>
      <c r="C16" s="127">
        <f t="shared" si="1"/>
        <v>0</v>
      </c>
      <c r="D16" s="127">
        <f t="shared" si="2"/>
        <v>0</v>
      </c>
      <c r="E16" s="127">
        <f t="shared" si="13"/>
        <v>4.2460000000000004</v>
      </c>
      <c r="F16" s="130">
        <f>Parameters!$B$32*'Pump Data'!$L$21^2+Parameters!$B$33*'Pump Data'!$L$21+Parameters!$B$34</f>
        <v>115.93397007999999</v>
      </c>
      <c r="G16" s="130">
        <f t="shared" si="3"/>
        <v>0</v>
      </c>
      <c r="H16" s="131">
        <f t="shared" si="4"/>
        <v>0</v>
      </c>
      <c r="I16" s="126">
        <f t="shared" si="5"/>
        <v>0</v>
      </c>
      <c r="J16" s="126">
        <f t="shared" si="6"/>
        <v>0</v>
      </c>
      <c r="K16" s="126">
        <f t="shared" si="7"/>
        <v>0</v>
      </c>
      <c r="L16" s="131">
        <f t="shared" si="8"/>
        <v>0</v>
      </c>
      <c r="M16" s="126">
        <f t="shared" si="9"/>
        <v>864</v>
      </c>
      <c r="N16" s="131">
        <f t="shared" si="10"/>
        <v>3.1103999999999998</v>
      </c>
      <c r="O16" s="131">
        <f t="shared" si="11"/>
        <v>3.1103999999999998</v>
      </c>
      <c r="P16" s="8">
        <f t="shared" si="12"/>
        <v>4246</v>
      </c>
      <c r="Q16" s="8">
        <f>IF(Parameters!$G$29="y",IF(INT($P16/Parameters!$K$29)&gt;INT($P15/Parameters!$K$29),1,0),0)</f>
        <v>0</v>
      </c>
      <c r="R16" s="8">
        <f>IF(Parameters!$G$30="y",IF(INT($P16/Parameters!$K$30)&gt;INT($P15/Parameters!$K$30),1,0),0)</f>
        <v>0</v>
      </c>
      <c r="S16" s="8">
        <f>IF(INT($P16/Parameters!$K$31)&gt;INT($P15/Parameters!$K$31),1,0)</f>
        <v>0</v>
      </c>
      <c r="T16" s="76">
        <f t="shared" si="0"/>
        <v>0</v>
      </c>
      <c r="U16" s="8">
        <f>C15/'Pump Data'!$L$21*1000/60</f>
        <v>0</v>
      </c>
      <c r="V16" s="8"/>
      <c r="W16" s="8"/>
    </row>
    <row r="17" spans="1:23" ht="15.75" customHeight="1" x14ac:dyDescent="0.45">
      <c r="A17" s="125">
        <v>41645</v>
      </c>
      <c r="B17" s="126">
        <v>5</v>
      </c>
      <c r="C17" s="127">
        <f t="shared" si="1"/>
        <v>0.55000000000000004</v>
      </c>
      <c r="D17" s="127">
        <f t="shared" si="2"/>
        <v>0</v>
      </c>
      <c r="E17" s="127">
        <f t="shared" si="13"/>
        <v>4.7960000000000003</v>
      </c>
      <c r="F17" s="130">
        <f>Parameters!$B$32*'Pump Data'!$L$21^2+Parameters!$B$33*'Pump Data'!$L$21+Parameters!$B$34</f>
        <v>115.93397007999999</v>
      </c>
      <c r="G17" s="130">
        <f t="shared" si="3"/>
        <v>101.37200522878538</v>
      </c>
      <c r="H17" s="131">
        <f t="shared" si="4"/>
        <v>0.10137200522878538</v>
      </c>
      <c r="I17" s="126">
        <f t="shared" si="5"/>
        <v>2750</v>
      </c>
      <c r="J17" s="126">
        <f t="shared" si="6"/>
        <v>2.75</v>
      </c>
      <c r="K17" s="126">
        <f t="shared" si="7"/>
        <v>5500000</v>
      </c>
      <c r="L17" s="131">
        <f t="shared" si="8"/>
        <v>5.5</v>
      </c>
      <c r="M17" s="126">
        <f t="shared" si="9"/>
        <v>864</v>
      </c>
      <c r="N17" s="131">
        <f t="shared" si="10"/>
        <v>3.1103999999999998</v>
      </c>
      <c r="O17" s="131">
        <f t="shared" si="11"/>
        <v>8.7117720052287844</v>
      </c>
      <c r="P17" s="8">
        <f t="shared" si="12"/>
        <v>4796</v>
      </c>
      <c r="Q17" s="8">
        <f>IF(Parameters!$G$29="y",IF(INT($P17/Parameters!$K$29)&gt;INT($P16/Parameters!$K$29),1,0),0)</f>
        <v>0</v>
      </c>
      <c r="R17" s="8">
        <f>IF(Parameters!$G$30="y",IF(INT($P17/Parameters!$K$30)&gt;INT($P16/Parameters!$K$30),1,0),0)</f>
        <v>0</v>
      </c>
      <c r="S17" s="8">
        <f>IF(INT($P17/Parameters!$K$31)&gt;INT($P16/Parameters!$K$31),1,0)</f>
        <v>0</v>
      </c>
      <c r="T17" s="76">
        <f t="shared" si="0"/>
        <v>0</v>
      </c>
      <c r="U17" s="8">
        <f>C16/'Pump Data'!$L$21*1000/60</f>
        <v>0</v>
      </c>
      <c r="V17" s="8"/>
      <c r="W17" s="8"/>
    </row>
    <row r="18" spans="1:23" ht="15.75" customHeight="1" x14ac:dyDescent="0.45">
      <c r="A18" s="125">
        <v>41646</v>
      </c>
      <c r="B18" s="126">
        <v>20.399999999999999</v>
      </c>
      <c r="C18" s="127">
        <f t="shared" si="1"/>
        <v>2.2439999999999998</v>
      </c>
      <c r="D18" s="127">
        <f t="shared" si="2"/>
        <v>0</v>
      </c>
      <c r="E18" s="127">
        <f t="shared" si="13"/>
        <v>7.04</v>
      </c>
      <c r="F18" s="130">
        <f>Parameters!$B$32*'Pump Data'!$L$21^2+Parameters!$B$33*'Pump Data'!$L$21+Parameters!$B$34</f>
        <v>115.93397007999999</v>
      </c>
      <c r="G18" s="130">
        <f t="shared" si="3"/>
        <v>413.59778133344423</v>
      </c>
      <c r="H18" s="131">
        <f t="shared" si="4"/>
        <v>0.41359778133344421</v>
      </c>
      <c r="I18" s="126">
        <f t="shared" si="5"/>
        <v>11220</v>
      </c>
      <c r="J18" s="126">
        <f t="shared" si="6"/>
        <v>11.22</v>
      </c>
      <c r="K18" s="126">
        <f t="shared" si="7"/>
        <v>22440000</v>
      </c>
      <c r="L18" s="131">
        <f t="shared" si="8"/>
        <v>22.44</v>
      </c>
      <c r="M18" s="126">
        <f t="shared" si="9"/>
        <v>864</v>
      </c>
      <c r="N18" s="131">
        <f t="shared" si="10"/>
        <v>3.1103999999999998</v>
      </c>
      <c r="O18" s="131">
        <f t="shared" si="11"/>
        <v>25.963997781333443</v>
      </c>
      <c r="P18" s="8">
        <f t="shared" si="12"/>
        <v>7040</v>
      </c>
      <c r="Q18" s="8">
        <f>IF(Parameters!$G$29="y",IF(INT($P18/Parameters!$K$29)&gt;INT($P17/Parameters!$K$29),1,0),0)</f>
        <v>0</v>
      </c>
      <c r="R18" s="8">
        <f>IF(Parameters!$G$30="y",IF(INT($P18/Parameters!$K$30)&gt;INT($P17/Parameters!$K$30),1,0),0)</f>
        <v>0</v>
      </c>
      <c r="S18" s="8">
        <f>IF(INT($P18/Parameters!$K$31)&gt;INT($P17/Parameters!$K$31),1,0)</f>
        <v>0</v>
      </c>
      <c r="T18" s="76">
        <f t="shared" si="0"/>
        <v>0</v>
      </c>
      <c r="U18" s="8">
        <f>C17/'Pump Data'!$L$21*1000/60</f>
        <v>0.25598063855533837</v>
      </c>
      <c r="V18" s="8"/>
      <c r="W18" s="8"/>
    </row>
    <row r="19" spans="1:23" ht="15.75" customHeight="1" x14ac:dyDescent="0.45">
      <c r="A19" s="125">
        <v>41647</v>
      </c>
      <c r="B19" s="126">
        <v>24.8</v>
      </c>
      <c r="C19" s="127">
        <f t="shared" si="1"/>
        <v>2.5</v>
      </c>
      <c r="D19" s="127">
        <f t="shared" si="2"/>
        <v>0</v>
      </c>
      <c r="E19" s="127">
        <f t="shared" si="13"/>
        <v>9.5399999999999991</v>
      </c>
      <c r="F19" s="130">
        <f>Parameters!$B$32*'Pump Data'!$L$21^2+Parameters!$B$33*'Pump Data'!$L$21+Parameters!$B$34</f>
        <v>115.93397007999999</v>
      </c>
      <c r="G19" s="130">
        <f t="shared" si="3"/>
        <v>460.7818419490244</v>
      </c>
      <c r="H19" s="131">
        <f t="shared" si="4"/>
        <v>0.46078184194902438</v>
      </c>
      <c r="I19" s="126">
        <f t="shared" si="5"/>
        <v>12500</v>
      </c>
      <c r="J19" s="126">
        <f t="shared" si="6"/>
        <v>12.5</v>
      </c>
      <c r="K19" s="126">
        <f t="shared" si="7"/>
        <v>25000000</v>
      </c>
      <c r="L19" s="131">
        <f t="shared" si="8"/>
        <v>25</v>
      </c>
      <c r="M19" s="126">
        <f t="shared" si="9"/>
        <v>864</v>
      </c>
      <c r="N19" s="131">
        <f t="shared" si="10"/>
        <v>3.1103999999999998</v>
      </c>
      <c r="O19" s="131">
        <f t="shared" si="11"/>
        <v>28.571181841949024</v>
      </c>
      <c r="P19" s="8">
        <f t="shared" si="12"/>
        <v>9540</v>
      </c>
      <c r="Q19" s="8">
        <f>IF(Parameters!$G$29="y",IF(INT($P19/Parameters!$K$29)&gt;INT($P18/Parameters!$K$29),1,0),0)</f>
        <v>0</v>
      </c>
      <c r="R19" s="8">
        <f>IF(Parameters!$G$30="y",IF(INT($P19/Parameters!$K$30)&gt;INT($P18/Parameters!$K$30),1,0),0)</f>
        <v>0</v>
      </c>
      <c r="S19" s="8">
        <f>IF(INT($P19/Parameters!$K$31)&gt;INT($P18/Parameters!$K$31),1,0)</f>
        <v>0</v>
      </c>
      <c r="T19" s="76">
        <f t="shared" si="0"/>
        <v>0</v>
      </c>
      <c r="U19" s="8">
        <f>C18/'Pump Data'!$L$21*1000/60</f>
        <v>1.0444010053057802</v>
      </c>
      <c r="V19" s="8"/>
      <c r="W19" s="8"/>
    </row>
    <row r="20" spans="1:23" ht="15.75" customHeight="1" x14ac:dyDescent="0.45">
      <c r="A20" s="125">
        <v>41648</v>
      </c>
      <c r="B20" s="126">
        <v>34</v>
      </c>
      <c r="C20" s="127">
        <f t="shared" si="1"/>
        <v>2.5</v>
      </c>
      <c r="D20" s="127">
        <f t="shared" si="2"/>
        <v>0</v>
      </c>
      <c r="E20" s="127">
        <f t="shared" si="13"/>
        <v>12.04</v>
      </c>
      <c r="F20" s="130">
        <f>Parameters!$B$32*'Pump Data'!$L$21^2+Parameters!$B$33*'Pump Data'!$L$21+Parameters!$B$34</f>
        <v>115.93397007999999</v>
      </c>
      <c r="G20" s="130">
        <f t="shared" si="3"/>
        <v>460.7818419490244</v>
      </c>
      <c r="H20" s="131">
        <f t="shared" si="4"/>
        <v>0.46078184194902438</v>
      </c>
      <c r="I20" s="126">
        <f t="shared" si="5"/>
        <v>12500</v>
      </c>
      <c r="J20" s="126">
        <f t="shared" si="6"/>
        <v>12.5</v>
      </c>
      <c r="K20" s="126">
        <f t="shared" si="7"/>
        <v>25000000</v>
      </c>
      <c r="L20" s="131">
        <f t="shared" si="8"/>
        <v>25</v>
      </c>
      <c r="M20" s="126">
        <f t="shared" si="9"/>
        <v>864</v>
      </c>
      <c r="N20" s="131">
        <f t="shared" si="10"/>
        <v>3.1103999999999998</v>
      </c>
      <c r="O20" s="131">
        <f t="shared" si="11"/>
        <v>28.571181841949024</v>
      </c>
      <c r="P20" s="8">
        <f t="shared" si="12"/>
        <v>12040</v>
      </c>
      <c r="Q20" s="8">
        <f>IF(Parameters!$G$29="y",IF(INT($P20/Parameters!$K$29)&gt;INT($P19/Parameters!$K$29),1,0),0)</f>
        <v>0</v>
      </c>
      <c r="R20" s="8">
        <f>IF(Parameters!$G$30="y",IF(INT($P20/Parameters!$K$30)&gt;INT($P19/Parameters!$K$30),1,0),0)</f>
        <v>0</v>
      </c>
      <c r="S20" s="8">
        <f>IF(INT($P20/Parameters!$K$31)&gt;INT($P19/Parameters!$K$31),1,0)</f>
        <v>0</v>
      </c>
      <c r="T20" s="76">
        <f t="shared" si="0"/>
        <v>0</v>
      </c>
      <c r="U20" s="8">
        <f>C19/'Pump Data'!$L$21*1000/60</f>
        <v>1.1635483570697196</v>
      </c>
      <c r="V20" s="8"/>
      <c r="W20" s="8"/>
    </row>
    <row r="21" spans="1:23" ht="15.75" customHeight="1" x14ac:dyDescent="0.45">
      <c r="A21" s="125">
        <v>41649</v>
      </c>
      <c r="B21" s="126">
        <v>44.6</v>
      </c>
      <c r="C21" s="127">
        <f t="shared" si="1"/>
        <v>2.5</v>
      </c>
      <c r="D21" s="127">
        <f t="shared" si="2"/>
        <v>0</v>
      </c>
      <c r="E21" s="127">
        <f t="shared" si="13"/>
        <v>14.54</v>
      </c>
      <c r="F21" s="130">
        <f>Parameters!$B$32*'Pump Data'!$L$21^2+Parameters!$B$33*'Pump Data'!$L$21+Parameters!$B$34</f>
        <v>115.93397007999999</v>
      </c>
      <c r="G21" s="130">
        <f t="shared" si="3"/>
        <v>460.7818419490244</v>
      </c>
      <c r="H21" s="131">
        <f t="shared" si="4"/>
        <v>0.46078184194902438</v>
      </c>
      <c r="I21" s="126">
        <f t="shared" si="5"/>
        <v>12500</v>
      </c>
      <c r="J21" s="126">
        <f t="shared" si="6"/>
        <v>12.5</v>
      </c>
      <c r="K21" s="126">
        <f t="shared" si="7"/>
        <v>25000000</v>
      </c>
      <c r="L21" s="131">
        <f t="shared" si="8"/>
        <v>25</v>
      </c>
      <c r="M21" s="126">
        <f t="shared" si="9"/>
        <v>864</v>
      </c>
      <c r="N21" s="131">
        <f t="shared" si="10"/>
        <v>3.1103999999999998</v>
      </c>
      <c r="O21" s="131">
        <f t="shared" si="11"/>
        <v>28.571181841949024</v>
      </c>
      <c r="P21" s="8">
        <f t="shared" si="12"/>
        <v>14540</v>
      </c>
      <c r="Q21" s="8">
        <f>IF(Parameters!$G$29="y",IF(INT($P21/Parameters!$K$29)&gt;INT($P20/Parameters!$K$29),1,0),0)</f>
        <v>0</v>
      </c>
      <c r="R21" s="8">
        <f>IF(Parameters!$G$30="y",IF(INT($P21/Parameters!$K$30)&gt;INT($P20/Parameters!$K$30),1,0),0)</f>
        <v>0</v>
      </c>
      <c r="S21" s="8">
        <f>IF(INT($P21/Parameters!$K$31)&gt;INT($P20/Parameters!$K$31),1,0)</f>
        <v>0</v>
      </c>
      <c r="T21" s="76">
        <f t="shared" si="0"/>
        <v>0</v>
      </c>
      <c r="U21" s="8">
        <f>C20/'Pump Data'!$L$21*1000/60</f>
        <v>1.1635483570697196</v>
      </c>
      <c r="V21" s="8"/>
      <c r="W21" s="8"/>
    </row>
    <row r="22" spans="1:23" ht="15.75" customHeight="1" x14ac:dyDescent="0.45">
      <c r="A22" s="125">
        <v>41650</v>
      </c>
      <c r="B22" s="126">
        <v>14.4</v>
      </c>
      <c r="C22" s="127">
        <f t="shared" si="1"/>
        <v>1.5839999999999999</v>
      </c>
      <c r="D22" s="127">
        <f t="shared" si="2"/>
        <v>0</v>
      </c>
      <c r="E22" s="127">
        <f t="shared" si="13"/>
        <v>16.123999999999999</v>
      </c>
      <c r="F22" s="130">
        <f>Parameters!$B$32*'Pump Data'!$L$21^2+Parameters!$B$33*'Pump Data'!$L$21+Parameters!$B$34</f>
        <v>115.93397007999999</v>
      </c>
      <c r="G22" s="130">
        <f t="shared" si="3"/>
        <v>291.95137505890182</v>
      </c>
      <c r="H22" s="131">
        <f t="shared" si="4"/>
        <v>0.29195137505890184</v>
      </c>
      <c r="I22" s="126">
        <f t="shared" si="5"/>
        <v>7919.9999999999982</v>
      </c>
      <c r="J22" s="126">
        <f t="shared" si="6"/>
        <v>7.9199999999999982</v>
      </c>
      <c r="K22" s="126">
        <f t="shared" si="7"/>
        <v>15839999.999999996</v>
      </c>
      <c r="L22" s="131">
        <f t="shared" si="8"/>
        <v>15.839999999999996</v>
      </c>
      <c r="M22" s="126">
        <f t="shared" si="9"/>
        <v>864</v>
      </c>
      <c r="N22" s="131">
        <f t="shared" si="10"/>
        <v>3.1103999999999998</v>
      </c>
      <c r="O22" s="131">
        <f t="shared" si="11"/>
        <v>19.242351375058895</v>
      </c>
      <c r="P22" s="8">
        <f t="shared" si="12"/>
        <v>16123.999999999998</v>
      </c>
      <c r="Q22" s="8">
        <f>IF(Parameters!$G$29="y",IF(INT($P22/Parameters!$K$29)&gt;INT($P21/Parameters!$K$29),1,0),0)</f>
        <v>0</v>
      </c>
      <c r="R22" s="8">
        <f>IF(Parameters!$G$30="y",IF(INT($P22/Parameters!$K$30)&gt;INT($P21/Parameters!$K$30),1,0),0)</f>
        <v>0</v>
      </c>
      <c r="S22" s="8">
        <f>IF(INT($P22/Parameters!$K$31)&gt;INT($P21/Parameters!$K$31),1,0)</f>
        <v>0</v>
      </c>
      <c r="T22" s="76">
        <f t="shared" si="0"/>
        <v>0</v>
      </c>
      <c r="U22" s="8">
        <f>C21/'Pump Data'!$L$21*1000/60</f>
        <v>1.1635483570697196</v>
      </c>
      <c r="V22" s="8"/>
      <c r="W22" s="8"/>
    </row>
    <row r="23" spans="1:23" ht="15.75" customHeight="1" x14ac:dyDescent="0.45">
      <c r="A23" s="125">
        <v>41651</v>
      </c>
      <c r="B23" s="126">
        <v>50.2</v>
      </c>
      <c r="C23" s="127">
        <f t="shared" si="1"/>
        <v>2.5</v>
      </c>
      <c r="D23" s="127">
        <f t="shared" si="2"/>
        <v>0</v>
      </c>
      <c r="E23" s="127">
        <f t="shared" si="13"/>
        <v>18.623999999999999</v>
      </c>
      <c r="F23" s="130">
        <f>Parameters!$B$32*'Pump Data'!$L$21^2+Parameters!$B$33*'Pump Data'!$L$21+Parameters!$B$34</f>
        <v>115.93397007999999</v>
      </c>
      <c r="G23" s="130">
        <f t="shared" si="3"/>
        <v>460.7818419490244</v>
      </c>
      <c r="H23" s="131">
        <f t="shared" si="4"/>
        <v>0.46078184194902438</v>
      </c>
      <c r="I23" s="126">
        <f t="shared" si="5"/>
        <v>12500</v>
      </c>
      <c r="J23" s="126">
        <f t="shared" si="6"/>
        <v>12.5</v>
      </c>
      <c r="K23" s="126">
        <f t="shared" si="7"/>
        <v>25000000</v>
      </c>
      <c r="L23" s="131">
        <f t="shared" si="8"/>
        <v>25</v>
      </c>
      <c r="M23" s="126">
        <f t="shared" si="9"/>
        <v>864</v>
      </c>
      <c r="N23" s="131">
        <f t="shared" si="10"/>
        <v>3.1103999999999998</v>
      </c>
      <c r="O23" s="131">
        <f t="shared" si="11"/>
        <v>28.571181841949024</v>
      </c>
      <c r="P23" s="8">
        <f t="shared" si="12"/>
        <v>18624</v>
      </c>
      <c r="Q23" s="8">
        <f>IF(Parameters!$G$29="y",IF(INT($P23/Parameters!$K$29)&gt;INT($P22/Parameters!$K$29),1,0),0)</f>
        <v>0</v>
      </c>
      <c r="R23" s="8">
        <f>IF(Parameters!$G$30="y",IF(INT($P23/Parameters!$K$30)&gt;INT($P22/Parameters!$K$30),1,0),0)</f>
        <v>0</v>
      </c>
      <c r="S23" s="8">
        <f>IF(INT($P23/Parameters!$K$31)&gt;INT($P22/Parameters!$K$31),1,0)</f>
        <v>0</v>
      </c>
      <c r="T23" s="76">
        <f t="shared" si="0"/>
        <v>0</v>
      </c>
      <c r="U23" s="8">
        <f>C22/'Pump Data'!$L$21*1000/60</f>
        <v>0.7372242390393744</v>
      </c>
      <c r="V23" s="8"/>
      <c r="W23" s="8"/>
    </row>
    <row r="24" spans="1:23" ht="15.75" customHeight="1" x14ac:dyDescent="0.45">
      <c r="A24" s="125">
        <v>41652</v>
      </c>
      <c r="B24" s="126">
        <v>9.6</v>
      </c>
      <c r="C24" s="127">
        <f t="shared" si="1"/>
        <v>1.0559999999999998</v>
      </c>
      <c r="D24" s="127">
        <f t="shared" si="2"/>
        <v>0</v>
      </c>
      <c r="E24" s="127">
        <f t="shared" si="13"/>
        <v>19.68</v>
      </c>
      <c r="F24" s="130">
        <f>Parameters!$B$32*'Pump Data'!$L$21^2+Parameters!$B$33*'Pump Data'!$L$21+Parameters!$B$34</f>
        <v>115.93397007999999</v>
      </c>
      <c r="G24" s="130">
        <f t="shared" si="3"/>
        <v>194.63425003926787</v>
      </c>
      <c r="H24" s="131">
        <f t="shared" si="4"/>
        <v>0.19463425003926788</v>
      </c>
      <c r="I24" s="126">
        <f t="shared" si="5"/>
        <v>5279.9999999999982</v>
      </c>
      <c r="J24" s="126">
        <f t="shared" si="6"/>
        <v>5.2799999999999985</v>
      </c>
      <c r="K24" s="126">
        <f t="shared" si="7"/>
        <v>10559999.999999996</v>
      </c>
      <c r="L24" s="131">
        <f t="shared" si="8"/>
        <v>10.559999999999997</v>
      </c>
      <c r="M24" s="126">
        <f t="shared" si="9"/>
        <v>864</v>
      </c>
      <c r="N24" s="131">
        <f t="shared" si="10"/>
        <v>3.1103999999999998</v>
      </c>
      <c r="O24" s="131">
        <f t="shared" si="11"/>
        <v>13.865034250039265</v>
      </c>
      <c r="P24" s="8">
        <f t="shared" si="12"/>
        <v>19680</v>
      </c>
      <c r="Q24" s="8">
        <f>IF(Parameters!$G$29="y",IF(INT($P24/Parameters!$K$29)&gt;INT($P23/Parameters!$K$29),1,0),0)</f>
        <v>0</v>
      </c>
      <c r="R24" s="8">
        <f>IF(Parameters!$G$30="y",IF(INT($P24/Parameters!$K$30)&gt;INT($P23/Parameters!$K$30),1,0),0)</f>
        <v>0</v>
      </c>
      <c r="S24" s="8">
        <f>IF(INT($P24/Parameters!$K$31)&gt;INT($P23/Parameters!$K$31),1,0)</f>
        <v>0</v>
      </c>
      <c r="T24" s="76">
        <f t="shared" si="0"/>
        <v>0</v>
      </c>
      <c r="U24" s="8">
        <f>C23/'Pump Data'!$L$21*1000/60</f>
        <v>1.1635483570697196</v>
      </c>
      <c r="V24" s="8"/>
      <c r="W24" s="8"/>
    </row>
    <row r="25" spans="1:23" ht="15.75" customHeight="1" x14ac:dyDescent="0.45">
      <c r="A25" s="125">
        <v>41653</v>
      </c>
      <c r="B25" s="126">
        <v>5.8</v>
      </c>
      <c r="C25" s="127">
        <f t="shared" si="1"/>
        <v>0.6379999999999999</v>
      </c>
      <c r="D25" s="127">
        <f t="shared" si="2"/>
        <v>0</v>
      </c>
      <c r="E25" s="127">
        <f t="shared" si="13"/>
        <v>20.317999999999998</v>
      </c>
      <c r="F25" s="130">
        <f>Parameters!$B$32*'Pump Data'!$L$21^2+Parameters!$B$33*'Pump Data'!$L$21+Parameters!$B$34</f>
        <v>115.93397007999999</v>
      </c>
      <c r="G25" s="130">
        <f t="shared" si="3"/>
        <v>117.59152606539101</v>
      </c>
      <c r="H25" s="131">
        <f t="shared" si="4"/>
        <v>0.11759152606539101</v>
      </c>
      <c r="I25" s="126">
        <f t="shared" si="5"/>
        <v>3189.9999999999991</v>
      </c>
      <c r="J25" s="126">
        <f t="shared" si="6"/>
        <v>3.1899999999999991</v>
      </c>
      <c r="K25" s="126">
        <f t="shared" si="7"/>
        <v>6379999.9999999981</v>
      </c>
      <c r="L25" s="131">
        <f t="shared" si="8"/>
        <v>6.3799999999999981</v>
      </c>
      <c r="M25" s="126">
        <f t="shared" si="9"/>
        <v>864</v>
      </c>
      <c r="N25" s="131">
        <f t="shared" si="10"/>
        <v>3.1103999999999998</v>
      </c>
      <c r="O25" s="131">
        <f t="shared" si="11"/>
        <v>9.6079915260653888</v>
      </c>
      <c r="P25" s="8">
        <f t="shared" si="12"/>
        <v>20317.999999999996</v>
      </c>
      <c r="Q25" s="8">
        <f>IF(Parameters!$G$29="y",IF(INT($P25/Parameters!$K$29)&gt;INT($P24/Parameters!$K$29),1,0),0)</f>
        <v>0</v>
      </c>
      <c r="R25" s="8">
        <f>IF(Parameters!$G$30="y",IF(INT($P25/Parameters!$K$30)&gt;INT($P24/Parameters!$K$30),1,0),0)</f>
        <v>1</v>
      </c>
      <c r="S25" s="8">
        <f>IF(INT($P25/Parameters!$K$31)&gt;INT($P24/Parameters!$K$31),1,0)</f>
        <v>1</v>
      </c>
      <c r="T25" s="76">
        <f t="shared" si="0"/>
        <v>1</v>
      </c>
      <c r="U25" s="8">
        <f>C24/'Pump Data'!$L$21*1000/60</f>
        <v>0.49148282602624954</v>
      </c>
      <c r="V25" s="8"/>
      <c r="W25" s="8"/>
    </row>
    <row r="26" spans="1:23" ht="15.75" customHeight="1" x14ac:dyDescent="0.45">
      <c r="A26" s="125">
        <v>41654</v>
      </c>
      <c r="B26" s="126">
        <v>1.6</v>
      </c>
      <c r="C26" s="127">
        <f t="shared" si="1"/>
        <v>0.17600000000000002</v>
      </c>
      <c r="D26" s="127">
        <f t="shared" si="2"/>
        <v>0</v>
      </c>
      <c r="E26" s="127">
        <f t="shared" si="13"/>
        <v>20.493999999999996</v>
      </c>
      <c r="F26" s="130">
        <f>Parameters!$B$32*'Pump Data'!$L$21^2+Parameters!$B$33*'Pump Data'!$L$21+Parameters!$B$34</f>
        <v>115.93397007999999</v>
      </c>
      <c r="G26" s="130">
        <f t="shared" si="3"/>
        <v>32.439041673211321</v>
      </c>
      <c r="H26" s="131">
        <f t="shared" si="4"/>
        <v>3.2439041673211322E-2</v>
      </c>
      <c r="I26" s="126">
        <f t="shared" si="5"/>
        <v>880.00000000000023</v>
      </c>
      <c r="J26" s="126">
        <f t="shared" si="6"/>
        <v>0.88000000000000023</v>
      </c>
      <c r="K26" s="126">
        <f t="shared" si="7"/>
        <v>1760000.0000000005</v>
      </c>
      <c r="L26" s="131">
        <f t="shared" si="8"/>
        <v>1.7600000000000005</v>
      </c>
      <c r="M26" s="126">
        <f t="shared" si="9"/>
        <v>864</v>
      </c>
      <c r="N26" s="131">
        <f t="shared" si="10"/>
        <v>3.1103999999999998</v>
      </c>
      <c r="O26" s="131">
        <f t="shared" si="11"/>
        <v>4.9028390416732117</v>
      </c>
      <c r="P26" s="8">
        <f t="shared" si="12"/>
        <v>20493.999999999996</v>
      </c>
      <c r="Q26" s="8">
        <f>IF(Parameters!$G$29="y",IF(INT($P26/Parameters!$K$29)&gt;INT($P25/Parameters!$K$29),1,0),0)</f>
        <v>0</v>
      </c>
      <c r="R26" s="8">
        <f>IF(Parameters!$G$30="y",IF(INT($P26/Parameters!$K$30)&gt;INT($P25/Parameters!$K$30),1,0),0)</f>
        <v>0</v>
      </c>
      <c r="S26" s="8">
        <f>IF(INT($P26/Parameters!$K$31)&gt;INT($P25/Parameters!$K$31),1,0)</f>
        <v>0</v>
      </c>
      <c r="T26" s="76">
        <f t="shared" si="0"/>
        <v>0</v>
      </c>
      <c r="U26" s="8">
        <f>C25/'Pump Data'!$L$21*1000/60</f>
        <v>0.29693754072419243</v>
      </c>
      <c r="V26" s="8"/>
      <c r="W26" s="8"/>
    </row>
    <row r="27" spans="1:23" ht="15.75" customHeight="1" x14ac:dyDescent="0.45">
      <c r="A27" s="125">
        <v>41655</v>
      </c>
      <c r="B27" s="126">
        <v>0.8</v>
      </c>
      <c r="C27" s="127">
        <f t="shared" si="1"/>
        <v>8.8000000000000009E-2</v>
      </c>
      <c r="D27" s="127">
        <f t="shared" si="2"/>
        <v>0</v>
      </c>
      <c r="E27" s="127">
        <f t="shared" si="13"/>
        <v>20.581999999999997</v>
      </c>
      <c r="F27" s="130">
        <f>Parameters!$B$32*'Pump Data'!$L$21^2+Parameters!$B$33*'Pump Data'!$L$21+Parameters!$B$34</f>
        <v>115.93397007999999</v>
      </c>
      <c r="G27" s="130">
        <f t="shared" si="3"/>
        <v>16.21952083660566</v>
      </c>
      <c r="H27" s="131">
        <f t="shared" si="4"/>
        <v>1.6219520836605661E-2</v>
      </c>
      <c r="I27" s="126">
        <f t="shared" si="5"/>
        <v>440.00000000000011</v>
      </c>
      <c r="J27" s="126">
        <f t="shared" si="6"/>
        <v>0.44000000000000011</v>
      </c>
      <c r="K27" s="126">
        <f t="shared" si="7"/>
        <v>880000.00000000023</v>
      </c>
      <c r="L27" s="131">
        <f t="shared" si="8"/>
        <v>0.88000000000000023</v>
      </c>
      <c r="M27" s="126">
        <f t="shared" si="9"/>
        <v>864</v>
      </c>
      <c r="N27" s="131">
        <f t="shared" si="10"/>
        <v>3.1103999999999998</v>
      </c>
      <c r="O27" s="131">
        <f t="shared" si="11"/>
        <v>4.0066195208366056</v>
      </c>
      <c r="P27" s="8">
        <f t="shared" si="12"/>
        <v>20581.999999999996</v>
      </c>
      <c r="Q27" s="8">
        <f>IF(Parameters!$G$29="y",IF(INT($P27/Parameters!$K$29)&gt;INT($P26/Parameters!$K$29),1,0),0)</f>
        <v>0</v>
      </c>
      <c r="R27" s="8">
        <f>IF(Parameters!$G$30="y",IF(INT($P27/Parameters!$K$30)&gt;INT($P26/Parameters!$K$30),1,0),0)</f>
        <v>0</v>
      </c>
      <c r="S27" s="8">
        <f>IF(INT($P27/Parameters!$K$31)&gt;INT($P26/Parameters!$K$31),1,0)</f>
        <v>0</v>
      </c>
      <c r="T27" s="76">
        <f t="shared" si="0"/>
        <v>0</v>
      </c>
      <c r="U27" s="8">
        <f>C26/'Pump Data'!$L$21*1000/60</f>
        <v>8.1913804337708285E-2</v>
      </c>
      <c r="V27" s="8"/>
      <c r="W27" s="8"/>
    </row>
    <row r="28" spans="1:23" ht="14.25" x14ac:dyDescent="0.45">
      <c r="A28" s="125">
        <v>41656</v>
      </c>
      <c r="B28" s="126">
        <v>0</v>
      </c>
      <c r="C28" s="127">
        <f t="shared" si="1"/>
        <v>0</v>
      </c>
      <c r="D28" s="127">
        <f t="shared" si="2"/>
        <v>0</v>
      </c>
      <c r="E28" s="127">
        <f t="shared" si="13"/>
        <v>20.581999999999997</v>
      </c>
      <c r="F28" s="130">
        <f>Parameters!$B$32*'Pump Data'!$L$21^2+Parameters!$B$33*'Pump Data'!$L$21+Parameters!$B$34</f>
        <v>115.93397007999999</v>
      </c>
      <c r="G28" s="130">
        <f t="shared" si="3"/>
        <v>0</v>
      </c>
      <c r="H28" s="131">
        <f t="shared" si="4"/>
        <v>0</v>
      </c>
      <c r="I28" s="126">
        <f t="shared" si="5"/>
        <v>0</v>
      </c>
      <c r="J28" s="126">
        <f t="shared" si="6"/>
        <v>0</v>
      </c>
      <c r="K28" s="126">
        <f t="shared" si="7"/>
        <v>0</v>
      </c>
      <c r="L28" s="131">
        <f t="shared" si="8"/>
        <v>0</v>
      </c>
      <c r="M28" s="126">
        <f t="shared" si="9"/>
        <v>864</v>
      </c>
      <c r="N28" s="131">
        <f t="shared" si="10"/>
        <v>3.1103999999999998</v>
      </c>
      <c r="O28" s="131">
        <f t="shared" si="11"/>
        <v>3.1103999999999998</v>
      </c>
      <c r="P28" s="8">
        <f t="shared" si="12"/>
        <v>20581.999999999996</v>
      </c>
      <c r="Q28" s="8">
        <f>IF(Parameters!$G$29="y",IF(INT($P28/Parameters!$K$29)&gt;INT($P27/Parameters!$K$29),1,0),0)</f>
        <v>0</v>
      </c>
      <c r="R28" s="8">
        <f>IF(Parameters!$G$30="y",IF(INT($P28/Parameters!$K$30)&gt;INT($P27/Parameters!$K$30),1,0),0)</f>
        <v>0</v>
      </c>
      <c r="S28" s="8">
        <f>IF(INT($P28/Parameters!$K$31)&gt;INT($P27/Parameters!$K$31),1,0)</f>
        <v>0</v>
      </c>
      <c r="T28" s="76">
        <f t="shared" si="0"/>
        <v>0</v>
      </c>
      <c r="U28" s="8">
        <f>C27/'Pump Data'!$L$21*1000/60</f>
        <v>4.0956902168854142E-2</v>
      </c>
      <c r="V28" s="8"/>
      <c r="W28" s="8"/>
    </row>
    <row r="29" spans="1:23" ht="14.25" x14ac:dyDescent="0.45">
      <c r="A29" s="125">
        <v>41657</v>
      </c>
      <c r="B29" s="126">
        <v>2.6</v>
      </c>
      <c r="C29" s="127">
        <f t="shared" si="1"/>
        <v>0.28599999999999998</v>
      </c>
      <c r="D29" s="127">
        <f t="shared" si="2"/>
        <v>0</v>
      </c>
      <c r="E29" s="127">
        <f t="shared" si="13"/>
        <v>20.867999999999999</v>
      </c>
      <c r="F29" s="130">
        <f>Parameters!$B$32*'Pump Data'!$L$21^2+Parameters!$B$33*'Pump Data'!$L$21+Parameters!$B$34</f>
        <v>115.93397007999999</v>
      </c>
      <c r="G29" s="130">
        <f t="shared" si="3"/>
        <v>52.713442718968395</v>
      </c>
      <c r="H29" s="131">
        <f t="shared" si="4"/>
        <v>5.2713442718968398E-2</v>
      </c>
      <c r="I29" s="126">
        <f t="shared" si="5"/>
        <v>1430</v>
      </c>
      <c r="J29" s="126">
        <f t="shared" si="6"/>
        <v>1.43</v>
      </c>
      <c r="K29" s="126">
        <f t="shared" si="7"/>
        <v>2860000</v>
      </c>
      <c r="L29" s="131">
        <f t="shared" si="8"/>
        <v>2.86</v>
      </c>
      <c r="M29" s="126">
        <f t="shared" si="9"/>
        <v>864</v>
      </c>
      <c r="N29" s="131">
        <f t="shared" si="10"/>
        <v>3.1103999999999998</v>
      </c>
      <c r="O29" s="131">
        <f t="shared" si="11"/>
        <v>6.0231134427189676</v>
      </c>
      <c r="P29" s="8">
        <f t="shared" si="12"/>
        <v>20868</v>
      </c>
      <c r="Q29" s="8">
        <f>IF(Parameters!$G$29="y",IF(INT($P29/Parameters!$K$29)&gt;INT($P28/Parameters!$K$29),1,0),0)</f>
        <v>0</v>
      </c>
      <c r="R29" s="8">
        <f>IF(Parameters!$G$30="y",IF(INT($P29/Parameters!$K$30)&gt;INT($P28/Parameters!$K$30),1,0),0)</f>
        <v>0</v>
      </c>
      <c r="S29" s="8">
        <f>IF(INT($P29/Parameters!$K$31)&gt;INT($P28/Parameters!$K$31),1,0)</f>
        <v>0</v>
      </c>
      <c r="T29" s="76">
        <f t="shared" si="0"/>
        <v>0</v>
      </c>
      <c r="U29" s="8">
        <f>C28/'Pump Data'!$L$21*1000/60</f>
        <v>0</v>
      </c>
      <c r="V29" s="8"/>
      <c r="W29" s="8"/>
    </row>
    <row r="30" spans="1:23" ht="14.25" x14ac:dyDescent="0.45">
      <c r="A30" s="125">
        <v>41658</v>
      </c>
      <c r="B30" s="126">
        <v>1</v>
      </c>
      <c r="C30" s="127">
        <f t="shared" si="1"/>
        <v>0.11</v>
      </c>
      <c r="D30" s="127">
        <f t="shared" si="2"/>
        <v>0</v>
      </c>
      <c r="E30" s="127">
        <f t="shared" si="13"/>
        <v>20.977999999999998</v>
      </c>
      <c r="F30" s="130">
        <f>Parameters!$B$32*'Pump Data'!$L$21^2+Parameters!$B$33*'Pump Data'!$L$21+Parameters!$B$34</f>
        <v>115.93397007999999</v>
      </c>
      <c r="G30" s="130">
        <f t="shared" si="3"/>
        <v>20.274401045757074</v>
      </c>
      <c r="H30" s="131">
        <f t="shared" si="4"/>
        <v>2.0274401045757073E-2</v>
      </c>
      <c r="I30" s="126">
        <f t="shared" si="5"/>
        <v>550</v>
      </c>
      <c r="J30" s="126">
        <f t="shared" si="6"/>
        <v>0.55000000000000004</v>
      </c>
      <c r="K30" s="126">
        <f t="shared" si="7"/>
        <v>1100000</v>
      </c>
      <c r="L30" s="131">
        <f t="shared" si="8"/>
        <v>1.1000000000000001</v>
      </c>
      <c r="M30" s="126">
        <f t="shared" si="9"/>
        <v>864</v>
      </c>
      <c r="N30" s="131">
        <f t="shared" si="10"/>
        <v>3.1103999999999998</v>
      </c>
      <c r="O30" s="131">
        <f t="shared" si="11"/>
        <v>4.2306744010457571</v>
      </c>
      <c r="P30" s="8">
        <f t="shared" si="12"/>
        <v>20977.999999999996</v>
      </c>
      <c r="Q30" s="8">
        <f>IF(Parameters!$G$29="y",IF(INT($P30/Parameters!$K$29)&gt;INT($P29/Parameters!$K$29),1,0),0)</f>
        <v>0</v>
      </c>
      <c r="R30" s="8">
        <f>IF(Parameters!$G$30="y",IF(INT($P30/Parameters!$K$30)&gt;INT($P29/Parameters!$K$30),1,0),0)</f>
        <v>0</v>
      </c>
      <c r="S30" s="8">
        <f>IF(INT($P30/Parameters!$K$31)&gt;INT($P29/Parameters!$K$31),1,0)</f>
        <v>0</v>
      </c>
      <c r="T30" s="76">
        <f t="shared" si="0"/>
        <v>0</v>
      </c>
      <c r="U30" s="8">
        <f>C29/'Pump Data'!$L$21*1000/60</f>
        <v>0.13310993204877591</v>
      </c>
      <c r="V30" s="8"/>
      <c r="W30" s="8"/>
    </row>
    <row r="31" spans="1:23" ht="14.25" x14ac:dyDescent="0.45">
      <c r="A31" s="125">
        <v>41659</v>
      </c>
      <c r="B31" s="126">
        <v>0.6</v>
      </c>
      <c r="C31" s="127">
        <f t="shared" si="1"/>
        <v>6.5999999999999989E-2</v>
      </c>
      <c r="D31" s="127">
        <f t="shared" si="2"/>
        <v>0</v>
      </c>
      <c r="E31" s="127">
        <f t="shared" si="13"/>
        <v>21.043999999999997</v>
      </c>
      <c r="F31" s="130">
        <f>Parameters!$B$32*'Pump Data'!$L$21^2+Parameters!$B$33*'Pump Data'!$L$21+Parameters!$B$34</f>
        <v>115.93397007999999</v>
      </c>
      <c r="G31" s="130">
        <f t="shared" si="3"/>
        <v>12.164640627454242</v>
      </c>
      <c r="H31" s="131">
        <f t="shared" si="4"/>
        <v>1.2164640627454242E-2</v>
      </c>
      <c r="I31" s="126">
        <f t="shared" si="5"/>
        <v>329.99999999999989</v>
      </c>
      <c r="J31" s="126">
        <f t="shared" si="6"/>
        <v>0.3299999999999999</v>
      </c>
      <c r="K31" s="126">
        <f t="shared" si="7"/>
        <v>659999.99999999977</v>
      </c>
      <c r="L31" s="131">
        <f t="shared" si="8"/>
        <v>0.65999999999999981</v>
      </c>
      <c r="M31" s="126">
        <f t="shared" si="9"/>
        <v>864</v>
      </c>
      <c r="N31" s="131">
        <f t="shared" si="10"/>
        <v>3.1103999999999998</v>
      </c>
      <c r="O31" s="131">
        <f t="shared" si="11"/>
        <v>3.782564640627454</v>
      </c>
      <c r="P31" s="8">
        <f t="shared" si="12"/>
        <v>21043.999999999996</v>
      </c>
      <c r="Q31" s="8">
        <f>IF(Parameters!$G$29="y",IF(INT($P31/Parameters!$K$29)&gt;INT($P30/Parameters!$K$29),1,0),0)</f>
        <v>0</v>
      </c>
      <c r="R31" s="8">
        <f>IF(Parameters!$G$30="y",IF(INT($P31/Parameters!$K$30)&gt;INT($P30/Parameters!$K$30),1,0),0)</f>
        <v>0</v>
      </c>
      <c r="S31" s="8">
        <f>IF(INT($P31/Parameters!$K$31)&gt;INT($P30/Parameters!$K$31),1,0)</f>
        <v>0</v>
      </c>
      <c r="T31" s="76">
        <f t="shared" si="0"/>
        <v>0</v>
      </c>
      <c r="U31" s="8">
        <f>C30/'Pump Data'!$L$21*1000/60</f>
        <v>5.1196127711067671E-2</v>
      </c>
      <c r="V31" s="8"/>
      <c r="W31" s="8"/>
    </row>
    <row r="32" spans="1:23" ht="14.25" x14ac:dyDescent="0.45">
      <c r="A32" s="125">
        <v>41660</v>
      </c>
      <c r="B32" s="126">
        <v>0.8</v>
      </c>
      <c r="C32" s="127">
        <f t="shared" si="1"/>
        <v>8.8000000000000009E-2</v>
      </c>
      <c r="D32" s="127">
        <f t="shared" si="2"/>
        <v>0</v>
      </c>
      <c r="E32" s="127">
        <f t="shared" si="13"/>
        <v>21.131999999999998</v>
      </c>
      <c r="F32" s="130">
        <f>Parameters!$B$32*'Pump Data'!$L$21^2+Parameters!$B$33*'Pump Data'!$L$21+Parameters!$B$34</f>
        <v>115.93397007999999</v>
      </c>
      <c r="G32" s="130">
        <f t="shared" si="3"/>
        <v>16.21952083660566</v>
      </c>
      <c r="H32" s="131">
        <f t="shared" si="4"/>
        <v>1.6219520836605661E-2</v>
      </c>
      <c r="I32" s="126">
        <f t="shared" si="5"/>
        <v>440.00000000000011</v>
      </c>
      <c r="J32" s="126">
        <f t="shared" si="6"/>
        <v>0.44000000000000011</v>
      </c>
      <c r="K32" s="126">
        <f t="shared" si="7"/>
        <v>880000.00000000023</v>
      </c>
      <c r="L32" s="131">
        <f t="shared" si="8"/>
        <v>0.88000000000000023</v>
      </c>
      <c r="M32" s="126">
        <f t="shared" si="9"/>
        <v>864</v>
      </c>
      <c r="N32" s="131">
        <f t="shared" si="10"/>
        <v>3.1103999999999998</v>
      </c>
      <c r="O32" s="131">
        <f t="shared" si="11"/>
        <v>4.0066195208366056</v>
      </c>
      <c r="P32" s="8">
        <f t="shared" si="12"/>
        <v>21131.999999999996</v>
      </c>
      <c r="Q32" s="8">
        <f>IF(Parameters!$G$29="y",IF(INT($P32/Parameters!$K$29)&gt;INT($P31/Parameters!$K$29),1,0),0)</f>
        <v>0</v>
      </c>
      <c r="R32" s="8">
        <f>IF(Parameters!$G$30="y",IF(INT($P32/Parameters!$K$30)&gt;INT($P31/Parameters!$K$30),1,0),0)</f>
        <v>0</v>
      </c>
      <c r="S32" s="8">
        <f>IF(INT($P32/Parameters!$K$31)&gt;INT($P31/Parameters!$K$31),1,0)</f>
        <v>0</v>
      </c>
      <c r="T32" s="76">
        <f t="shared" si="0"/>
        <v>0</v>
      </c>
      <c r="U32" s="8">
        <f>C31/'Pump Data'!$L$21*1000/60</f>
        <v>3.0717676626640596E-2</v>
      </c>
      <c r="V32" s="8"/>
      <c r="W32" s="8"/>
    </row>
    <row r="33" spans="1:23" ht="14.25" x14ac:dyDescent="0.45">
      <c r="A33" s="125">
        <v>41661</v>
      </c>
      <c r="B33" s="126">
        <v>0.6</v>
      </c>
      <c r="C33" s="127">
        <f t="shared" si="1"/>
        <v>6.5999999999999989E-2</v>
      </c>
      <c r="D33" s="127">
        <f t="shared" si="2"/>
        <v>0</v>
      </c>
      <c r="E33" s="127">
        <f t="shared" si="13"/>
        <v>21.197999999999997</v>
      </c>
      <c r="F33" s="130">
        <f>Parameters!$B$32*'Pump Data'!$L$21^2+Parameters!$B$33*'Pump Data'!$L$21+Parameters!$B$34</f>
        <v>115.93397007999999</v>
      </c>
      <c r="G33" s="130">
        <f t="shared" si="3"/>
        <v>12.164640627454242</v>
      </c>
      <c r="H33" s="131">
        <f t="shared" si="4"/>
        <v>1.2164640627454242E-2</v>
      </c>
      <c r="I33" s="126">
        <f t="shared" si="5"/>
        <v>329.99999999999989</v>
      </c>
      <c r="J33" s="126">
        <f t="shared" si="6"/>
        <v>0.3299999999999999</v>
      </c>
      <c r="K33" s="126">
        <f t="shared" si="7"/>
        <v>659999.99999999977</v>
      </c>
      <c r="L33" s="131">
        <f t="shared" si="8"/>
        <v>0.65999999999999981</v>
      </c>
      <c r="M33" s="126">
        <f t="shared" si="9"/>
        <v>864</v>
      </c>
      <c r="N33" s="131">
        <f t="shared" si="10"/>
        <v>3.1103999999999998</v>
      </c>
      <c r="O33" s="131">
        <f t="shared" si="11"/>
        <v>3.782564640627454</v>
      </c>
      <c r="P33" s="8">
        <f t="shared" si="12"/>
        <v>21197.999999999996</v>
      </c>
      <c r="Q33" s="8">
        <f>IF(Parameters!$G$29="y",IF(INT($P33/Parameters!$K$29)&gt;INT($P32/Parameters!$K$29),1,0),0)</f>
        <v>0</v>
      </c>
      <c r="R33" s="8">
        <f>IF(Parameters!$G$30="y",IF(INT($P33/Parameters!$K$30)&gt;INT($P32/Parameters!$K$30),1,0),0)</f>
        <v>0</v>
      </c>
      <c r="S33" s="8">
        <f>IF(INT($P33/Parameters!$K$31)&gt;INT($P32/Parameters!$K$31),1,0)</f>
        <v>0</v>
      </c>
      <c r="T33" s="76">
        <f t="shared" si="0"/>
        <v>0</v>
      </c>
      <c r="U33" s="8">
        <f>C32/'Pump Data'!$L$21*1000/60</f>
        <v>4.0956902168854142E-2</v>
      </c>
      <c r="V33" s="8"/>
      <c r="W33" s="8"/>
    </row>
    <row r="34" spans="1:23" ht="14.25" x14ac:dyDescent="0.45">
      <c r="A34" s="125">
        <v>41662</v>
      </c>
      <c r="B34" s="126">
        <v>0</v>
      </c>
      <c r="C34" s="127">
        <f t="shared" si="1"/>
        <v>0</v>
      </c>
      <c r="D34" s="127">
        <f t="shared" si="2"/>
        <v>0</v>
      </c>
      <c r="E34" s="127">
        <f t="shared" si="13"/>
        <v>21.197999999999997</v>
      </c>
      <c r="F34" s="130">
        <f>Parameters!$B$32*'Pump Data'!$L$21^2+Parameters!$B$33*'Pump Data'!$L$21+Parameters!$B$34</f>
        <v>115.93397007999999</v>
      </c>
      <c r="G34" s="130">
        <f t="shared" si="3"/>
        <v>0</v>
      </c>
      <c r="H34" s="131">
        <f t="shared" si="4"/>
        <v>0</v>
      </c>
      <c r="I34" s="126">
        <f t="shared" si="5"/>
        <v>0</v>
      </c>
      <c r="J34" s="126">
        <f t="shared" si="6"/>
        <v>0</v>
      </c>
      <c r="K34" s="126">
        <f t="shared" si="7"/>
        <v>0</v>
      </c>
      <c r="L34" s="131">
        <f t="shared" si="8"/>
        <v>0</v>
      </c>
      <c r="M34" s="126">
        <f t="shared" si="9"/>
        <v>864</v>
      </c>
      <c r="N34" s="131">
        <f t="shared" si="10"/>
        <v>3.1103999999999998</v>
      </c>
      <c r="O34" s="131">
        <f t="shared" si="11"/>
        <v>3.1103999999999998</v>
      </c>
      <c r="P34" s="8">
        <f t="shared" si="12"/>
        <v>21197.999999999996</v>
      </c>
      <c r="Q34" s="8">
        <f>IF(Parameters!$G$29="y",IF(INT($P34/Parameters!$K$29)&gt;INT($P33/Parameters!$K$29),1,0),0)</f>
        <v>0</v>
      </c>
      <c r="R34" s="8">
        <f>IF(Parameters!$G$30="y",IF(INT($P34/Parameters!$K$30)&gt;INT($P33/Parameters!$K$30),1,0),0)</f>
        <v>0</v>
      </c>
      <c r="S34" s="8">
        <f>IF(INT($P34/Parameters!$K$31)&gt;INT($P33/Parameters!$K$31),1,0)</f>
        <v>0</v>
      </c>
      <c r="T34" s="76">
        <f t="shared" si="0"/>
        <v>0</v>
      </c>
      <c r="U34" s="8">
        <f>C33/'Pump Data'!$L$21*1000/60</f>
        <v>3.0717676626640596E-2</v>
      </c>
      <c r="V34" s="8"/>
      <c r="W34" s="8"/>
    </row>
    <row r="35" spans="1:23" ht="14.25" x14ac:dyDescent="0.45">
      <c r="A35" s="125">
        <v>41663</v>
      </c>
      <c r="B35" s="126">
        <v>0</v>
      </c>
      <c r="C35" s="127">
        <f t="shared" si="1"/>
        <v>0</v>
      </c>
      <c r="D35" s="127">
        <f t="shared" si="2"/>
        <v>0</v>
      </c>
      <c r="E35" s="127">
        <f t="shared" si="13"/>
        <v>21.197999999999997</v>
      </c>
      <c r="F35" s="130">
        <f>Parameters!$B$32*'Pump Data'!$L$21^2+Parameters!$B$33*'Pump Data'!$L$21+Parameters!$B$34</f>
        <v>115.93397007999999</v>
      </c>
      <c r="G35" s="130">
        <f t="shared" si="3"/>
        <v>0</v>
      </c>
      <c r="H35" s="131">
        <f t="shared" si="4"/>
        <v>0</v>
      </c>
      <c r="I35" s="126">
        <f t="shared" si="5"/>
        <v>0</v>
      </c>
      <c r="J35" s="126">
        <f t="shared" si="6"/>
        <v>0</v>
      </c>
      <c r="K35" s="126">
        <f t="shared" si="7"/>
        <v>0</v>
      </c>
      <c r="L35" s="131">
        <f t="shared" si="8"/>
        <v>0</v>
      </c>
      <c r="M35" s="126">
        <f t="shared" si="9"/>
        <v>864</v>
      </c>
      <c r="N35" s="131">
        <f t="shared" si="10"/>
        <v>3.1103999999999998</v>
      </c>
      <c r="O35" s="131">
        <f t="shared" si="11"/>
        <v>3.1103999999999998</v>
      </c>
      <c r="P35" s="8">
        <f t="shared" si="12"/>
        <v>21197.999999999996</v>
      </c>
      <c r="Q35" s="8">
        <f>IF(Parameters!$G$29="y",IF(INT($P35/Parameters!$K$29)&gt;INT($P34/Parameters!$K$29),1,0),0)</f>
        <v>0</v>
      </c>
      <c r="R35" s="8">
        <f>IF(Parameters!$G$30="y",IF(INT($P35/Parameters!$K$30)&gt;INT($P34/Parameters!$K$30),1,0),0)</f>
        <v>0</v>
      </c>
      <c r="S35" s="8">
        <f>IF(INT($P35/Parameters!$K$31)&gt;INT($P34/Parameters!$K$31),1,0)</f>
        <v>0</v>
      </c>
      <c r="T35" s="76">
        <f t="shared" si="0"/>
        <v>0</v>
      </c>
      <c r="U35" s="8">
        <f>C34/'Pump Data'!$L$21*1000/60</f>
        <v>0</v>
      </c>
      <c r="V35" s="8"/>
      <c r="W35" s="8"/>
    </row>
    <row r="36" spans="1:23" ht="14.25" x14ac:dyDescent="0.45">
      <c r="A36" s="125">
        <v>41664</v>
      </c>
      <c r="B36" s="126">
        <v>0</v>
      </c>
      <c r="C36" s="127">
        <f t="shared" si="1"/>
        <v>0</v>
      </c>
      <c r="D36" s="127">
        <f t="shared" si="2"/>
        <v>0</v>
      </c>
      <c r="E36" s="127">
        <f t="shared" si="13"/>
        <v>21.197999999999997</v>
      </c>
      <c r="F36" s="130">
        <f>Parameters!$B$32*'Pump Data'!$L$21^2+Parameters!$B$33*'Pump Data'!$L$21+Parameters!$B$34</f>
        <v>115.93397007999999</v>
      </c>
      <c r="G36" s="130">
        <f t="shared" si="3"/>
        <v>0</v>
      </c>
      <c r="H36" s="131">
        <f t="shared" si="4"/>
        <v>0</v>
      </c>
      <c r="I36" s="126">
        <f t="shared" si="5"/>
        <v>0</v>
      </c>
      <c r="J36" s="126">
        <f t="shared" si="6"/>
        <v>0</v>
      </c>
      <c r="K36" s="126">
        <f t="shared" si="7"/>
        <v>0</v>
      </c>
      <c r="L36" s="131">
        <f t="shared" si="8"/>
        <v>0</v>
      </c>
      <c r="M36" s="126">
        <f t="shared" si="9"/>
        <v>864</v>
      </c>
      <c r="N36" s="131">
        <f t="shared" si="10"/>
        <v>3.1103999999999998</v>
      </c>
      <c r="O36" s="131">
        <f t="shared" si="11"/>
        <v>3.1103999999999998</v>
      </c>
      <c r="P36" s="8">
        <f t="shared" si="12"/>
        <v>21197.999999999996</v>
      </c>
      <c r="Q36" s="8">
        <f>IF(Parameters!$G$29="y",IF(INT($P36/Parameters!$K$29)&gt;INT($P35/Parameters!$K$29),1,0),0)</f>
        <v>0</v>
      </c>
      <c r="R36" s="8">
        <f>IF(Parameters!$G$30="y",IF(INT($P36/Parameters!$K$30)&gt;INT($P35/Parameters!$K$30),1,0),0)</f>
        <v>0</v>
      </c>
      <c r="S36" s="8">
        <f>IF(INT($P36/Parameters!$K$31)&gt;INT($P35/Parameters!$K$31),1,0)</f>
        <v>0</v>
      </c>
      <c r="T36" s="76">
        <f t="shared" si="0"/>
        <v>0</v>
      </c>
      <c r="U36" s="8">
        <f>C35/'Pump Data'!$L$21*1000/60</f>
        <v>0</v>
      </c>
      <c r="V36" s="8"/>
      <c r="W36" s="8"/>
    </row>
    <row r="37" spans="1:23" ht="14.25" x14ac:dyDescent="0.45">
      <c r="A37" s="125">
        <v>41665</v>
      </c>
      <c r="B37" s="126">
        <v>0</v>
      </c>
      <c r="C37" s="127">
        <f t="shared" si="1"/>
        <v>0</v>
      </c>
      <c r="D37" s="127">
        <f t="shared" si="2"/>
        <v>0</v>
      </c>
      <c r="E37" s="127">
        <f t="shared" si="13"/>
        <v>21.197999999999997</v>
      </c>
      <c r="F37" s="130">
        <f>Parameters!$B$32*'Pump Data'!$L$21^2+Parameters!$B$33*'Pump Data'!$L$21+Parameters!$B$34</f>
        <v>115.93397007999999</v>
      </c>
      <c r="G37" s="130">
        <f t="shared" si="3"/>
        <v>0</v>
      </c>
      <c r="H37" s="131">
        <f t="shared" si="4"/>
        <v>0</v>
      </c>
      <c r="I37" s="126">
        <f t="shared" si="5"/>
        <v>0</v>
      </c>
      <c r="J37" s="126">
        <f t="shared" si="6"/>
        <v>0</v>
      </c>
      <c r="K37" s="126">
        <f t="shared" si="7"/>
        <v>0</v>
      </c>
      <c r="L37" s="131">
        <f t="shared" si="8"/>
        <v>0</v>
      </c>
      <c r="M37" s="126">
        <f t="shared" si="9"/>
        <v>864</v>
      </c>
      <c r="N37" s="131">
        <f t="shared" si="10"/>
        <v>3.1103999999999998</v>
      </c>
      <c r="O37" s="131">
        <f t="shared" si="11"/>
        <v>3.1103999999999998</v>
      </c>
      <c r="P37" s="8">
        <f t="shared" si="12"/>
        <v>21197.999999999996</v>
      </c>
      <c r="Q37" s="8">
        <f>IF(Parameters!$G$29="y",IF(INT($P37/Parameters!$K$29)&gt;INT($P36/Parameters!$K$29),1,0),0)</f>
        <v>0</v>
      </c>
      <c r="R37" s="8">
        <f>IF(Parameters!$G$30="y",IF(INT($P37/Parameters!$K$30)&gt;INT($P36/Parameters!$K$30),1,0),0)</f>
        <v>0</v>
      </c>
      <c r="S37" s="8">
        <f>IF(INT($P37/Parameters!$K$31)&gt;INT($P36/Parameters!$K$31),1,0)</f>
        <v>0</v>
      </c>
      <c r="T37" s="76">
        <f t="shared" si="0"/>
        <v>0</v>
      </c>
      <c r="U37" s="8">
        <f>C36/'Pump Data'!$L$21*1000/60</f>
        <v>0</v>
      </c>
      <c r="V37" s="8"/>
      <c r="W37" s="8"/>
    </row>
    <row r="38" spans="1:23" ht="14.25" x14ac:dyDescent="0.45">
      <c r="A38" s="125">
        <v>41666</v>
      </c>
      <c r="B38" s="126">
        <v>17.600000000000001</v>
      </c>
      <c r="C38" s="127">
        <f t="shared" si="1"/>
        <v>1.9360000000000002</v>
      </c>
      <c r="D38" s="127">
        <f t="shared" si="2"/>
        <v>0</v>
      </c>
      <c r="E38" s="127">
        <f t="shared" si="13"/>
        <v>23.133999999999997</v>
      </c>
      <c r="F38" s="130">
        <f>Parameters!$B$32*'Pump Data'!$L$21^2+Parameters!$B$33*'Pump Data'!$L$21+Parameters!$B$34</f>
        <v>115.93397007999999</v>
      </c>
      <c r="G38" s="130">
        <f t="shared" si="3"/>
        <v>356.82945840532454</v>
      </c>
      <c r="H38" s="131">
        <f t="shared" si="4"/>
        <v>0.35682945840532454</v>
      </c>
      <c r="I38" s="126">
        <f t="shared" si="5"/>
        <v>9680.0000000000018</v>
      </c>
      <c r="J38" s="126">
        <f t="shared" si="6"/>
        <v>9.6800000000000015</v>
      </c>
      <c r="K38" s="126">
        <f t="shared" si="7"/>
        <v>19360000.000000004</v>
      </c>
      <c r="L38" s="131">
        <f t="shared" si="8"/>
        <v>19.360000000000003</v>
      </c>
      <c r="M38" s="126">
        <f t="shared" si="9"/>
        <v>864</v>
      </c>
      <c r="N38" s="131">
        <f t="shared" si="10"/>
        <v>3.1103999999999998</v>
      </c>
      <c r="O38" s="131">
        <f t="shared" si="11"/>
        <v>22.827229458405327</v>
      </c>
      <c r="P38" s="8">
        <f t="shared" si="12"/>
        <v>23133.999999999996</v>
      </c>
      <c r="Q38" s="8">
        <f>IF(Parameters!$G$29="y",IF(INT($P38/Parameters!$K$29)&gt;INT($P37/Parameters!$K$29),1,0),0)</f>
        <v>0</v>
      </c>
      <c r="R38" s="8">
        <f>IF(Parameters!$G$30="y",IF(INT($P38/Parameters!$K$30)&gt;INT($P37/Parameters!$K$30),1,0),0)</f>
        <v>0</v>
      </c>
      <c r="S38" s="8">
        <f>IF(INT($P38/Parameters!$K$31)&gt;INT($P37/Parameters!$K$31),1,0)</f>
        <v>0</v>
      </c>
      <c r="T38" s="76">
        <f t="shared" si="0"/>
        <v>0</v>
      </c>
      <c r="U38" s="8">
        <f>C37/'Pump Data'!$L$21*1000/60</f>
        <v>0</v>
      </c>
      <c r="V38" s="8"/>
      <c r="W38" s="8"/>
    </row>
    <row r="39" spans="1:23" ht="14.25" x14ac:dyDescent="0.45">
      <c r="A39" s="125">
        <v>41667</v>
      </c>
      <c r="B39" s="126">
        <v>0</v>
      </c>
      <c r="C39" s="127">
        <f t="shared" si="1"/>
        <v>0</v>
      </c>
      <c r="D39" s="127">
        <f t="shared" si="2"/>
        <v>0</v>
      </c>
      <c r="E39" s="127">
        <f t="shared" si="13"/>
        <v>23.133999999999997</v>
      </c>
      <c r="F39" s="130">
        <f>Parameters!$B$32*'Pump Data'!$L$21^2+Parameters!$B$33*'Pump Data'!$L$21+Parameters!$B$34</f>
        <v>115.93397007999999</v>
      </c>
      <c r="G39" s="130">
        <f t="shared" si="3"/>
        <v>0</v>
      </c>
      <c r="H39" s="131">
        <f t="shared" si="4"/>
        <v>0</v>
      </c>
      <c r="I39" s="126">
        <f t="shared" si="5"/>
        <v>0</v>
      </c>
      <c r="J39" s="126">
        <f t="shared" si="6"/>
        <v>0</v>
      </c>
      <c r="K39" s="126">
        <f t="shared" si="7"/>
        <v>0</v>
      </c>
      <c r="L39" s="131">
        <f t="shared" si="8"/>
        <v>0</v>
      </c>
      <c r="M39" s="126">
        <f t="shared" si="9"/>
        <v>864</v>
      </c>
      <c r="N39" s="131">
        <f t="shared" si="10"/>
        <v>3.1103999999999998</v>
      </c>
      <c r="O39" s="131">
        <f t="shared" si="11"/>
        <v>3.1103999999999998</v>
      </c>
      <c r="P39" s="8">
        <f t="shared" si="12"/>
        <v>23133.999999999996</v>
      </c>
      <c r="Q39" s="8">
        <f>IF(Parameters!$G$29="y",IF(INT($P39/Parameters!$K$29)&gt;INT($P38/Parameters!$K$29),1,0),0)</f>
        <v>0</v>
      </c>
      <c r="R39" s="8">
        <f>IF(Parameters!$G$30="y",IF(INT($P39/Parameters!$K$30)&gt;INT($P38/Parameters!$K$30),1,0),0)</f>
        <v>0</v>
      </c>
      <c r="S39" s="8">
        <f>IF(INT($P39/Parameters!$K$31)&gt;INT($P38/Parameters!$K$31),1,0)</f>
        <v>0</v>
      </c>
      <c r="T39" s="76">
        <f t="shared" si="0"/>
        <v>0</v>
      </c>
      <c r="U39" s="8">
        <f>C38/'Pump Data'!$L$21*1000/60</f>
        <v>0.90105184771479108</v>
      </c>
      <c r="V39" s="8"/>
      <c r="W39" s="8"/>
    </row>
    <row r="40" spans="1:23" ht="14.25" x14ac:dyDescent="0.45">
      <c r="A40" s="125">
        <v>41668</v>
      </c>
      <c r="B40" s="126">
        <v>0</v>
      </c>
      <c r="C40" s="127">
        <f t="shared" si="1"/>
        <v>0</v>
      </c>
      <c r="D40" s="127">
        <f t="shared" si="2"/>
        <v>0</v>
      </c>
      <c r="E40" s="127">
        <f t="shared" si="13"/>
        <v>23.133999999999997</v>
      </c>
      <c r="F40" s="130">
        <f>Parameters!$B$32*'Pump Data'!$L$21^2+Parameters!$B$33*'Pump Data'!$L$21+Parameters!$B$34</f>
        <v>115.93397007999999</v>
      </c>
      <c r="G40" s="130">
        <f t="shared" si="3"/>
        <v>0</v>
      </c>
      <c r="H40" s="131">
        <f t="shared" si="4"/>
        <v>0</v>
      </c>
      <c r="I40" s="126">
        <f t="shared" si="5"/>
        <v>0</v>
      </c>
      <c r="J40" s="126">
        <f t="shared" si="6"/>
        <v>0</v>
      </c>
      <c r="K40" s="126">
        <f t="shared" si="7"/>
        <v>0</v>
      </c>
      <c r="L40" s="131">
        <f t="shared" si="8"/>
        <v>0</v>
      </c>
      <c r="M40" s="126">
        <f t="shared" si="9"/>
        <v>864</v>
      </c>
      <c r="N40" s="131">
        <f t="shared" si="10"/>
        <v>3.1103999999999998</v>
      </c>
      <c r="O40" s="131">
        <f t="shared" si="11"/>
        <v>3.1103999999999998</v>
      </c>
      <c r="P40" s="8">
        <f t="shared" si="12"/>
        <v>23133.999999999996</v>
      </c>
      <c r="Q40" s="8">
        <f>IF(Parameters!$G$29="y",IF(INT($P40/Parameters!$K$29)&gt;INT($P39/Parameters!$K$29),1,0),0)</f>
        <v>0</v>
      </c>
      <c r="R40" s="8">
        <f>IF(Parameters!$G$30="y",IF(INT($P40/Parameters!$K$30)&gt;INT($P39/Parameters!$K$30),1,0),0)</f>
        <v>0</v>
      </c>
      <c r="S40" s="8">
        <f>IF(INT($P40/Parameters!$K$31)&gt;INT($P39/Parameters!$K$31),1,0)</f>
        <v>0</v>
      </c>
      <c r="T40" s="76">
        <f t="shared" si="0"/>
        <v>0</v>
      </c>
      <c r="U40" s="8">
        <f>C39/'Pump Data'!$L$21*1000/60</f>
        <v>0</v>
      </c>
      <c r="V40" s="8"/>
      <c r="W40" s="8"/>
    </row>
    <row r="41" spans="1:23" ht="14.25" x14ac:dyDescent="0.45">
      <c r="A41" s="125">
        <v>41669</v>
      </c>
      <c r="B41" s="126">
        <v>0</v>
      </c>
      <c r="C41" s="127">
        <f t="shared" si="1"/>
        <v>0</v>
      </c>
      <c r="D41" s="127">
        <f t="shared" si="2"/>
        <v>0</v>
      </c>
      <c r="E41" s="127">
        <f t="shared" si="13"/>
        <v>23.133999999999997</v>
      </c>
      <c r="F41" s="130">
        <f>Parameters!$B$32*'Pump Data'!$L$21^2+Parameters!$B$33*'Pump Data'!$L$21+Parameters!$B$34</f>
        <v>115.93397007999999</v>
      </c>
      <c r="G41" s="130">
        <f t="shared" si="3"/>
        <v>0</v>
      </c>
      <c r="H41" s="131">
        <f t="shared" si="4"/>
        <v>0</v>
      </c>
      <c r="I41" s="126">
        <f t="shared" si="5"/>
        <v>0</v>
      </c>
      <c r="J41" s="126">
        <f t="shared" si="6"/>
        <v>0</v>
      </c>
      <c r="K41" s="126">
        <f t="shared" si="7"/>
        <v>0</v>
      </c>
      <c r="L41" s="131">
        <f t="shared" si="8"/>
        <v>0</v>
      </c>
      <c r="M41" s="126">
        <f t="shared" si="9"/>
        <v>864</v>
      </c>
      <c r="N41" s="131">
        <f t="shared" si="10"/>
        <v>3.1103999999999998</v>
      </c>
      <c r="O41" s="131">
        <f t="shared" si="11"/>
        <v>3.1103999999999998</v>
      </c>
      <c r="P41" s="8">
        <f t="shared" si="12"/>
        <v>23133.999999999996</v>
      </c>
      <c r="Q41" s="8">
        <f>IF(Parameters!$G$29="y",IF(INT($P41/Parameters!$K$29)&gt;INT($P40/Parameters!$K$29),1,0),0)</f>
        <v>0</v>
      </c>
      <c r="R41" s="8">
        <f>IF(Parameters!$G$30="y",IF(INT($P41/Parameters!$K$30)&gt;INT($P40/Parameters!$K$30),1,0),0)</f>
        <v>0</v>
      </c>
      <c r="S41" s="8">
        <f>IF(INT($P41/Parameters!$K$31)&gt;INT($P40/Parameters!$K$31),1,0)</f>
        <v>0</v>
      </c>
      <c r="T41" s="76">
        <f t="shared" si="0"/>
        <v>0</v>
      </c>
      <c r="U41" s="8">
        <f>C40/'Pump Data'!$L$21*1000/60</f>
        <v>0</v>
      </c>
      <c r="V41" s="8"/>
      <c r="W41" s="8"/>
    </row>
    <row r="42" spans="1:23" ht="14.25" x14ac:dyDescent="0.45">
      <c r="A42" s="125">
        <v>41670</v>
      </c>
      <c r="B42" s="126">
        <v>2.6</v>
      </c>
      <c r="C42" s="127">
        <f t="shared" si="1"/>
        <v>0.28599999999999998</v>
      </c>
      <c r="D42" s="127">
        <f t="shared" si="2"/>
        <v>0</v>
      </c>
      <c r="E42" s="127">
        <f t="shared" si="13"/>
        <v>23.419999999999998</v>
      </c>
      <c r="F42" s="130">
        <f>Parameters!$B$32*'Pump Data'!$L$21^2+Parameters!$B$33*'Pump Data'!$L$21+Parameters!$B$34</f>
        <v>115.93397007999999</v>
      </c>
      <c r="G42" s="130">
        <f t="shared" si="3"/>
        <v>52.713442718968395</v>
      </c>
      <c r="H42" s="131">
        <f t="shared" si="4"/>
        <v>5.2713442718968398E-2</v>
      </c>
      <c r="I42" s="126">
        <f t="shared" si="5"/>
        <v>1430</v>
      </c>
      <c r="J42" s="126">
        <f t="shared" si="6"/>
        <v>1.43</v>
      </c>
      <c r="K42" s="126">
        <f t="shared" si="7"/>
        <v>2860000</v>
      </c>
      <c r="L42" s="131">
        <f t="shared" si="8"/>
        <v>2.86</v>
      </c>
      <c r="M42" s="126">
        <f t="shared" si="9"/>
        <v>864</v>
      </c>
      <c r="N42" s="131">
        <f t="shared" si="10"/>
        <v>3.1103999999999998</v>
      </c>
      <c r="O42" s="131">
        <f t="shared" si="11"/>
        <v>6.0231134427189676</v>
      </c>
      <c r="P42" s="8">
        <f t="shared" si="12"/>
        <v>23419.999999999996</v>
      </c>
      <c r="Q42" s="8">
        <f>IF(Parameters!$G$29="y",IF(INT($P42/Parameters!$K$29)&gt;INT($P41/Parameters!$K$29),1,0),0)</f>
        <v>0</v>
      </c>
      <c r="R42" s="8">
        <f>IF(Parameters!$G$30="y",IF(INT($P42/Parameters!$K$30)&gt;INT($P41/Parameters!$K$30),1,0),0)</f>
        <v>0</v>
      </c>
      <c r="S42" s="8">
        <f>IF(INT($P42/Parameters!$K$31)&gt;INT($P41/Parameters!$K$31),1,0)</f>
        <v>0</v>
      </c>
      <c r="T42" s="76">
        <f t="shared" si="0"/>
        <v>0</v>
      </c>
      <c r="U42" s="8">
        <f>C41/'Pump Data'!$L$21*1000/60</f>
        <v>0</v>
      </c>
      <c r="V42" s="8"/>
      <c r="W42" s="8"/>
    </row>
    <row r="43" spans="1:23" ht="14.25" x14ac:dyDescent="0.45">
      <c r="A43" s="125">
        <v>41671</v>
      </c>
      <c r="B43" s="126">
        <v>2.6</v>
      </c>
      <c r="C43" s="127">
        <f t="shared" si="1"/>
        <v>0.28599999999999998</v>
      </c>
      <c r="D43" s="127">
        <f t="shared" si="2"/>
        <v>0.64100000000000001</v>
      </c>
      <c r="E43" s="127">
        <f t="shared" si="13"/>
        <v>23.064999999999998</v>
      </c>
      <c r="F43" s="130">
        <f>Parameters!$B$32*'Pump Data'!$L$21^2+Parameters!$B$33*'Pump Data'!$L$21+Parameters!$B$34</f>
        <v>115.93397007999999</v>
      </c>
      <c r="G43" s="130">
        <f t="shared" si="3"/>
        <v>52.713442718968395</v>
      </c>
      <c r="H43" s="131">
        <f t="shared" si="4"/>
        <v>5.2713442718968398E-2</v>
      </c>
      <c r="I43" s="126">
        <f t="shared" si="5"/>
        <v>1430</v>
      </c>
      <c r="J43" s="126">
        <f t="shared" si="6"/>
        <v>1.43</v>
      </c>
      <c r="K43" s="126">
        <f t="shared" si="7"/>
        <v>2860000</v>
      </c>
      <c r="L43" s="131">
        <f t="shared" si="8"/>
        <v>2.86</v>
      </c>
      <c r="M43" s="126">
        <f t="shared" si="9"/>
        <v>864</v>
      </c>
      <c r="N43" s="131">
        <f t="shared" si="10"/>
        <v>3.1103999999999998</v>
      </c>
      <c r="O43" s="131">
        <f t="shared" si="11"/>
        <v>6.0231134427189676</v>
      </c>
      <c r="P43" s="8">
        <f t="shared" si="12"/>
        <v>23706</v>
      </c>
      <c r="Q43" s="8">
        <f>IF(Parameters!$G$29="y",IF(INT($P43/Parameters!$K$29)&gt;INT($P42/Parameters!$K$29),1,0),0)</f>
        <v>0</v>
      </c>
      <c r="R43" s="8">
        <f>IF(Parameters!$G$30="y",IF(INT($P43/Parameters!$K$30)&gt;INT($P42/Parameters!$K$30),1,0),0)</f>
        <v>0</v>
      </c>
      <c r="S43" s="8">
        <f>IF(INT($P43/Parameters!$K$31)&gt;INT($P42/Parameters!$K$31),1,0)</f>
        <v>0</v>
      </c>
      <c r="T43" s="76">
        <f t="shared" si="0"/>
        <v>0</v>
      </c>
      <c r="U43" s="8">
        <f>C42/'Pump Data'!$L$21*1000/60</f>
        <v>0.13310993204877591</v>
      </c>
      <c r="V43" s="8"/>
      <c r="W43" s="8"/>
    </row>
    <row r="44" spans="1:23" ht="14.25" x14ac:dyDescent="0.45">
      <c r="A44" s="125">
        <v>41672</v>
      </c>
      <c r="B44" s="126">
        <v>0</v>
      </c>
      <c r="C44" s="127">
        <f t="shared" si="1"/>
        <v>0</v>
      </c>
      <c r="D44" s="127">
        <f t="shared" si="2"/>
        <v>0.64100000000000001</v>
      </c>
      <c r="E44" s="127">
        <f t="shared" si="13"/>
        <v>22.423999999999999</v>
      </c>
      <c r="F44" s="130">
        <f>Parameters!$B$32*'Pump Data'!$L$21^2+Parameters!$B$33*'Pump Data'!$L$21+Parameters!$B$34</f>
        <v>115.93397007999999</v>
      </c>
      <c r="G44" s="130">
        <f t="shared" si="3"/>
        <v>0</v>
      </c>
      <c r="H44" s="131">
        <f t="shared" si="4"/>
        <v>0</v>
      </c>
      <c r="I44" s="126">
        <f t="shared" si="5"/>
        <v>0</v>
      </c>
      <c r="J44" s="126">
        <f t="shared" si="6"/>
        <v>0</v>
      </c>
      <c r="K44" s="126">
        <f t="shared" si="7"/>
        <v>0</v>
      </c>
      <c r="L44" s="131">
        <f t="shared" si="8"/>
        <v>0</v>
      </c>
      <c r="M44" s="126">
        <f t="shared" si="9"/>
        <v>864</v>
      </c>
      <c r="N44" s="131">
        <f t="shared" si="10"/>
        <v>3.1103999999999998</v>
      </c>
      <c r="O44" s="131">
        <f t="shared" si="11"/>
        <v>3.1103999999999998</v>
      </c>
      <c r="P44" s="8">
        <f t="shared" si="12"/>
        <v>23706</v>
      </c>
      <c r="Q44" s="8">
        <f>IF(Parameters!$G$29="y",IF(INT($P44/Parameters!$K$29)&gt;INT($P43/Parameters!$K$29),1,0),0)</f>
        <v>0</v>
      </c>
      <c r="R44" s="8">
        <f>IF(Parameters!$G$30="y",IF(INT($P44/Parameters!$K$30)&gt;INT($P43/Parameters!$K$30),1,0),0)</f>
        <v>0</v>
      </c>
      <c r="S44" s="8">
        <f>IF(INT($P44/Parameters!$K$31)&gt;INT($P43/Parameters!$K$31),1,0)</f>
        <v>0</v>
      </c>
      <c r="T44" s="76">
        <f t="shared" si="0"/>
        <v>0</v>
      </c>
      <c r="U44" s="8">
        <f>C43/'Pump Data'!$L$21*1000/60</f>
        <v>0.13310993204877591</v>
      </c>
      <c r="V44" s="8"/>
      <c r="W44" s="8"/>
    </row>
    <row r="45" spans="1:23" ht="14.25" x14ac:dyDescent="0.45">
      <c r="A45" s="125">
        <v>41673</v>
      </c>
      <c r="B45" s="126">
        <v>0</v>
      </c>
      <c r="C45" s="127">
        <f t="shared" si="1"/>
        <v>0</v>
      </c>
      <c r="D45" s="127">
        <f t="shared" si="2"/>
        <v>0.64100000000000001</v>
      </c>
      <c r="E45" s="127">
        <f t="shared" si="13"/>
        <v>21.783000000000001</v>
      </c>
      <c r="F45" s="130">
        <f>Parameters!$B$32*'Pump Data'!$L$21^2+Parameters!$B$33*'Pump Data'!$L$21+Parameters!$B$34</f>
        <v>115.93397007999999</v>
      </c>
      <c r="G45" s="130">
        <f t="shared" si="3"/>
        <v>0</v>
      </c>
      <c r="H45" s="131">
        <f t="shared" si="4"/>
        <v>0</v>
      </c>
      <c r="I45" s="126">
        <f t="shared" si="5"/>
        <v>0</v>
      </c>
      <c r="J45" s="126">
        <f t="shared" si="6"/>
        <v>0</v>
      </c>
      <c r="K45" s="126">
        <f t="shared" si="7"/>
        <v>0</v>
      </c>
      <c r="L45" s="131">
        <f t="shared" si="8"/>
        <v>0</v>
      </c>
      <c r="M45" s="126">
        <f t="shared" si="9"/>
        <v>864</v>
      </c>
      <c r="N45" s="131">
        <f t="shared" si="10"/>
        <v>3.1103999999999998</v>
      </c>
      <c r="O45" s="131">
        <f t="shared" si="11"/>
        <v>3.1103999999999998</v>
      </c>
      <c r="P45" s="8">
        <f t="shared" si="12"/>
        <v>23706</v>
      </c>
      <c r="Q45" s="8">
        <f>IF(Parameters!$G$29="y",IF(INT($P45/Parameters!$K$29)&gt;INT($P44/Parameters!$K$29),1,0),0)</f>
        <v>0</v>
      </c>
      <c r="R45" s="8">
        <f>IF(Parameters!$G$30="y",IF(INT($P45/Parameters!$K$30)&gt;INT($P44/Parameters!$K$30),1,0),0)</f>
        <v>0</v>
      </c>
      <c r="S45" s="8">
        <f>IF(INT($P45/Parameters!$K$31)&gt;INT($P44/Parameters!$K$31),1,0)</f>
        <v>0</v>
      </c>
      <c r="T45" s="76">
        <f t="shared" si="0"/>
        <v>0</v>
      </c>
      <c r="U45" s="8">
        <f>C44/'Pump Data'!$L$21*1000/60</f>
        <v>0</v>
      </c>
      <c r="V45" s="8"/>
      <c r="W45" s="8"/>
    </row>
    <row r="46" spans="1:23" ht="14.25" x14ac:dyDescent="0.45">
      <c r="A46" s="125">
        <v>41674</v>
      </c>
      <c r="B46" s="126">
        <v>0</v>
      </c>
      <c r="C46" s="127">
        <f t="shared" si="1"/>
        <v>0</v>
      </c>
      <c r="D46" s="127">
        <f t="shared" si="2"/>
        <v>0.64100000000000001</v>
      </c>
      <c r="E46" s="127">
        <f t="shared" si="13"/>
        <v>21.142000000000003</v>
      </c>
      <c r="F46" s="130">
        <f>Parameters!$B$32*'Pump Data'!$L$21^2+Parameters!$B$33*'Pump Data'!$L$21+Parameters!$B$34</f>
        <v>115.93397007999999</v>
      </c>
      <c r="G46" s="130">
        <f t="shared" si="3"/>
        <v>0</v>
      </c>
      <c r="H46" s="131">
        <f t="shared" si="4"/>
        <v>0</v>
      </c>
      <c r="I46" s="126">
        <f t="shared" si="5"/>
        <v>0</v>
      </c>
      <c r="J46" s="126">
        <f t="shared" si="6"/>
        <v>0</v>
      </c>
      <c r="K46" s="126">
        <f t="shared" si="7"/>
        <v>0</v>
      </c>
      <c r="L46" s="131">
        <f t="shared" si="8"/>
        <v>0</v>
      </c>
      <c r="M46" s="126">
        <f t="shared" si="9"/>
        <v>864</v>
      </c>
      <c r="N46" s="131">
        <f t="shared" si="10"/>
        <v>3.1103999999999998</v>
      </c>
      <c r="O46" s="131">
        <f t="shared" si="11"/>
        <v>3.1103999999999998</v>
      </c>
      <c r="P46" s="8">
        <f t="shared" si="12"/>
        <v>23706</v>
      </c>
      <c r="Q46" s="8">
        <f>IF(Parameters!$G$29="y",IF(INT($P46/Parameters!$K$29)&gt;INT($P45/Parameters!$K$29),1,0),0)</f>
        <v>0</v>
      </c>
      <c r="R46" s="8">
        <f>IF(Parameters!$G$30="y",IF(INT($P46/Parameters!$K$30)&gt;INT($P45/Parameters!$K$30),1,0),0)</f>
        <v>0</v>
      </c>
      <c r="S46" s="8">
        <f>IF(INT($P46/Parameters!$K$31)&gt;INT($P45/Parameters!$K$31),1,0)</f>
        <v>0</v>
      </c>
      <c r="T46" s="76">
        <f t="shared" si="0"/>
        <v>0</v>
      </c>
      <c r="U46" s="8">
        <f>C45/'Pump Data'!$L$21*1000/60</f>
        <v>0</v>
      </c>
      <c r="V46" s="8"/>
      <c r="W46" s="8"/>
    </row>
    <row r="47" spans="1:23" ht="14.25" x14ac:dyDescent="0.45">
      <c r="A47" s="125">
        <v>41675</v>
      </c>
      <c r="B47" s="126">
        <v>0</v>
      </c>
      <c r="C47" s="127">
        <f t="shared" si="1"/>
        <v>0</v>
      </c>
      <c r="D47" s="127">
        <f t="shared" si="2"/>
        <v>0.64100000000000001</v>
      </c>
      <c r="E47" s="127">
        <f t="shared" si="13"/>
        <v>20.501000000000005</v>
      </c>
      <c r="F47" s="130">
        <f>Parameters!$B$32*'Pump Data'!$L$21^2+Parameters!$B$33*'Pump Data'!$L$21+Parameters!$B$34</f>
        <v>115.93397007999999</v>
      </c>
      <c r="G47" s="130">
        <f t="shared" si="3"/>
        <v>0</v>
      </c>
      <c r="H47" s="131">
        <f t="shared" si="4"/>
        <v>0</v>
      </c>
      <c r="I47" s="126">
        <f t="shared" si="5"/>
        <v>0</v>
      </c>
      <c r="J47" s="126">
        <f t="shared" si="6"/>
        <v>0</v>
      </c>
      <c r="K47" s="126">
        <f t="shared" si="7"/>
        <v>0</v>
      </c>
      <c r="L47" s="131">
        <f t="shared" si="8"/>
        <v>0</v>
      </c>
      <c r="M47" s="126">
        <f t="shared" si="9"/>
        <v>864</v>
      </c>
      <c r="N47" s="131">
        <f t="shared" si="10"/>
        <v>3.1103999999999998</v>
      </c>
      <c r="O47" s="131">
        <f t="shared" si="11"/>
        <v>3.1103999999999998</v>
      </c>
      <c r="P47" s="8">
        <f t="shared" si="12"/>
        <v>23706</v>
      </c>
      <c r="Q47" s="8">
        <f>IF(Parameters!$G$29="y",IF(INT($P47/Parameters!$K$29)&gt;INT($P46/Parameters!$K$29),1,0),0)</f>
        <v>0</v>
      </c>
      <c r="R47" s="8">
        <f>IF(Parameters!$G$30="y",IF(INT($P47/Parameters!$K$30)&gt;INT($P46/Parameters!$K$30),1,0),0)</f>
        <v>0</v>
      </c>
      <c r="S47" s="8">
        <f>IF(INT($P47/Parameters!$K$31)&gt;INT($P46/Parameters!$K$31),1,0)</f>
        <v>0</v>
      </c>
      <c r="T47" s="76">
        <f t="shared" si="0"/>
        <v>0</v>
      </c>
      <c r="U47" s="8">
        <f>C46/'Pump Data'!$L$21*1000/60</f>
        <v>0</v>
      </c>
      <c r="V47" s="8"/>
      <c r="W47" s="8"/>
    </row>
    <row r="48" spans="1:23" ht="14.25" x14ac:dyDescent="0.45">
      <c r="A48" s="125">
        <v>41676</v>
      </c>
      <c r="B48" s="126">
        <v>0</v>
      </c>
      <c r="C48" s="127">
        <f t="shared" si="1"/>
        <v>0</v>
      </c>
      <c r="D48" s="127">
        <f t="shared" si="2"/>
        <v>0.64100000000000001</v>
      </c>
      <c r="E48" s="127">
        <f t="shared" si="13"/>
        <v>19.860000000000007</v>
      </c>
      <c r="F48" s="130">
        <f>Parameters!$B$32*'Pump Data'!$L$21^2+Parameters!$B$33*'Pump Data'!$L$21+Parameters!$B$34</f>
        <v>115.93397007999999</v>
      </c>
      <c r="G48" s="130">
        <f t="shared" si="3"/>
        <v>0</v>
      </c>
      <c r="H48" s="131">
        <f t="shared" si="4"/>
        <v>0</v>
      </c>
      <c r="I48" s="126">
        <f t="shared" si="5"/>
        <v>0</v>
      </c>
      <c r="J48" s="126">
        <f t="shared" si="6"/>
        <v>0</v>
      </c>
      <c r="K48" s="126">
        <f t="shared" si="7"/>
        <v>0</v>
      </c>
      <c r="L48" s="131">
        <f t="shared" si="8"/>
        <v>0</v>
      </c>
      <c r="M48" s="126">
        <f t="shared" si="9"/>
        <v>864</v>
      </c>
      <c r="N48" s="131">
        <f t="shared" si="10"/>
        <v>3.1103999999999998</v>
      </c>
      <c r="O48" s="131">
        <f t="shared" si="11"/>
        <v>3.1103999999999998</v>
      </c>
      <c r="P48" s="8">
        <f t="shared" si="12"/>
        <v>23706</v>
      </c>
      <c r="Q48" s="8">
        <f>IF(Parameters!$G$29="y",IF(INT($P48/Parameters!$K$29)&gt;INT($P47/Parameters!$K$29),1,0),0)</f>
        <v>0</v>
      </c>
      <c r="R48" s="8">
        <f>IF(Parameters!$G$30="y",IF(INT($P48/Parameters!$K$30)&gt;INT($P47/Parameters!$K$30),1,0),0)</f>
        <v>0</v>
      </c>
      <c r="S48" s="8">
        <f>IF(INT($P48/Parameters!$K$31)&gt;INT($P47/Parameters!$K$31),1,0)</f>
        <v>0</v>
      </c>
      <c r="T48" s="76">
        <f t="shared" si="0"/>
        <v>0</v>
      </c>
      <c r="U48" s="8">
        <f>C47/'Pump Data'!$L$21*1000/60</f>
        <v>0</v>
      </c>
      <c r="V48" s="8"/>
      <c r="W48" s="8"/>
    </row>
    <row r="49" spans="1:23" ht="14.25" x14ac:dyDescent="0.45">
      <c r="A49" s="125">
        <v>41677</v>
      </c>
      <c r="B49" s="126">
        <v>0</v>
      </c>
      <c r="C49" s="127">
        <f t="shared" si="1"/>
        <v>0</v>
      </c>
      <c r="D49" s="127">
        <f t="shared" si="2"/>
        <v>0.64100000000000001</v>
      </c>
      <c r="E49" s="127">
        <f t="shared" si="13"/>
        <v>19.219000000000008</v>
      </c>
      <c r="F49" s="130">
        <f>Parameters!$B$32*'Pump Data'!$L$21^2+Parameters!$B$33*'Pump Data'!$L$21+Parameters!$B$34</f>
        <v>115.93397007999999</v>
      </c>
      <c r="G49" s="130">
        <f t="shared" si="3"/>
        <v>0</v>
      </c>
      <c r="H49" s="131">
        <f t="shared" si="4"/>
        <v>0</v>
      </c>
      <c r="I49" s="126">
        <f t="shared" si="5"/>
        <v>0</v>
      </c>
      <c r="J49" s="126">
        <f t="shared" si="6"/>
        <v>0</v>
      </c>
      <c r="K49" s="126">
        <f t="shared" si="7"/>
        <v>0</v>
      </c>
      <c r="L49" s="131">
        <f t="shared" si="8"/>
        <v>0</v>
      </c>
      <c r="M49" s="126">
        <f t="shared" si="9"/>
        <v>864</v>
      </c>
      <c r="N49" s="131">
        <f t="shared" si="10"/>
        <v>3.1103999999999998</v>
      </c>
      <c r="O49" s="131">
        <f t="shared" si="11"/>
        <v>3.1103999999999998</v>
      </c>
      <c r="P49" s="8">
        <f t="shared" si="12"/>
        <v>23706</v>
      </c>
      <c r="Q49" s="8">
        <f>IF(Parameters!$G$29="y",IF(INT($P49/Parameters!$K$29)&gt;INT($P48/Parameters!$K$29),1,0),0)</f>
        <v>0</v>
      </c>
      <c r="R49" s="8">
        <f>IF(Parameters!$G$30="y",IF(INT($P49/Parameters!$K$30)&gt;INT($P48/Parameters!$K$30),1,0),0)</f>
        <v>0</v>
      </c>
      <c r="S49" s="8">
        <f>IF(INT($P49/Parameters!$K$31)&gt;INT($P48/Parameters!$K$31),1,0)</f>
        <v>0</v>
      </c>
      <c r="T49" s="76">
        <f t="shared" si="0"/>
        <v>0</v>
      </c>
      <c r="U49" s="8">
        <f>C48/'Pump Data'!$L$21*1000/60</f>
        <v>0</v>
      </c>
      <c r="V49" s="8"/>
      <c r="W49" s="8"/>
    </row>
    <row r="50" spans="1:23" ht="14.25" x14ac:dyDescent="0.45">
      <c r="A50" s="125">
        <v>41678</v>
      </c>
      <c r="B50" s="126">
        <v>0</v>
      </c>
      <c r="C50" s="127">
        <f t="shared" si="1"/>
        <v>0</v>
      </c>
      <c r="D50" s="127">
        <f t="shared" si="2"/>
        <v>0.64100000000000001</v>
      </c>
      <c r="E50" s="127">
        <f t="shared" si="13"/>
        <v>18.57800000000001</v>
      </c>
      <c r="F50" s="130">
        <f>Parameters!$B$32*'Pump Data'!$L$21^2+Parameters!$B$33*'Pump Data'!$L$21+Parameters!$B$34</f>
        <v>115.93397007999999</v>
      </c>
      <c r="G50" s="130">
        <f t="shared" si="3"/>
        <v>0</v>
      </c>
      <c r="H50" s="131">
        <f t="shared" si="4"/>
        <v>0</v>
      </c>
      <c r="I50" s="126">
        <f t="shared" si="5"/>
        <v>0</v>
      </c>
      <c r="J50" s="126">
        <f t="shared" si="6"/>
        <v>0</v>
      </c>
      <c r="K50" s="126">
        <f t="shared" si="7"/>
        <v>0</v>
      </c>
      <c r="L50" s="131">
        <f t="shared" si="8"/>
        <v>0</v>
      </c>
      <c r="M50" s="126">
        <f t="shared" si="9"/>
        <v>864</v>
      </c>
      <c r="N50" s="131">
        <f t="shared" si="10"/>
        <v>3.1103999999999998</v>
      </c>
      <c r="O50" s="131">
        <f t="shared" si="11"/>
        <v>3.1103999999999998</v>
      </c>
      <c r="P50" s="8">
        <f t="shared" si="12"/>
        <v>23706</v>
      </c>
      <c r="Q50" s="8">
        <f>IF(Parameters!$G$29="y",IF(INT($P50/Parameters!$K$29)&gt;INT($P49/Parameters!$K$29),1,0),0)</f>
        <v>0</v>
      </c>
      <c r="R50" s="8">
        <f>IF(Parameters!$G$30="y",IF(INT($P50/Parameters!$K$30)&gt;INT($P49/Parameters!$K$30),1,0),0)</f>
        <v>0</v>
      </c>
      <c r="S50" s="8">
        <f>IF(INT($P50/Parameters!$K$31)&gt;INT($P49/Parameters!$K$31),1,0)</f>
        <v>0</v>
      </c>
      <c r="T50" s="76">
        <f t="shared" si="0"/>
        <v>0</v>
      </c>
      <c r="U50" s="8">
        <f>C49/'Pump Data'!$L$21*1000/60</f>
        <v>0</v>
      </c>
      <c r="V50" s="8"/>
      <c r="W50" s="8"/>
    </row>
    <row r="51" spans="1:23" ht="14.25" x14ac:dyDescent="0.45">
      <c r="A51" s="125">
        <v>41679</v>
      </c>
      <c r="B51" s="126">
        <v>12.2</v>
      </c>
      <c r="C51" s="127">
        <f t="shared" si="1"/>
        <v>1.3419999999999999</v>
      </c>
      <c r="D51" s="127">
        <f t="shared" si="2"/>
        <v>0.64100000000000001</v>
      </c>
      <c r="E51" s="127">
        <f t="shared" si="13"/>
        <v>19.279000000000011</v>
      </c>
      <c r="F51" s="130">
        <f>Parameters!$B$32*'Pump Data'!$L$21^2+Parameters!$B$33*'Pump Data'!$L$21+Parameters!$B$34</f>
        <v>115.93397007999999</v>
      </c>
      <c r="G51" s="130">
        <f t="shared" si="3"/>
        <v>247.34769275823626</v>
      </c>
      <c r="H51" s="131">
        <f t="shared" si="4"/>
        <v>0.24734769275823626</v>
      </c>
      <c r="I51" s="126">
        <f t="shared" si="5"/>
        <v>6709.9999999999982</v>
      </c>
      <c r="J51" s="126">
        <f t="shared" si="6"/>
        <v>6.7099999999999982</v>
      </c>
      <c r="K51" s="126">
        <f t="shared" si="7"/>
        <v>13419999.999999996</v>
      </c>
      <c r="L51" s="131">
        <f t="shared" si="8"/>
        <v>13.419999999999996</v>
      </c>
      <c r="M51" s="126">
        <f t="shared" si="9"/>
        <v>864</v>
      </c>
      <c r="N51" s="131">
        <f t="shared" si="10"/>
        <v>3.1103999999999998</v>
      </c>
      <c r="O51" s="131">
        <f t="shared" si="11"/>
        <v>16.777747692758233</v>
      </c>
      <c r="P51" s="8">
        <f t="shared" si="12"/>
        <v>25048</v>
      </c>
      <c r="Q51" s="8">
        <f>IF(Parameters!$G$29="y",IF(INT($P51/Parameters!$K$29)&gt;INT($P50/Parameters!$K$29),1,0),0)</f>
        <v>1</v>
      </c>
      <c r="R51" s="8">
        <f>IF(Parameters!$G$30="y",IF(INT($P51/Parameters!$K$30)&gt;INT($P50/Parameters!$K$30),1,0),0)</f>
        <v>0</v>
      </c>
      <c r="S51" s="8">
        <f>IF(INT($P51/Parameters!$K$31)&gt;INT($P50/Parameters!$K$31),1,0)</f>
        <v>0</v>
      </c>
      <c r="T51" s="76">
        <f t="shared" si="0"/>
        <v>1</v>
      </c>
      <c r="U51" s="8">
        <f>C50/'Pump Data'!$L$21*1000/60</f>
        <v>0</v>
      </c>
      <c r="V51" s="8"/>
      <c r="W51" s="8"/>
    </row>
    <row r="52" spans="1:23" ht="14.25" x14ac:dyDescent="0.45">
      <c r="A52" s="125">
        <v>41680</v>
      </c>
      <c r="B52" s="126">
        <v>13.4</v>
      </c>
      <c r="C52" s="127">
        <f t="shared" si="1"/>
        <v>1.474</v>
      </c>
      <c r="D52" s="127">
        <f t="shared" si="2"/>
        <v>0.64100000000000001</v>
      </c>
      <c r="E52" s="127">
        <f t="shared" si="13"/>
        <v>20.112000000000009</v>
      </c>
      <c r="F52" s="130">
        <f>Parameters!$B$32*'Pump Data'!$L$21^2+Parameters!$B$33*'Pump Data'!$L$21+Parameters!$B$34</f>
        <v>115.93397007999999</v>
      </c>
      <c r="G52" s="130">
        <f t="shared" si="3"/>
        <v>271.67697401314479</v>
      </c>
      <c r="H52" s="131">
        <f t="shared" si="4"/>
        <v>0.27167697401314478</v>
      </c>
      <c r="I52" s="126">
        <f t="shared" si="5"/>
        <v>7370</v>
      </c>
      <c r="J52" s="126">
        <f t="shared" si="6"/>
        <v>7.37</v>
      </c>
      <c r="K52" s="126">
        <f t="shared" si="7"/>
        <v>14740000</v>
      </c>
      <c r="L52" s="131">
        <f t="shared" si="8"/>
        <v>14.74</v>
      </c>
      <c r="M52" s="126">
        <f t="shared" si="9"/>
        <v>864</v>
      </c>
      <c r="N52" s="131">
        <f t="shared" si="10"/>
        <v>3.1103999999999998</v>
      </c>
      <c r="O52" s="131">
        <f t="shared" si="11"/>
        <v>18.122076974013144</v>
      </c>
      <c r="P52" s="8">
        <f t="shared" si="12"/>
        <v>26522</v>
      </c>
      <c r="Q52" s="8">
        <f>IF(Parameters!$G$29="y",IF(INT($P52/Parameters!$K$29)&gt;INT($P51/Parameters!$K$29),1,0),0)</f>
        <v>0</v>
      </c>
      <c r="R52" s="8">
        <f>IF(Parameters!$G$30="y",IF(INT($P52/Parameters!$K$30)&gt;INT($P51/Parameters!$K$30),1,0),0)</f>
        <v>0</v>
      </c>
      <c r="S52" s="8">
        <f>IF(INT($P52/Parameters!$K$31)&gt;INT($P51/Parameters!$K$31),1,0)</f>
        <v>0</v>
      </c>
      <c r="T52" s="76">
        <f t="shared" si="0"/>
        <v>0</v>
      </c>
      <c r="U52" s="8">
        <f>C51/'Pump Data'!$L$21*1000/60</f>
        <v>0.62459275807502546</v>
      </c>
      <c r="V52" s="8"/>
      <c r="W52" s="8"/>
    </row>
    <row r="53" spans="1:23" ht="14.25" x14ac:dyDescent="0.45">
      <c r="A53" s="125">
        <v>41681</v>
      </c>
      <c r="B53" s="126">
        <v>46.6</v>
      </c>
      <c r="C53" s="127">
        <f t="shared" si="1"/>
        <v>2.5</v>
      </c>
      <c r="D53" s="127">
        <f t="shared" si="2"/>
        <v>0.64100000000000001</v>
      </c>
      <c r="E53" s="127">
        <f t="shared" si="13"/>
        <v>21.971000000000011</v>
      </c>
      <c r="F53" s="130">
        <f>Parameters!$B$32*'Pump Data'!$L$21^2+Parameters!$B$33*'Pump Data'!$L$21+Parameters!$B$34</f>
        <v>115.93397007999999</v>
      </c>
      <c r="G53" s="130">
        <f t="shared" si="3"/>
        <v>460.7818419490244</v>
      </c>
      <c r="H53" s="131">
        <f t="shared" si="4"/>
        <v>0.46078184194902438</v>
      </c>
      <c r="I53" s="126">
        <f t="shared" si="5"/>
        <v>12500</v>
      </c>
      <c r="J53" s="126">
        <f t="shared" si="6"/>
        <v>12.5</v>
      </c>
      <c r="K53" s="126">
        <f t="shared" si="7"/>
        <v>25000000</v>
      </c>
      <c r="L53" s="131">
        <f t="shared" si="8"/>
        <v>25</v>
      </c>
      <c r="M53" s="126">
        <f t="shared" si="9"/>
        <v>864</v>
      </c>
      <c r="N53" s="131">
        <f t="shared" si="10"/>
        <v>3.1103999999999998</v>
      </c>
      <c r="O53" s="131">
        <f t="shared" si="11"/>
        <v>28.571181841949024</v>
      </c>
      <c r="P53" s="8">
        <f t="shared" si="12"/>
        <v>29022</v>
      </c>
      <c r="Q53" s="8">
        <f>IF(Parameters!$G$29="y",IF(INT($P53/Parameters!$K$29)&gt;INT($P52/Parameters!$K$29),1,0),0)</f>
        <v>0</v>
      </c>
      <c r="R53" s="8">
        <f>IF(Parameters!$G$30="y",IF(INT($P53/Parameters!$K$30)&gt;INT($P52/Parameters!$K$30),1,0),0)</f>
        <v>0</v>
      </c>
      <c r="S53" s="8">
        <f>IF(INT($P53/Parameters!$K$31)&gt;INT($P52/Parameters!$K$31),1,0)</f>
        <v>0</v>
      </c>
      <c r="T53" s="76">
        <f t="shared" si="0"/>
        <v>0</v>
      </c>
      <c r="U53" s="8">
        <f>C52/'Pump Data'!$L$21*1000/60</f>
        <v>0.68602811132830677</v>
      </c>
      <c r="V53" s="8"/>
      <c r="W53" s="8"/>
    </row>
    <row r="54" spans="1:23" ht="14.25" x14ac:dyDescent="0.45">
      <c r="A54" s="125">
        <v>41682</v>
      </c>
      <c r="B54" s="126">
        <v>16.8</v>
      </c>
      <c r="C54" s="127">
        <f t="shared" si="1"/>
        <v>1.8480000000000003</v>
      </c>
      <c r="D54" s="127">
        <f t="shared" si="2"/>
        <v>0.64100000000000001</v>
      </c>
      <c r="E54" s="127">
        <f t="shared" si="13"/>
        <v>23.178000000000011</v>
      </c>
      <c r="F54" s="130">
        <f>Parameters!$B$32*'Pump Data'!$L$21^2+Parameters!$B$33*'Pump Data'!$L$21+Parameters!$B$34</f>
        <v>115.93397007999999</v>
      </c>
      <c r="G54" s="130">
        <f t="shared" si="3"/>
        <v>340.60993756871886</v>
      </c>
      <c r="H54" s="131">
        <f t="shared" si="4"/>
        <v>0.34060993756871888</v>
      </c>
      <c r="I54" s="126">
        <f t="shared" si="5"/>
        <v>9240.0000000000018</v>
      </c>
      <c r="J54" s="126">
        <f t="shared" si="6"/>
        <v>9.240000000000002</v>
      </c>
      <c r="K54" s="126">
        <f t="shared" si="7"/>
        <v>18480000.000000004</v>
      </c>
      <c r="L54" s="131">
        <f t="shared" si="8"/>
        <v>18.480000000000004</v>
      </c>
      <c r="M54" s="126">
        <f t="shared" si="9"/>
        <v>864</v>
      </c>
      <c r="N54" s="131">
        <f t="shared" si="10"/>
        <v>3.1103999999999998</v>
      </c>
      <c r="O54" s="131">
        <f t="shared" si="11"/>
        <v>21.931009937568721</v>
      </c>
      <c r="P54" s="8">
        <f t="shared" si="12"/>
        <v>30869.999999999996</v>
      </c>
      <c r="Q54" s="8">
        <f>IF(Parameters!$G$29="y",IF(INT($P54/Parameters!$K$29)&gt;INT($P53/Parameters!$K$29),1,0),0)</f>
        <v>0</v>
      </c>
      <c r="R54" s="8">
        <f>IF(Parameters!$G$30="y",IF(INT($P54/Parameters!$K$30)&gt;INT($P53/Parameters!$K$30),1,0),0)</f>
        <v>0</v>
      </c>
      <c r="S54" s="8">
        <f>IF(INT($P54/Parameters!$K$31)&gt;INT($P53/Parameters!$K$31),1,0)</f>
        <v>0</v>
      </c>
      <c r="T54" s="76">
        <f t="shared" si="0"/>
        <v>0</v>
      </c>
      <c r="U54" s="8">
        <f>C53/'Pump Data'!$L$21*1000/60</f>
        <v>1.1635483570697196</v>
      </c>
      <c r="V54" s="8"/>
      <c r="W54" s="8"/>
    </row>
    <row r="55" spans="1:23" ht="14.25" x14ac:dyDescent="0.45">
      <c r="A55" s="125">
        <v>41683</v>
      </c>
      <c r="B55" s="126">
        <v>15.6</v>
      </c>
      <c r="C55" s="127">
        <f t="shared" si="1"/>
        <v>1.716</v>
      </c>
      <c r="D55" s="127">
        <f t="shared" si="2"/>
        <v>0.64100000000000001</v>
      </c>
      <c r="E55" s="127">
        <f t="shared" si="13"/>
        <v>24.253000000000014</v>
      </c>
      <c r="F55" s="130">
        <f>Parameters!$B$32*'Pump Data'!$L$21^2+Parameters!$B$33*'Pump Data'!$L$21+Parameters!$B$34</f>
        <v>115.93397007999999</v>
      </c>
      <c r="G55" s="130">
        <f t="shared" si="3"/>
        <v>316.28065631381037</v>
      </c>
      <c r="H55" s="131">
        <f t="shared" si="4"/>
        <v>0.31628065631381036</v>
      </c>
      <c r="I55" s="126">
        <f t="shared" si="5"/>
        <v>8580</v>
      </c>
      <c r="J55" s="126">
        <f t="shared" si="6"/>
        <v>8.58</v>
      </c>
      <c r="K55" s="126">
        <f t="shared" si="7"/>
        <v>17160000</v>
      </c>
      <c r="L55" s="131">
        <f t="shared" si="8"/>
        <v>17.16</v>
      </c>
      <c r="M55" s="126">
        <f t="shared" si="9"/>
        <v>864</v>
      </c>
      <c r="N55" s="131">
        <f t="shared" si="10"/>
        <v>3.1103999999999998</v>
      </c>
      <c r="O55" s="131">
        <f t="shared" si="11"/>
        <v>20.58668065631381</v>
      </c>
      <c r="P55" s="8">
        <f t="shared" si="12"/>
        <v>32586</v>
      </c>
      <c r="Q55" s="8">
        <f>IF(Parameters!$G$29="y",IF(INT($P55/Parameters!$K$29)&gt;INT($P54/Parameters!$K$29),1,0),0)</f>
        <v>0</v>
      </c>
      <c r="R55" s="8">
        <f>IF(Parameters!$G$30="y",IF(INT($P55/Parameters!$K$30)&gt;INT($P54/Parameters!$K$30),1,0),0)</f>
        <v>0</v>
      </c>
      <c r="S55" s="8">
        <f>IF(INT($P55/Parameters!$K$31)&gt;INT($P54/Parameters!$K$31),1,0)</f>
        <v>0</v>
      </c>
      <c r="T55" s="76">
        <f t="shared" si="0"/>
        <v>0</v>
      </c>
      <c r="U55" s="8">
        <f>C54/'Pump Data'!$L$21*1000/60</f>
        <v>0.86009494554593691</v>
      </c>
      <c r="V55" s="8"/>
      <c r="W55" s="8"/>
    </row>
    <row r="56" spans="1:23" ht="14.25" x14ac:dyDescent="0.45">
      <c r="A56" s="125">
        <v>41684</v>
      </c>
      <c r="B56" s="126">
        <v>3</v>
      </c>
      <c r="C56" s="127">
        <f t="shared" si="1"/>
        <v>0.33</v>
      </c>
      <c r="D56" s="127">
        <f t="shared" si="2"/>
        <v>0.64100000000000001</v>
      </c>
      <c r="E56" s="127">
        <f t="shared" si="13"/>
        <v>23.942000000000014</v>
      </c>
      <c r="F56" s="130">
        <f>Parameters!$B$32*'Pump Data'!$L$21^2+Parameters!$B$33*'Pump Data'!$L$21+Parameters!$B$34</f>
        <v>115.93397007999999</v>
      </c>
      <c r="G56" s="130">
        <f t="shared" si="3"/>
        <v>60.823203137271229</v>
      </c>
      <c r="H56" s="131">
        <f t="shared" si="4"/>
        <v>6.0823203137271228E-2</v>
      </c>
      <c r="I56" s="126">
        <f t="shared" si="5"/>
        <v>1650</v>
      </c>
      <c r="J56" s="126">
        <f t="shared" si="6"/>
        <v>1.65</v>
      </c>
      <c r="K56" s="126">
        <f t="shared" si="7"/>
        <v>3300000</v>
      </c>
      <c r="L56" s="131">
        <f t="shared" si="8"/>
        <v>3.3</v>
      </c>
      <c r="M56" s="126">
        <f t="shared" si="9"/>
        <v>864</v>
      </c>
      <c r="N56" s="131">
        <f t="shared" si="10"/>
        <v>3.1103999999999998</v>
      </c>
      <c r="O56" s="131">
        <f t="shared" si="11"/>
        <v>6.4712232031372707</v>
      </c>
      <c r="P56" s="8">
        <f t="shared" si="12"/>
        <v>32916</v>
      </c>
      <c r="Q56" s="8">
        <f>IF(Parameters!$G$29="y",IF(INT($P56/Parameters!$K$29)&gt;INT($P55/Parameters!$K$29),1,0),0)</f>
        <v>0</v>
      </c>
      <c r="R56" s="8">
        <f>IF(Parameters!$G$30="y",IF(INT($P56/Parameters!$K$30)&gt;INT($P55/Parameters!$K$30),1,0),0)</f>
        <v>0</v>
      </c>
      <c r="S56" s="8">
        <f>IF(INT($P56/Parameters!$K$31)&gt;INT($P55/Parameters!$K$31),1,0)</f>
        <v>0</v>
      </c>
      <c r="T56" s="76">
        <f t="shared" si="0"/>
        <v>0</v>
      </c>
      <c r="U56" s="8">
        <f>C55/'Pump Data'!$L$21*1000/60</f>
        <v>0.79865959229265571</v>
      </c>
      <c r="V56" s="8"/>
      <c r="W56" s="8"/>
    </row>
    <row r="57" spans="1:23" ht="14.25" x14ac:dyDescent="0.45">
      <c r="A57" s="125">
        <v>41685</v>
      </c>
      <c r="B57" s="126">
        <v>11.6</v>
      </c>
      <c r="C57" s="127">
        <f t="shared" si="1"/>
        <v>1.2759999999999998</v>
      </c>
      <c r="D57" s="127">
        <f t="shared" si="2"/>
        <v>0.64100000000000001</v>
      </c>
      <c r="E57" s="127">
        <f t="shared" si="13"/>
        <v>24.577000000000012</v>
      </c>
      <c r="F57" s="130">
        <f>Parameters!$B$32*'Pump Data'!$L$21^2+Parameters!$B$33*'Pump Data'!$L$21+Parameters!$B$34</f>
        <v>115.93397007999999</v>
      </c>
      <c r="G57" s="130">
        <f t="shared" si="3"/>
        <v>235.18305213078202</v>
      </c>
      <c r="H57" s="131">
        <f t="shared" si="4"/>
        <v>0.23518305213078203</v>
      </c>
      <c r="I57" s="126">
        <f t="shared" si="5"/>
        <v>6379.9999999999982</v>
      </c>
      <c r="J57" s="126">
        <f t="shared" si="6"/>
        <v>6.3799999999999981</v>
      </c>
      <c r="K57" s="126">
        <f t="shared" si="7"/>
        <v>12759999.999999996</v>
      </c>
      <c r="L57" s="131">
        <f t="shared" si="8"/>
        <v>12.759999999999996</v>
      </c>
      <c r="M57" s="126">
        <f t="shared" si="9"/>
        <v>864</v>
      </c>
      <c r="N57" s="131">
        <f t="shared" si="10"/>
        <v>3.1103999999999998</v>
      </c>
      <c r="O57" s="131">
        <f t="shared" si="11"/>
        <v>16.105583052130779</v>
      </c>
      <c r="P57" s="8">
        <f t="shared" si="12"/>
        <v>34191.999999999993</v>
      </c>
      <c r="Q57" s="8">
        <f>IF(Parameters!$G$29="y",IF(INT($P57/Parameters!$K$29)&gt;INT($P56/Parameters!$K$29),1,0),0)</f>
        <v>0</v>
      </c>
      <c r="R57" s="8">
        <f>IF(Parameters!$G$30="y",IF(INT($P57/Parameters!$K$30)&gt;INT($P56/Parameters!$K$30),1,0),0)</f>
        <v>0</v>
      </c>
      <c r="S57" s="8">
        <f>IF(INT($P57/Parameters!$K$31)&gt;INT($P56/Parameters!$K$31),1,0)</f>
        <v>0</v>
      </c>
      <c r="T57" s="76">
        <f t="shared" si="0"/>
        <v>0</v>
      </c>
      <c r="U57" s="8">
        <f>C56/'Pump Data'!$L$21*1000/60</f>
        <v>0.15358838313320303</v>
      </c>
      <c r="V57" s="8"/>
      <c r="W57" s="8"/>
    </row>
    <row r="58" spans="1:23" ht="14.25" x14ac:dyDescent="0.45">
      <c r="A58" s="125">
        <v>41686</v>
      </c>
      <c r="B58" s="126">
        <v>19</v>
      </c>
      <c r="C58" s="127">
        <f t="shared" si="1"/>
        <v>2.09</v>
      </c>
      <c r="D58" s="127">
        <f t="shared" si="2"/>
        <v>0.64100000000000001</v>
      </c>
      <c r="E58" s="127">
        <f t="shared" si="13"/>
        <v>26.02600000000001</v>
      </c>
      <c r="F58" s="130">
        <f>Parameters!$B$32*'Pump Data'!$L$21^2+Parameters!$B$33*'Pump Data'!$L$21+Parameters!$B$34</f>
        <v>115.93397007999999</v>
      </c>
      <c r="G58" s="130">
        <f t="shared" si="3"/>
        <v>385.21361986938439</v>
      </c>
      <c r="H58" s="131">
        <f t="shared" si="4"/>
        <v>0.3852136198693844</v>
      </c>
      <c r="I58" s="126">
        <f t="shared" si="5"/>
        <v>10450</v>
      </c>
      <c r="J58" s="126">
        <f t="shared" si="6"/>
        <v>10.45</v>
      </c>
      <c r="K58" s="126">
        <f t="shared" si="7"/>
        <v>20900000</v>
      </c>
      <c r="L58" s="131">
        <f t="shared" si="8"/>
        <v>20.9</v>
      </c>
      <c r="M58" s="126">
        <f t="shared" si="9"/>
        <v>864</v>
      </c>
      <c r="N58" s="131">
        <f t="shared" si="10"/>
        <v>3.1103999999999998</v>
      </c>
      <c r="O58" s="131">
        <f t="shared" si="11"/>
        <v>24.39561361986938</v>
      </c>
      <c r="P58" s="8">
        <f t="shared" si="12"/>
        <v>36282</v>
      </c>
      <c r="Q58" s="8">
        <f>IF(Parameters!$G$29="y",IF(INT($P58/Parameters!$K$29)&gt;INT($P57/Parameters!$K$29),1,0),0)</f>
        <v>0</v>
      </c>
      <c r="R58" s="8">
        <f>IF(Parameters!$G$30="y",IF(INT($P58/Parameters!$K$30)&gt;INT($P57/Parameters!$K$30),1,0),0)</f>
        <v>0</v>
      </c>
      <c r="S58" s="8">
        <f>IF(INT($P58/Parameters!$K$31)&gt;INT($P57/Parameters!$K$31),1,0)</f>
        <v>0</v>
      </c>
      <c r="T58" s="76">
        <f t="shared" si="0"/>
        <v>0</v>
      </c>
      <c r="U58" s="8">
        <f>C57/'Pump Data'!$L$21*1000/60</f>
        <v>0.59387508144838486</v>
      </c>
      <c r="V58" s="8"/>
      <c r="W58" s="8"/>
    </row>
    <row r="59" spans="1:23" ht="14.25" x14ac:dyDescent="0.45">
      <c r="A59" s="125">
        <v>41687</v>
      </c>
      <c r="B59" s="126">
        <v>9.1999999999999993</v>
      </c>
      <c r="C59" s="127">
        <f t="shared" si="1"/>
        <v>1.012</v>
      </c>
      <c r="D59" s="127">
        <f t="shared" si="2"/>
        <v>0.64100000000000001</v>
      </c>
      <c r="E59" s="127">
        <f t="shared" si="13"/>
        <v>26.397000000000013</v>
      </c>
      <c r="F59" s="130">
        <f>Parameters!$B$32*'Pump Data'!$L$21^2+Parameters!$B$33*'Pump Data'!$L$21+Parameters!$B$34</f>
        <v>115.93397007999999</v>
      </c>
      <c r="G59" s="130">
        <f t="shared" si="3"/>
        <v>186.52448962096508</v>
      </c>
      <c r="H59" s="131">
        <f t="shared" si="4"/>
        <v>0.18652448962096507</v>
      </c>
      <c r="I59" s="126">
        <f t="shared" si="5"/>
        <v>5060</v>
      </c>
      <c r="J59" s="126">
        <f t="shared" si="6"/>
        <v>5.0599999999999996</v>
      </c>
      <c r="K59" s="126">
        <f t="shared" si="7"/>
        <v>10120000</v>
      </c>
      <c r="L59" s="131">
        <f t="shared" si="8"/>
        <v>10.119999999999999</v>
      </c>
      <c r="M59" s="126">
        <f t="shared" si="9"/>
        <v>864</v>
      </c>
      <c r="N59" s="131">
        <f t="shared" si="10"/>
        <v>3.1103999999999998</v>
      </c>
      <c r="O59" s="131">
        <f t="shared" si="11"/>
        <v>13.416924489620964</v>
      </c>
      <c r="P59" s="8">
        <f t="shared" si="12"/>
        <v>37294</v>
      </c>
      <c r="Q59" s="8">
        <f>IF(Parameters!$G$29="y",IF(INT($P59/Parameters!$K$29)&gt;INT($P58/Parameters!$K$29),1,0),0)</f>
        <v>0</v>
      </c>
      <c r="R59" s="8">
        <f>IF(Parameters!$G$30="y",IF(INT($P59/Parameters!$K$30)&gt;INT($P58/Parameters!$K$30),1,0),0)</f>
        <v>0</v>
      </c>
      <c r="S59" s="8">
        <f>IF(INT($P59/Parameters!$K$31)&gt;INT($P58/Parameters!$K$31),1,0)</f>
        <v>0</v>
      </c>
      <c r="T59" s="76">
        <f t="shared" si="0"/>
        <v>0</v>
      </c>
      <c r="U59" s="8">
        <f>C58/'Pump Data'!$L$21*1000/60</f>
        <v>0.97272642651028574</v>
      </c>
      <c r="V59" s="8"/>
      <c r="W59" s="8"/>
    </row>
    <row r="60" spans="1:23" ht="14.25" x14ac:dyDescent="0.45">
      <c r="A60" s="125">
        <v>41688</v>
      </c>
      <c r="B60" s="126">
        <v>12.6</v>
      </c>
      <c r="C60" s="127">
        <f t="shared" si="1"/>
        <v>1.3860000000000001</v>
      </c>
      <c r="D60" s="127">
        <f t="shared" si="2"/>
        <v>0.64100000000000001</v>
      </c>
      <c r="E60" s="127">
        <f t="shared" si="13"/>
        <v>27.14200000000001</v>
      </c>
      <c r="F60" s="130">
        <f>Parameters!$B$32*'Pump Data'!$L$21^2+Parameters!$B$33*'Pump Data'!$L$21+Parameters!$B$34</f>
        <v>115.93397007999999</v>
      </c>
      <c r="G60" s="130">
        <f t="shared" si="3"/>
        <v>255.45745317653919</v>
      </c>
      <c r="H60" s="131">
        <f t="shared" si="4"/>
        <v>0.25545745317653917</v>
      </c>
      <c r="I60" s="126">
        <f t="shared" si="5"/>
        <v>6930.0000000000018</v>
      </c>
      <c r="J60" s="126">
        <f t="shared" si="6"/>
        <v>6.9300000000000015</v>
      </c>
      <c r="K60" s="126">
        <f t="shared" si="7"/>
        <v>13860000.000000004</v>
      </c>
      <c r="L60" s="131">
        <f t="shared" si="8"/>
        <v>13.860000000000003</v>
      </c>
      <c r="M60" s="126">
        <f t="shared" si="9"/>
        <v>864</v>
      </c>
      <c r="N60" s="131">
        <f t="shared" si="10"/>
        <v>3.1103999999999998</v>
      </c>
      <c r="O60" s="131">
        <f t="shared" si="11"/>
        <v>17.225857453176541</v>
      </c>
      <c r="P60" s="8">
        <f t="shared" si="12"/>
        <v>38680</v>
      </c>
      <c r="Q60" s="8">
        <f>IF(Parameters!$G$29="y",IF(INT($P60/Parameters!$K$29)&gt;INT($P59/Parameters!$K$29),1,0),0)</f>
        <v>0</v>
      </c>
      <c r="R60" s="8">
        <f>IF(Parameters!$G$30="y",IF(INT($P60/Parameters!$K$30)&gt;INT($P59/Parameters!$K$30),1,0),0)</f>
        <v>0</v>
      </c>
      <c r="S60" s="8">
        <f>IF(INT($P60/Parameters!$K$31)&gt;INT($P59/Parameters!$K$31),1,0)</f>
        <v>0</v>
      </c>
      <c r="T60" s="76">
        <f t="shared" si="0"/>
        <v>0</v>
      </c>
      <c r="U60" s="8">
        <f>C59/'Pump Data'!$L$21*1000/60</f>
        <v>0.47100437494182251</v>
      </c>
      <c r="V60" s="8"/>
      <c r="W60" s="8"/>
    </row>
    <row r="61" spans="1:23" ht="14.25" x14ac:dyDescent="0.45">
      <c r="A61" s="125">
        <v>41689</v>
      </c>
      <c r="B61" s="126">
        <v>21.8</v>
      </c>
      <c r="C61" s="127">
        <f t="shared" si="1"/>
        <v>2.3980000000000001</v>
      </c>
      <c r="D61" s="127">
        <f t="shared" si="2"/>
        <v>0.64100000000000001</v>
      </c>
      <c r="E61" s="127">
        <f t="shared" si="13"/>
        <v>28.899000000000008</v>
      </c>
      <c r="F61" s="130">
        <f>Parameters!$B$32*'Pump Data'!$L$21^2+Parameters!$B$33*'Pump Data'!$L$21+Parameters!$B$34</f>
        <v>115.93397007999999</v>
      </c>
      <c r="G61" s="130">
        <f t="shared" si="3"/>
        <v>441.98194279750425</v>
      </c>
      <c r="H61" s="131">
        <f t="shared" si="4"/>
        <v>0.44198194279750425</v>
      </c>
      <c r="I61" s="126">
        <f t="shared" si="5"/>
        <v>11990</v>
      </c>
      <c r="J61" s="126">
        <f t="shared" si="6"/>
        <v>11.99</v>
      </c>
      <c r="K61" s="126">
        <f t="shared" si="7"/>
        <v>23980000</v>
      </c>
      <c r="L61" s="131">
        <f t="shared" si="8"/>
        <v>23.98</v>
      </c>
      <c r="M61" s="126">
        <f t="shared" si="9"/>
        <v>864</v>
      </c>
      <c r="N61" s="131">
        <f t="shared" si="10"/>
        <v>3.1103999999999998</v>
      </c>
      <c r="O61" s="131">
        <f t="shared" si="11"/>
        <v>27.532381942797503</v>
      </c>
      <c r="P61" s="8">
        <f t="shared" si="12"/>
        <v>41078</v>
      </c>
      <c r="Q61" s="8">
        <f>IF(Parameters!$G$29="y",IF(INT($P61/Parameters!$K$29)&gt;INT($P60/Parameters!$K$29),1,0),0)</f>
        <v>0</v>
      </c>
      <c r="R61" s="8">
        <f>IF(Parameters!$G$30="y",IF(INT($P61/Parameters!$K$30)&gt;INT($P60/Parameters!$K$30),1,0),0)</f>
        <v>1</v>
      </c>
      <c r="S61" s="8">
        <f>IF(INT($P61/Parameters!$K$31)&gt;INT($P60/Parameters!$K$31),1,0)</f>
        <v>1</v>
      </c>
      <c r="T61" s="76">
        <f t="shared" si="0"/>
        <v>1</v>
      </c>
      <c r="U61" s="8">
        <f>C60/'Pump Data'!$L$21*1000/60</f>
        <v>0.6450712091594526</v>
      </c>
      <c r="V61" s="8"/>
      <c r="W61" s="8"/>
    </row>
    <row r="62" spans="1:23" ht="14.25" x14ac:dyDescent="0.45">
      <c r="A62" s="125">
        <v>41690</v>
      </c>
      <c r="B62" s="126">
        <v>2.4</v>
      </c>
      <c r="C62" s="127">
        <f t="shared" si="1"/>
        <v>0.26399999999999996</v>
      </c>
      <c r="D62" s="127">
        <f t="shared" si="2"/>
        <v>0.64100000000000001</v>
      </c>
      <c r="E62" s="127">
        <f t="shared" si="13"/>
        <v>28.522000000000006</v>
      </c>
      <c r="F62" s="130">
        <f>Parameters!$B$32*'Pump Data'!$L$21^2+Parameters!$B$33*'Pump Data'!$L$21+Parameters!$B$34</f>
        <v>115.93397007999999</v>
      </c>
      <c r="G62" s="130">
        <f t="shared" si="3"/>
        <v>48.658562509816967</v>
      </c>
      <c r="H62" s="131">
        <f t="shared" si="4"/>
        <v>4.8658562509816969E-2</v>
      </c>
      <c r="I62" s="126">
        <f t="shared" si="5"/>
        <v>1319.9999999999995</v>
      </c>
      <c r="J62" s="126">
        <f t="shared" si="6"/>
        <v>1.3199999999999996</v>
      </c>
      <c r="K62" s="126">
        <f t="shared" si="7"/>
        <v>2639999.9999999991</v>
      </c>
      <c r="L62" s="131">
        <f t="shared" si="8"/>
        <v>2.6399999999999992</v>
      </c>
      <c r="M62" s="126">
        <f t="shared" si="9"/>
        <v>864</v>
      </c>
      <c r="N62" s="131">
        <f t="shared" si="10"/>
        <v>3.1103999999999998</v>
      </c>
      <c r="O62" s="131">
        <f t="shared" si="11"/>
        <v>5.7990585625098161</v>
      </c>
      <c r="P62" s="8">
        <f t="shared" si="12"/>
        <v>41342.000000000007</v>
      </c>
      <c r="Q62" s="8">
        <f>IF(Parameters!$G$29="y",IF(INT($P62/Parameters!$K$29)&gt;INT($P61/Parameters!$K$29),1,0),0)</f>
        <v>0</v>
      </c>
      <c r="R62" s="8">
        <f>IF(Parameters!$G$30="y",IF(INT($P62/Parameters!$K$30)&gt;INT($P61/Parameters!$K$30),1,0),0)</f>
        <v>0</v>
      </c>
      <c r="S62" s="8">
        <f>IF(INT($P62/Parameters!$K$31)&gt;INT($P61/Parameters!$K$31),1,0)</f>
        <v>0</v>
      </c>
      <c r="T62" s="76">
        <f t="shared" si="0"/>
        <v>0</v>
      </c>
      <c r="U62" s="8">
        <f>C61/'Pump Data'!$L$21*1000/60</f>
        <v>1.1160755841012751</v>
      </c>
      <c r="V62" s="8"/>
      <c r="W62" s="8"/>
    </row>
    <row r="63" spans="1:23" ht="14.25" x14ac:dyDescent="0.45">
      <c r="A63" s="125">
        <v>41691</v>
      </c>
      <c r="B63" s="126">
        <v>0.8</v>
      </c>
      <c r="C63" s="127">
        <f t="shared" si="1"/>
        <v>8.8000000000000009E-2</v>
      </c>
      <c r="D63" s="127">
        <f t="shared" si="2"/>
        <v>0.64100000000000001</v>
      </c>
      <c r="E63" s="127">
        <f t="shared" si="13"/>
        <v>27.969000000000008</v>
      </c>
      <c r="F63" s="130">
        <f>Parameters!$B$32*'Pump Data'!$L$21^2+Parameters!$B$33*'Pump Data'!$L$21+Parameters!$B$34</f>
        <v>115.93397007999999</v>
      </c>
      <c r="G63" s="130">
        <f t="shared" si="3"/>
        <v>16.21952083660566</v>
      </c>
      <c r="H63" s="131">
        <f t="shared" si="4"/>
        <v>1.6219520836605661E-2</v>
      </c>
      <c r="I63" s="126">
        <f t="shared" si="5"/>
        <v>440.00000000000011</v>
      </c>
      <c r="J63" s="126">
        <f t="shared" si="6"/>
        <v>0.44000000000000011</v>
      </c>
      <c r="K63" s="126">
        <f t="shared" si="7"/>
        <v>880000.00000000023</v>
      </c>
      <c r="L63" s="131">
        <f t="shared" si="8"/>
        <v>0.88000000000000023</v>
      </c>
      <c r="M63" s="126">
        <f t="shared" si="9"/>
        <v>864</v>
      </c>
      <c r="N63" s="131">
        <f t="shared" si="10"/>
        <v>3.1103999999999998</v>
      </c>
      <c r="O63" s="131">
        <f t="shared" si="11"/>
        <v>4.0066195208366056</v>
      </c>
      <c r="P63" s="8">
        <f t="shared" si="12"/>
        <v>41430.000000000007</v>
      </c>
      <c r="Q63" s="8">
        <f>IF(Parameters!$G$29="y",IF(INT($P63/Parameters!$K$29)&gt;INT($P62/Parameters!$K$29),1,0),0)</f>
        <v>0</v>
      </c>
      <c r="R63" s="8">
        <f>IF(Parameters!$G$30="y",IF(INT($P63/Parameters!$K$30)&gt;INT($P62/Parameters!$K$30),1,0),0)</f>
        <v>0</v>
      </c>
      <c r="S63" s="8">
        <f>IF(INT($P63/Parameters!$K$31)&gt;INT($P62/Parameters!$K$31),1,0)</f>
        <v>0</v>
      </c>
      <c r="T63" s="76">
        <f t="shared" si="0"/>
        <v>0</v>
      </c>
      <c r="U63" s="8">
        <f>C62/'Pump Data'!$L$21*1000/60</f>
        <v>0.12287070650656239</v>
      </c>
      <c r="V63" s="8"/>
      <c r="W63" s="8"/>
    </row>
    <row r="64" spans="1:23" ht="14.25" x14ac:dyDescent="0.45">
      <c r="A64" s="125">
        <v>41692</v>
      </c>
      <c r="B64" s="126">
        <v>4.8</v>
      </c>
      <c r="C64" s="127">
        <f t="shared" si="1"/>
        <v>0.52799999999999991</v>
      </c>
      <c r="D64" s="127">
        <f t="shared" si="2"/>
        <v>0.64100000000000001</v>
      </c>
      <c r="E64" s="127">
        <f t="shared" si="13"/>
        <v>27.856000000000009</v>
      </c>
      <c r="F64" s="130">
        <f>Parameters!$B$32*'Pump Data'!$L$21^2+Parameters!$B$33*'Pump Data'!$L$21+Parameters!$B$34</f>
        <v>115.93397007999999</v>
      </c>
      <c r="G64" s="130">
        <f t="shared" si="3"/>
        <v>97.317125019633934</v>
      </c>
      <c r="H64" s="131">
        <f t="shared" si="4"/>
        <v>9.7317125019633938E-2</v>
      </c>
      <c r="I64" s="126">
        <f t="shared" si="5"/>
        <v>2639.9999999999991</v>
      </c>
      <c r="J64" s="126">
        <f t="shared" si="6"/>
        <v>2.6399999999999992</v>
      </c>
      <c r="K64" s="126">
        <f t="shared" si="7"/>
        <v>5279999.9999999981</v>
      </c>
      <c r="L64" s="131">
        <f t="shared" si="8"/>
        <v>5.2799999999999985</v>
      </c>
      <c r="M64" s="126">
        <f t="shared" si="9"/>
        <v>864</v>
      </c>
      <c r="N64" s="131">
        <f t="shared" si="10"/>
        <v>3.1103999999999998</v>
      </c>
      <c r="O64" s="131">
        <f t="shared" si="11"/>
        <v>8.4877171250196319</v>
      </c>
      <c r="P64" s="8">
        <f t="shared" si="12"/>
        <v>41958.000000000007</v>
      </c>
      <c r="Q64" s="8">
        <f>IF(Parameters!$G$29="y",IF(INT($P64/Parameters!$K$29)&gt;INT($P63/Parameters!$K$29),1,0),0)</f>
        <v>0</v>
      </c>
      <c r="R64" s="8">
        <f>IF(Parameters!$G$30="y",IF(INT($P64/Parameters!$K$30)&gt;INT($P63/Parameters!$K$30),1,0),0)</f>
        <v>0</v>
      </c>
      <c r="S64" s="8">
        <f>IF(INT($P64/Parameters!$K$31)&gt;INT($P63/Parameters!$K$31),1,0)</f>
        <v>0</v>
      </c>
      <c r="T64" s="76">
        <f t="shared" si="0"/>
        <v>0</v>
      </c>
      <c r="U64" s="8">
        <f>C63/'Pump Data'!$L$21*1000/60</f>
        <v>4.0956902168854142E-2</v>
      </c>
      <c r="V64" s="8"/>
      <c r="W64" s="8"/>
    </row>
    <row r="65" spans="1:23" ht="14.25" x14ac:dyDescent="0.45">
      <c r="A65" s="125">
        <v>41693</v>
      </c>
      <c r="B65" s="126">
        <v>14.6</v>
      </c>
      <c r="C65" s="127">
        <f t="shared" si="1"/>
        <v>1.6060000000000001</v>
      </c>
      <c r="D65" s="127">
        <f t="shared" si="2"/>
        <v>0.64100000000000001</v>
      </c>
      <c r="E65" s="127">
        <f t="shared" si="13"/>
        <v>28.821000000000012</v>
      </c>
      <c r="F65" s="130">
        <f>Parameters!$B$32*'Pump Data'!$L$21^2+Parameters!$B$33*'Pump Data'!$L$21+Parameters!$B$34</f>
        <v>115.93397007999999</v>
      </c>
      <c r="G65" s="130">
        <f t="shared" si="3"/>
        <v>296.00625526805328</v>
      </c>
      <c r="H65" s="131">
        <f t="shared" si="4"/>
        <v>0.2960062552680533</v>
      </c>
      <c r="I65" s="126">
        <f t="shared" si="5"/>
        <v>8030</v>
      </c>
      <c r="J65" s="126">
        <f t="shared" si="6"/>
        <v>8.0299999999999994</v>
      </c>
      <c r="K65" s="126">
        <f t="shared" si="7"/>
        <v>16059999.999999998</v>
      </c>
      <c r="L65" s="131">
        <f t="shared" si="8"/>
        <v>16.059999999999999</v>
      </c>
      <c r="M65" s="126">
        <f t="shared" si="9"/>
        <v>864</v>
      </c>
      <c r="N65" s="131">
        <f t="shared" si="10"/>
        <v>3.1103999999999998</v>
      </c>
      <c r="O65" s="131">
        <f t="shared" si="11"/>
        <v>19.466406255268051</v>
      </c>
      <c r="P65" s="8">
        <f t="shared" si="12"/>
        <v>43564.000000000007</v>
      </c>
      <c r="Q65" s="8">
        <f>IF(Parameters!$G$29="y",IF(INT($P65/Parameters!$K$29)&gt;INT($P64/Parameters!$K$29),1,0),0)</f>
        <v>0</v>
      </c>
      <c r="R65" s="8">
        <f>IF(Parameters!$G$30="y",IF(INT($P65/Parameters!$K$30)&gt;INT($P64/Parameters!$K$30),1,0),0)</f>
        <v>0</v>
      </c>
      <c r="S65" s="8">
        <f>IF(INT($P65/Parameters!$K$31)&gt;INT($P64/Parameters!$K$31),1,0)</f>
        <v>0</v>
      </c>
      <c r="T65" s="76">
        <f t="shared" si="0"/>
        <v>0</v>
      </c>
      <c r="U65" s="8">
        <f>C64/'Pump Data'!$L$21*1000/60</f>
        <v>0.24574141301312477</v>
      </c>
      <c r="V65" s="8"/>
      <c r="W65" s="8"/>
    </row>
    <row r="66" spans="1:23" ht="14.25" x14ac:dyDescent="0.45">
      <c r="A66" s="125">
        <v>41694</v>
      </c>
      <c r="B66" s="126">
        <v>6.8</v>
      </c>
      <c r="C66" s="127">
        <f t="shared" si="1"/>
        <v>0.748</v>
      </c>
      <c r="D66" s="127">
        <f t="shared" si="2"/>
        <v>0.64100000000000001</v>
      </c>
      <c r="E66" s="127">
        <f t="shared" si="13"/>
        <v>28.928000000000011</v>
      </c>
      <c r="F66" s="130">
        <f>Parameters!$B$32*'Pump Data'!$L$21^2+Parameters!$B$33*'Pump Data'!$L$21+Parameters!$B$34</f>
        <v>115.93397007999999</v>
      </c>
      <c r="G66" s="130">
        <f t="shared" si="3"/>
        <v>137.8659271111481</v>
      </c>
      <c r="H66" s="131">
        <f t="shared" si="4"/>
        <v>0.13786592711114809</v>
      </c>
      <c r="I66" s="126">
        <f t="shared" si="5"/>
        <v>3740</v>
      </c>
      <c r="J66" s="126">
        <f t="shared" si="6"/>
        <v>3.74</v>
      </c>
      <c r="K66" s="126">
        <f t="shared" si="7"/>
        <v>7480000</v>
      </c>
      <c r="L66" s="131">
        <f t="shared" si="8"/>
        <v>7.48</v>
      </c>
      <c r="M66" s="126">
        <f t="shared" si="9"/>
        <v>864</v>
      </c>
      <c r="N66" s="131">
        <f t="shared" si="10"/>
        <v>3.1103999999999998</v>
      </c>
      <c r="O66" s="131">
        <f t="shared" si="11"/>
        <v>10.728265927111149</v>
      </c>
      <c r="P66" s="8">
        <f t="shared" si="12"/>
        <v>44312.000000000007</v>
      </c>
      <c r="Q66" s="8">
        <f>IF(Parameters!$G$29="y",IF(INT($P66/Parameters!$K$29)&gt;INT($P65/Parameters!$K$29),1,0),0)</f>
        <v>0</v>
      </c>
      <c r="R66" s="8">
        <f>IF(Parameters!$G$30="y",IF(INT($P66/Parameters!$K$30)&gt;INT($P65/Parameters!$K$30),1,0),0)</f>
        <v>0</v>
      </c>
      <c r="S66" s="8">
        <f>IF(INT($P66/Parameters!$K$31)&gt;INT($P65/Parameters!$K$31),1,0)</f>
        <v>0</v>
      </c>
      <c r="T66" s="76">
        <f t="shared" si="0"/>
        <v>0</v>
      </c>
      <c r="U66" s="8">
        <f>C65/'Pump Data'!$L$21*1000/60</f>
        <v>0.74746346458158797</v>
      </c>
      <c r="V66" s="8"/>
      <c r="W66" s="8"/>
    </row>
    <row r="67" spans="1:23" ht="14.25" x14ac:dyDescent="0.45">
      <c r="A67" s="125">
        <v>41695</v>
      </c>
      <c r="B67" s="126">
        <v>0</v>
      </c>
      <c r="C67" s="127">
        <f t="shared" si="1"/>
        <v>0</v>
      </c>
      <c r="D67" s="127">
        <f t="shared" si="2"/>
        <v>0.64100000000000001</v>
      </c>
      <c r="E67" s="127">
        <f t="shared" si="13"/>
        <v>28.287000000000013</v>
      </c>
      <c r="F67" s="130">
        <f>Parameters!$B$32*'Pump Data'!$L$21^2+Parameters!$B$33*'Pump Data'!$L$21+Parameters!$B$34</f>
        <v>115.93397007999999</v>
      </c>
      <c r="G67" s="130">
        <f t="shared" si="3"/>
        <v>0</v>
      </c>
      <c r="H67" s="131">
        <f t="shared" si="4"/>
        <v>0</v>
      </c>
      <c r="I67" s="126">
        <f t="shared" si="5"/>
        <v>0</v>
      </c>
      <c r="J67" s="126">
        <f t="shared" si="6"/>
        <v>0</v>
      </c>
      <c r="K67" s="126">
        <f t="shared" si="7"/>
        <v>0</v>
      </c>
      <c r="L67" s="131">
        <f t="shared" si="8"/>
        <v>0</v>
      </c>
      <c r="M67" s="126">
        <f t="shared" si="9"/>
        <v>864</v>
      </c>
      <c r="N67" s="131">
        <f t="shared" si="10"/>
        <v>3.1103999999999998</v>
      </c>
      <c r="O67" s="131">
        <f t="shared" si="11"/>
        <v>3.1103999999999998</v>
      </c>
      <c r="P67" s="8">
        <f t="shared" si="12"/>
        <v>44312.000000000007</v>
      </c>
      <c r="Q67" s="8">
        <f>IF(Parameters!$G$29="y",IF(INT($P67/Parameters!$K$29)&gt;INT($P66/Parameters!$K$29),1,0),0)</f>
        <v>0</v>
      </c>
      <c r="R67" s="8">
        <f>IF(Parameters!$G$30="y",IF(INT($P67/Parameters!$K$30)&gt;INT($P66/Parameters!$K$30),1,0),0)</f>
        <v>0</v>
      </c>
      <c r="S67" s="8">
        <f>IF(INT($P67/Parameters!$K$31)&gt;INT($P66/Parameters!$K$31),1,0)</f>
        <v>0</v>
      </c>
      <c r="T67" s="76">
        <f t="shared" si="0"/>
        <v>0</v>
      </c>
      <c r="U67" s="8">
        <f>C66/'Pump Data'!$L$21*1000/60</f>
        <v>0.34813366843526011</v>
      </c>
      <c r="V67" s="8"/>
      <c r="W67" s="8"/>
    </row>
    <row r="68" spans="1:23" ht="14.25" x14ac:dyDescent="0.45">
      <c r="A68" s="125">
        <v>41696</v>
      </c>
      <c r="B68" s="126">
        <v>0.8</v>
      </c>
      <c r="C68" s="127">
        <f t="shared" si="1"/>
        <v>8.8000000000000009E-2</v>
      </c>
      <c r="D68" s="127">
        <f t="shared" si="2"/>
        <v>0.64100000000000001</v>
      </c>
      <c r="E68" s="127">
        <f t="shared" si="13"/>
        <v>27.734000000000016</v>
      </c>
      <c r="F68" s="130">
        <f>Parameters!$B$32*'Pump Data'!$L$21^2+Parameters!$B$33*'Pump Data'!$L$21+Parameters!$B$34</f>
        <v>115.93397007999999</v>
      </c>
      <c r="G68" s="130">
        <f t="shared" si="3"/>
        <v>16.21952083660566</v>
      </c>
      <c r="H68" s="131">
        <f t="shared" si="4"/>
        <v>1.6219520836605661E-2</v>
      </c>
      <c r="I68" s="126">
        <f t="shared" si="5"/>
        <v>440.00000000000011</v>
      </c>
      <c r="J68" s="126">
        <f t="shared" si="6"/>
        <v>0.44000000000000011</v>
      </c>
      <c r="K68" s="126">
        <f t="shared" si="7"/>
        <v>880000.00000000023</v>
      </c>
      <c r="L68" s="131">
        <f t="shared" si="8"/>
        <v>0.88000000000000023</v>
      </c>
      <c r="M68" s="126">
        <f t="shared" si="9"/>
        <v>864</v>
      </c>
      <c r="N68" s="131">
        <f t="shared" si="10"/>
        <v>3.1103999999999998</v>
      </c>
      <c r="O68" s="131">
        <f t="shared" si="11"/>
        <v>4.0066195208366056</v>
      </c>
      <c r="P68" s="8">
        <f t="shared" si="12"/>
        <v>44400.000000000007</v>
      </c>
      <c r="Q68" s="8">
        <f>IF(Parameters!$G$29="y",IF(INT($P68/Parameters!$K$29)&gt;INT($P67/Parameters!$K$29),1,0),0)</f>
        <v>0</v>
      </c>
      <c r="R68" s="8">
        <f>IF(Parameters!$G$30="y",IF(INT($P68/Parameters!$K$30)&gt;INT($P67/Parameters!$K$30),1,0),0)</f>
        <v>0</v>
      </c>
      <c r="S68" s="8">
        <f>IF(INT($P68/Parameters!$K$31)&gt;INT($P67/Parameters!$K$31),1,0)</f>
        <v>0</v>
      </c>
      <c r="T68" s="76">
        <f t="shared" si="0"/>
        <v>0</v>
      </c>
      <c r="U68" s="8">
        <f>C67/'Pump Data'!$L$21*1000/60</f>
        <v>0</v>
      </c>
      <c r="V68" s="8"/>
      <c r="W68" s="8"/>
    </row>
    <row r="69" spans="1:23" ht="14.25" x14ac:dyDescent="0.45">
      <c r="A69" s="125">
        <v>41697</v>
      </c>
      <c r="B69" s="126">
        <v>0</v>
      </c>
      <c r="C69" s="127">
        <f t="shared" si="1"/>
        <v>0</v>
      </c>
      <c r="D69" s="127">
        <f t="shared" si="2"/>
        <v>0.64100000000000001</v>
      </c>
      <c r="E69" s="127">
        <f t="shared" si="13"/>
        <v>27.093000000000018</v>
      </c>
      <c r="F69" s="130">
        <f>Parameters!$B$32*'Pump Data'!$L$21^2+Parameters!$B$33*'Pump Data'!$L$21+Parameters!$B$34</f>
        <v>115.93397007999999</v>
      </c>
      <c r="G69" s="130">
        <f t="shared" si="3"/>
        <v>0</v>
      </c>
      <c r="H69" s="131">
        <f t="shared" si="4"/>
        <v>0</v>
      </c>
      <c r="I69" s="126">
        <f t="shared" si="5"/>
        <v>0</v>
      </c>
      <c r="J69" s="126">
        <f t="shared" si="6"/>
        <v>0</v>
      </c>
      <c r="K69" s="126">
        <f t="shared" si="7"/>
        <v>0</v>
      </c>
      <c r="L69" s="131">
        <f t="shared" si="8"/>
        <v>0</v>
      </c>
      <c r="M69" s="126">
        <f t="shared" si="9"/>
        <v>864</v>
      </c>
      <c r="N69" s="131">
        <f t="shared" si="10"/>
        <v>3.1103999999999998</v>
      </c>
      <c r="O69" s="131">
        <f t="shared" si="11"/>
        <v>3.1103999999999998</v>
      </c>
      <c r="P69" s="8">
        <f t="shared" si="12"/>
        <v>44400.000000000007</v>
      </c>
      <c r="Q69" s="8">
        <f>IF(Parameters!$G$29="y",IF(INT($P69/Parameters!$K$29)&gt;INT($P68/Parameters!$K$29),1,0),0)</f>
        <v>0</v>
      </c>
      <c r="R69" s="8">
        <f>IF(Parameters!$G$30="y",IF(INT($P69/Parameters!$K$30)&gt;INT($P68/Parameters!$K$30),1,0),0)</f>
        <v>0</v>
      </c>
      <c r="S69" s="8">
        <f>IF(INT($P69/Parameters!$K$31)&gt;INT($P68/Parameters!$K$31),1,0)</f>
        <v>0</v>
      </c>
      <c r="T69" s="76">
        <f t="shared" si="0"/>
        <v>0</v>
      </c>
      <c r="U69" s="8">
        <f>C68/'Pump Data'!$L$21*1000/60</f>
        <v>4.0956902168854142E-2</v>
      </c>
      <c r="V69" s="8"/>
      <c r="W69" s="8"/>
    </row>
    <row r="70" spans="1:23" ht="14.25" x14ac:dyDescent="0.45">
      <c r="A70" s="125">
        <v>41698</v>
      </c>
      <c r="B70" s="126">
        <v>0.4</v>
      </c>
      <c r="C70" s="127">
        <f t="shared" si="1"/>
        <v>4.4000000000000004E-2</v>
      </c>
      <c r="D70" s="127">
        <f t="shared" si="2"/>
        <v>0.64100000000000001</v>
      </c>
      <c r="E70" s="127">
        <f t="shared" si="13"/>
        <v>26.496000000000016</v>
      </c>
      <c r="F70" s="130">
        <f>Parameters!$B$32*'Pump Data'!$L$21^2+Parameters!$B$33*'Pump Data'!$L$21+Parameters!$B$34</f>
        <v>115.93397007999999</v>
      </c>
      <c r="G70" s="130">
        <f t="shared" si="3"/>
        <v>8.1097604183028302</v>
      </c>
      <c r="H70" s="131">
        <f t="shared" si="4"/>
        <v>8.1097604183028305E-3</v>
      </c>
      <c r="I70" s="126">
        <f t="shared" si="5"/>
        <v>220.00000000000006</v>
      </c>
      <c r="J70" s="126">
        <f t="shared" si="6"/>
        <v>0.22000000000000006</v>
      </c>
      <c r="K70" s="126">
        <f t="shared" si="7"/>
        <v>440000.00000000012</v>
      </c>
      <c r="L70" s="131">
        <f t="shared" si="8"/>
        <v>0.44000000000000011</v>
      </c>
      <c r="M70" s="126">
        <f t="shared" si="9"/>
        <v>864</v>
      </c>
      <c r="N70" s="131">
        <f t="shared" si="10"/>
        <v>3.1103999999999998</v>
      </c>
      <c r="O70" s="131">
        <f t="shared" si="11"/>
        <v>3.5585097604183029</v>
      </c>
      <c r="P70" s="8">
        <f t="shared" si="12"/>
        <v>44444</v>
      </c>
      <c r="Q70" s="8">
        <f>IF(Parameters!$G$29="y",IF(INT($P70/Parameters!$K$29)&gt;INT($P69/Parameters!$K$29),1,0),0)</f>
        <v>0</v>
      </c>
      <c r="R70" s="8">
        <f>IF(Parameters!$G$30="y",IF(INT($P70/Parameters!$K$30)&gt;INT($P69/Parameters!$K$30),1,0),0)</f>
        <v>0</v>
      </c>
      <c r="S70" s="8">
        <f>IF(INT($P70/Parameters!$K$31)&gt;INT($P69/Parameters!$K$31),1,0)</f>
        <v>0</v>
      </c>
      <c r="T70" s="76">
        <f t="shared" si="0"/>
        <v>0</v>
      </c>
      <c r="U70" s="8">
        <f>C69/'Pump Data'!$L$21*1000/60</f>
        <v>0</v>
      </c>
      <c r="V70" s="8"/>
      <c r="W70" s="8"/>
    </row>
    <row r="71" spans="1:23" ht="14.25" x14ac:dyDescent="0.45">
      <c r="A71" s="125">
        <v>41699</v>
      </c>
      <c r="B71" s="126">
        <v>2</v>
      </c>
      <c r="C71" s="127">
        <f t="shared" si="1"/>
        <v>0.22</v>
      </c>
      <c r="D71" s="127">
        <f t="shared" si="2"/>
        <v>0.64100000000000001</v>
      </c>
      <c r="E71" s="127">
        <f t="shared" si="13"/>
        <v>26.075000000000017</v>
      </c>
      <c r="F71" s="130">
        <f>Parameters!$B$32*'Pump Data'!$L$21^2+Parameters!$B$33*'Pump Data'!$L$21+Parameters!$B$34</f>
        <v>115.93397007999999</v>
      </c>
      <c r="G71" s="130">
        <f t="shared" si="3"/>
        <v>40.548802091514148</v>
      </c>
      <c r="H71" s="131">
        <f t="shared" si="4"/>
        <v>4.0548802091514145E-2</v>
      </c>
      <c r="I71" s="126">
        <f t="shared" si="5"/>
        <v>1100</v>
      </c>
      <c r="J71" s="126">
        <f t="shared" si="6"/>
        <v>1.1000000000000001</v>
      </c>
      <c r="K71" s="126">
        <f t="shared" si="7"/>
        <v>2200000</v>
      </c>
      <c r="L71" s="131">
        <f t="shared" si="8"/>
        <v>2.2000000000000002</v>
      </c>
      <c r="M71" s="126">
        <f t="shared" si="9"/>
        <v>864</v>
      </c>
      <c r="N71" s="131">
        <f t="shared" si="10"/>
        <v>3.1103999999999998</v>
      </c>
      <c r="O71" s="131">
        <f t="shared" si="11"/>
        <v>5.3509488020915139</v>
      </c>
      <c r="P71" s="8">
        <f t="shared" si="12"/>
        <v>44664</v>
      </c>
      <c r="Q71" s="8">
        <f>IF(Parameters!$G$29="y",IF(INT($P71/Parameters!$K$29)&gt;INT($P70/Parameters!$K$29),1,0),0)</f>
        <v>0</v>
      </c>
      <c r="R71" s="8">
        <f>IF(Parameters!$G$30="y",IF(INT($P71/Parameters!$K$30)&gt;INT($P70/Parameters!$K$30),1,0),0)</f>
        <v>0</v>
      </c>
      <c r="S71" s="8">
        <f>IF(INT($P71/Parameters!$K$31)&gt;INT($P70/Parameters!$K$31),1,0)</f>
        <v>0</v>
      </c>
      <c r="T71" s="76">
        <f t="shared" si="0"/>
        <v>0</v>
      </c>
      <c r="U71" s="8">
        <f>C70/'Pump Data'!$L$21*1000/60</f>
        <v>2.0478451084427071E-2</v>
      </c>
      <c r="V71" s="8"/>
      <c r="W71" s="8"/>
    </row>
    <row r="72" spans="1:23" ht="14.25" x14ac:dyDescent="0.45">
      <c r="A72" s="125">
        <v>41700</v>
      </c>
      <c r="B72" s="126">
        <v>19</v>
      </c>
      <c r="C72" s="127">
        <f t="shared" si="1"/>
        <v>2.09</v>
      </c>
      <c r="D72" s="127">
        <f t="shared" si="2"/>
        <v>0.64100000000000001</v>
      </c>
      <c r="E72" s="127">
        <f t="shared" si="13"/>
        <v>27.524000000000015</v>
      </c>
      <c r="F72" s="130">
        <f>Parameters!$B$32*'Pump Data'!$L$21^2+Parameters!$B$33*'Pump Data'!$L$21+Parameters!$B$34</f>
        <v>115.93397007999999</v>
      </c>
      <c r="G72" s="130">
        <f t="shared" si="3"/>
        <v>385.21361986938439</v>
      </c>
      <c r="H72" s="131">
        <f t="shared" si="4"/>
        <v>0.3852136198693844</v>
      </c>
      <c r="I72" s="126">
        <f t="shared" si="5"/>
        <v>10450</v>
      </c>
      <c r="J72" s="126">
        <f t="shared" si="6"/>
        <v>10.45</v>
      </c>
      <c r="K72" s="126">
        <f t="shared" si="7"/>
        <v>20900000</v>
      </c>
      <c r="L72" s="131">
        <f t="shared" si="8"/>
        <v>20.9</v>
      </c>
      <c r="M72" s="126">
        <f t="shared" si="9"/>
        <v>864</v>
      </c>
      <c r="N72" s="131">
        <f t="shared" si="10"/>
        <v>3.1103999999999998</v>
      </c>
      <c r="O72" s="131">
        <f t="shared" si="11"/>
        <v>24.39561361986938</v>
      </c>
      <c r="P72" s="8">
        <f t="shared" si="12"/>
        <v>46754.000000000007</v>
      </c>
      <c r="Q72" s="8">
        <f>IF(Parameters!$G$29="y",IF(INT($P72/Parameters!$K$29)&gt;INT($P71/Parameters!$K$29),1,0),0)</f>
        <v>0</v>
      </c>
      <c r="R72" s="8">
        <f>IF(Parameters!$G$30="y",IF(INT($P72/Parameters!$K$30)&gt;INT($P71/Parameters!$K$30),1,0),0)</f>
        <v>0</v>
      </c>
      <c r="S72" s="8">
        <f>IF(INT($P72/Parameters!$K$31)&gt;INT($P71/Parameters!$K$31),1,0)</f>
        <v>0</v>
      </c>
      <c r="T72" s="76">
        <f t="shared" si="0"/>
        <v>0</v>
      </c>
      <c r="U72" s="8">
        <f>C71/'Pump Data'!$L$21*1000/60</f>
        <v>0.10239225542213534</v>
      </c>
      <c r="V72" s="8"/>
      <c r="W72" s="8"/>
    </row>
    <row r="73" spans="1:23" ht="14.25" x14ac:dyDescent="0.45">
      <c r="A73" s="125">
        <v>41701</v>
      </c>
      <c r="B73" s="126">
        <v>1</v>
      </c>
      <c r="C73" s="127">
        <f t="shared" si="1"/>
        <v>0.11</v>
      </c>
      <c r="D73" s="127">
        <f t="shared" si="2"/>
        <v>0.64100000000000001</v>
      </c>
      <c r="E73" s="127">
        <f t="shared" si="13"/>
        <v>26.993000000000016</v>
      </c>
      <c r="F73" s="130">
        <f>Parameters!$B$32*'Pump Data'!$L$21^2+Parameters!$B$33*'Pump Data'!$L$21+Parameters!$B$34</f>
        <v>115.93397007999999</v>
      </c>
      <c r="G73" s="130">
        <f t="shared" si="3"/>
        <v>20.274401045757074</v>
      </c>
      <c r="H73" s="131">
        <f t="shared" si="4"/>
        <v>2.0274401045757073E-2</v>
      </c>
      <c r="I73" s="126">
        <f t="shared" si="5"/>
        <v>550</v>
      </c>
      <c r="J73" s="126">
        <f t="shared" si="6"/>
        <v>0.55000000000000004</v>
      </c>
      <c r="K73" s="126">
        <f t="shared" si="7"/>
        <v>1100000</v>
      </c>
      <c r="L73" s="131">
        <f t="shared" si="8"/>
        <v>1.1000000000000001</v>
      </c>
      <c r="M73" s="126">
        <f t="shared" si="9"/>
        <v>864</v>
      </c>
      <c r="N73" s="131">
        <f t="shared" si="10"/>
        <v>3.1103999999999998</v>
      </c>
      <c r="O73" s="131">
        <f t="shared" si="11"/>
        <v>4.2306744010457571</v>
      </c>
      <c r="P73" s="8">
        <f t="shared" si="12"/>
        <v>46864.000000000007</v>
      </c>
      <c r="Q73" s="8">
        <f>IF(Parameters!$G$29="y",IF(INT($P73/Parameters!$K$29)&gt;INT($P72/Parameters!$K$29),1,0),0)</f>
        <v>0</v>
      </c>
      <c r="R73" s="8">
        <f>IF(Parameters!$G$30="y",IF(INT($P73/Parameters!$K$30)&gt;INT($P72/Parameters!$K$30),1,0),0)</f>
        <v>0</v>
      </c>
      <c r="S73" s="8">
        <f>IF(INT($P73/Parameters!$K$31)&gt;INT($P72/Parameters!$K$31),1,0)</f>
        <v>0</v>
      </c>
      <c r="T73" s="76">
        <f t="shared" si="0"/>
        <v>0</v>
      </c>
      <c r="U73" s="8">
        <f>C72/'Pump Data'!$L$21*1000/60</f>
        <v>0.97272642651028574</v>
      </c>
      <c r="V73" s="8"/>
      <c r="W73" s="8"/>
    </row>
    <row r="74" spans="1:23" ht="14.25" x14ac:dyDescent="0.45">
      <c r="A74" s="125">
        <v>41702</v>
      </c>
      <c r="B74" s="126">
        <v>2.4</v>
      </c>
      <c r="C74" s="127">
        <f t="shared" si="1"/>
        <v>0.26399999999999996</v>
      </c>
      <c r="D74" s="127">
        <f t="shared" si="2"/>
        <v>0.64100000000000001</v>
      </c>
      <c r="E74" s="127">
        <f t="shared" si="13"/>
        <v>26.616000000000014</v>
      </c>
      <c r="F74" s="130">
        <f>Parameters!$B$32*'Pump Data'!$L$21^2+Parameters!$B$33*'Pump Data'!$L$21+Parameters!$B$34</f>
        <v>115.93397007999999</v>
      </c>
      <c r="G74" s="130">
        <f t="shared" si="3"/>
        <v>48.658562509816967</v>
      </c>
      <c r="H74" s="131">
        <f t="shared" si="4"/>
        <v>4.8658562509816969E-2</v>
      </c>
      <c r="I74" s="126">
        <f t="shared" si="5"/>
        <v>1319.9999999999995</v>
      </c>
      <c r="J74" s="126">
        <f t="shared" si="6"/>
        <v>1.3199999999999996</v>
      </c>
      <c r="K74" s="126">
        <f t="shared" si="7"/>
        <v>2639999.9999999991</v>
      </c>
      <c r="L74" s="131">
        <f t="shared" si="8"/>
        <v>2.6399999999999992</v>
      </c>
      <c r="M74" s="126">
        <f t="shared" si="9"/>
        <v>864</v>
      </c>
      <c r="N74" s="131">
        <f t="shared" si="10"/>
        <v>3.1103999999999998</v>
      </c>
      <c r="O74" s="131">
        <f t="shared" si="11"/>
        <v>5.7990585625098161</v>
      </c>
      <c r="P74" s="8">
        <f t="shared" si="12"/>
        <v>47128.000000000007</v>
      </c>
      <c r="Q74" s="8">
        <f>IF(Parameters!$G$29="y",IF(INT($P74/Parameters!$K$29)&gt;INT($P73/Parameters!$K$29),1,0),0)</f>
        <v>0</v>
      </c>
      <c r="R74" s="8">
        <f>IF(Parameters!$G$30="y",IF(INT($P74/Parameters!$K$30)&gt;INT($P73/Parameters!$K$30),1,0),0)</f>
        <v>0</v>
      </c>
      <c r="S74" s="8">
        <f>IF(INT($P74/Parameters!$K$31)&gt;INT($P73/Parameters!$K$31),1,0)</f>
        <v>0</v>
      </c>
      <c r="T74" s="76">
        <f t="shared" si="0"/>
        <v>0</v>
      </c>
      <c r="U74" s="8">
        <f>C73/'Pump Data'!$L$21*1000/60</f>
        <v>5.1196127711067671E-2</v>
      </c>
      <c r="V74" s="8"/>
      <c r="W74" s="8"/>
    </row>
    <row r="75" spans="1:23" ht="14.25" x14ac:dyDescent="0.45">
      <c r="A75" s="125">
        <v>41703</v>
      </c>
      <c r="B75" s="126">
        <v>23.8</v>
      </c>
      <c r="C75" s="127">
        <f t="shared" si="1"/>
        <v>2.5</v>
      </c>
      <c r="D75" s="127">
        <f t="shared" si="2"/>
        <v>0.64100000000000001</v>
      </c>
      <c r="E75" s="127">
        <f t="shared" si="13"/>
        <v>28.475000000000016</v>
      </c>
      <c r="F75" s="130">
        <f>Parameters!$B$32*'Pump Data'!$L$21^2+Parameters!$B$33*'Pump Data'!$L$21+Parameters!$B$34</f>
        <v>115.93397007999999</v>
      </c>
      <c r="G75" s="130">
        <f t="shared" si="3"/>
        <v>460.7818419490244</v>
      </c>
      <c r="H75" s="131">
        <f t="shared" si="4"/>
        <v>0.46078184194902438</v>
      </c>
      <c r="I75" s="126">
        <f t="shared" si="5"/>
        <v>12500</v>
      </c>
      <c r="J75" s="126">
        <f t="shared" si="6"/>
        <v>12.5</v>
      </c>
      <c r="K75" s="126">
        <f t="shared" si="7"/>
        <v>25000000</v>
      </c>
      <c r="L75" s="131">
        <f t="shared" si="8"/>
        <v>25</v>
      </c>
      <c r="M75" s="126">
        <f t="shared" si="9"/>
        <v>864</v>
      </c>
      <c r="N75" s="131">
        <f t="shared" si="10"/>
        <v>3.1103999999999998</v>
      </c>
      <c r="O75" s="131">
        <f t="shared" si="11"/>
        <v>28.571181841949024</v>
      </c>
      <c r="P75" s="8">
        <f t="shared" si="12"/>
        <v>49628.000000000007</v>
      </c>
      <c r="Q75" s="8">
        <f>IF(Parameters!$G$29="y",IF(INT($P75/Parameters!$K$29)&gt;INT($P74/Parameters!$K$29),1,0),0)</f>
        <v>0</v>
      </c>
      <c r="R75" s="8">
        <f>IF(Parameters!$G$30="y",IF(INT($P75/Parameters!$K$30)&gt;INT($P74/Parameters!$K$30),1,0),0)</f>
        <v>0</v>
      </c>
      <c r="S75" s="8">
        <f>IF(INT($P75/Parameters!$K$31)&gt;INT($P74/Parameters!$K$31),1,0)</f>
        <v>0</v>
      </c>
      <c r="T75" s="76">
        <f t="shared" si="0"/>
        <v>0</v>
      </c>
      <c r="U75" s="8">
        <f>C74/'Pump Data'!$L$21*1000/60</f>
        <v>0.12287070650656239</v>
      </c>
      <c r="V75" s="8"/>
      <c r="W75" s="8"/>
    </row>
    <row r="76" spans="1:23" ht="14.25" x14ac:dyDescent="0.45">
      <c r="A76" s="125">
        <v>41704</v>
      </c>
      <c r="B76" s="126">
        <v>8.6</v>
      </c>
      <c r="C76" s="127">
        <f t="shared" si="1"/>
        <v>0.94599999999999995</v>
      </c>
      <c r="D76" s="127">
        <f t="shared" si="2"/>
        <v>0.64100000000000001</v>
      </c>
      <c r="E76" s="127">
        <f t="shared" si="13"/>
        <v>28.780000000000015</v>
      </c>
      <c r="F76" s="130">
        <f>Parameters!$B$32*'Pump Data'!$L$21^2+Parameters!$B$33*'Pump Data'!$L$21+Parameters!$B$34</f>
        <v>115.93397007999999</v>
      </c>
      <c r="G76" s="130">
        <f t="shared" si="3"/>
        <v>174.35984899351084</v>
      </c>
      <c r="H76" s="131">
        <f t="shared" si="4"/>
        <v>0.17435984899351084</v>
      </c>
      <c r="I76" s="126">
        <f t="shared" si="5"/>
        <v>4730</v>
      </c>
      <c r="J76" s="126">
        <f t="shared" si="6"/>
        <v>4.7300000000000004</v>
      </c>
      <c r="K76" s="126">
        <f t="shared" si="7"/>
        <v>9460000</v>
      </c>
      <c r="L76" s="131">
        <f t="shared" si="8"/>
        <v>9.4600000000000009</v>
      </c>
      <c r="M76" s="126">
        <f t="shared" si="9"/>
        <v>864</v>
      </c>
      <c r="N76" s="131">
        <f t="shared" si="10"/>
        <v>3.1103999999999998</v>
      </c>
      <c r="O76" s="131">
        <f t="shared" si="11"/>
        <v>12.744759848993512</v>
      </c>
      <c r="P76" s="8">
        <f t="shared" si="12"/>
        <v>50574.000000000007</v>
      </c>
      <c r="Q76" s="8">
        <f>IF(Parameters!$G$29="y",IF(INT($P76/Parameters!$K$29)&gt;INT($P75/Parameters!$K$29),1,0),0)</f>
        <v>1</v>
      </c>
      <c r="R76" s="8">
        <f>IF(Parameters!$G$30="y",IF(INT($P76/Parameters!$K$30)&gt;INT($P75/Parameters!$K$30),1,0),0)</f>
        <v>0</v>
      </c>
      <c r="S76" s="8">
        <f>IF(INT($P76/Parameters!$K$31)&gt;INT($P75/Parameters!$K$31),1,0)</f>
        <v>0</v>
      </c>
      <c r="T76" s="76">
        <f t="shared" si="0"/>
        <v>1</v>
      </c>
      <c r="U76" s="8">
        <f>C75/'Pump Data'!$L$21*1000/60</f>
        <v>1.1635483570697196</v>
      </c>
      <c r="V76" s="8"/>
      <c r="W76" s="8"/>
    </row>
    <row r="77" spans="1:23" ht="14.25" x14ac:dyDescent="0.45">
      <c r="A77" s="125">
        <v>41705</v>
      </c>
      <c r="B77" s="126">
        <v>34</v>
      </c>
      <c r="C77" s="127">
        <f t="shared" si="1"/>
        <v>2.5</v>
      </c>
      <c r="D77" s="127">
        <f t="shared" si="2"/>
        <v>0.64100000000000001</v>
      </c>
      <c r="E77" s="127">
        <f t="shared" si="13"/>
        <v>30.639000000000017</v>
      </c>
      <c r="F77" s="130">
        <f>Parameters!$B$32*'Pump Data'!$L$21^2+Parameters!$B$33*'Pump Data'!$L$21+Parameters!$B$34</f>
        <v>115.93397007999999</v>
      </c>
      <c r="G77" s="130">
        <f t="shared" si="3"/>
        <v>460.7818419490244</v>
      </c>
      <c r="H77" s="131">
        <f t="shared" si="4"/>
        <v>0.46078184194902438</v>
      </c>
      <c r="I77" s="126">
        <f t="shared" si="5"/>
        <v>12500</v>
      </c>
      <c r="J77" s="126">
        <f t="shared" si="6"/>
        <v>12.5</v>
      </c>
      <c r="K77" s="126">
        <f t="shared" si="7"/>
        <v>25000000</v>
      </c>
      <c r="L77" s="131">
        <f t="shared" si="8"/>
        <v>25</v>
      </c>
      <c r="M77" s="126">
        <f t="shared" si="9"/>
        <v>864</v>
      </c>
      <c r="N77" s="131">
        <f t="shared" si="10"/>
        <v>3.1103999999999998</v>
      </c>
      <c r="O77" s="131">
        <f t="shared" si="11"/>
        <v>28.571181841949024</v>
      </c>
      <c r="P77" s="8">
        <f t="shared" si="12"/>
        <v>53074.000000000007</v>
      </c>
      <c r="Q77" s="8">
        <f>IF(Parameters!$G$29="y",IF(INT($P77/Parameters!$K$29)&gt;INT($P76/Parameters!$K$29),1,0),0)</f>
        <v>0</v>
      </c>
      <c r="R77" s="8">
        <f>IF(Parameters!$G$30="y",IF(INT($P77/Parameters!$K$30)&gt;INT($P76/Parameters!$K$30),1,0),0)</f>
        <v>0</v>
      </c>
      <c r="S77" s="8">
        <f>IF(INT($P77/Parameters!$K$31)&gt;INT($P76/Parameters!$K$31),1,0)</f>
        <v>0</v>
      </c>
      <c r="T77" s="76">
        <f t="shared" si="0"/>
        <v>0</v>
      </c>
      <c r="U77" s="8">
        <f>C76/'Pump Data'!$L$21*1000/60</f>
        <v>0.44028669831518191</v>
      </c>
      <c r="V77" s="8"/>
      <c r="W77" s="8"/>
    </row>
    <row r="78" spans="1:23" ht="14.25" x14ac:dyDescent="0.45">
      <c r="A78" s="125">
        <v>41706</v>
      </c>
      <c r="B78" s="126">
        <v>52.4</v>
      </c>
      <c r="C78" s="127">
        <f t="shared" si="1"/>
        <v>2.5</v>
      </c>
      <c r="D78" s="127">
        <f t="shared" si="2"/>
        <v>0.64100000000000001</v>
      </c>
      <c r="E78" s="127">
        <f t="shared" si="13"/>
        <v>32.498000000000019</v>
      </c>
      <c r="F78" s="130">
        <f>Parameters!$B$32*'Pump Data'!$L$21^2+Parameters!$B$33*'Pump Data'!$L$21+Parameters!$B$34</f>
        <v>115.93397007999999</v>
      </c>
      <c r="G78" s="130">
        <f t="shared" si="3"/>
        <v>460.7818419490244</v>
      </c>
      <c r="H78" s="131">
        <f t="shared" si="4"/>
        <v>0.46078184194902438</v>
      </c>
      <c r="I78" s="126">
        <f t="shared" si="5"/>
        <v>12500</v>
      </c>
      <c r="J78" s="126">
        <f t="shared" si="6"/>
        <v>12.5</v>
      </c>
      <c r="K78" s="126">
        <f t="shared" si="7"/>
        <v>25000000</v>
      </c>
      <c r="L78" s="131">
        <f t="shared" si="8"/>
        <v>25</v>
      </c>
      <c r="M78" s="126">
        <f t="shared" si="9"/>
        <v>864</v>
      </c>
      <c r="N78" s="131">
        <f t="shared" si="10"/>
        <v>3.1103999999999998</v>
      </c>
      <c r="O78" s="131">
        <f t="shared" si="11"/>
        <v>28.571181841949024</v>
      </c>
      <c r="P78" s="8">
        <f t="shared" si="12"/>
        <v>55574.000000000007</v>
      </c>
      <c r="Q78" s="8">
        <f>IF(Parameters!$G$29="y",IF(INT($P78/Parameters!$K$29)&gt;INT($P77/Parameters!$K$29),1,0),0)</f>
        <v>0</v>
      </c>
      <c r="R78" s="8">
        <f>IF(Parameters!$G$30="y",IF(INT($P78/Parameters!$K$30)&gt;INT($P77/Parameters!$K$30),1,0),0)</f>
        <v>0</v>
      </c>
      <c r="S78" s="8">
        <f>IF(INT($P78/Parameters!$K$31)&gt;INT($P77/Parameters!$K$31),1,0)</f>
        <v>0</v>
      </c>
      <c r="T78" s="76">
        <f t="shared" si="0"/>
        <v>0</v>
      </c>
      <c r="U78" s="8">
        <f>C77/'Pump Data'!$L$21*1000/60</f>
        <v>1.1635483570697196</v>
      </c>
      <c r="V78" s="8"/>
      <c r="W78" s="8"/>
    </row>
    <row r="79" spans="1:23" ht="14.25" x14ac:dyDescent="0.45">
      <c r="A79" s="125">
        <v>41707</v>
      </c>
      <c r="B79" s="126">
        <v>10.6</v>
      </c>
      <c r="C79" s="127">
        <f t="shared" si="1"/>
        <v>1.1659999999999999</v>
      </c>
      <c r="D79" s="127">
        <f t="shared" si="2"/>
        <v>0.64100000000000001</v>
      </c>
      <c r="E79" s="127">
        <f t="shared" si="13"/>
        <v>33.023000000000017</v>
      </c>
      <c r="F79" s="130">
        <f>Parameters!$B$32*'Pump Data'!$L$21^2+Parameters!$B$33*'Pump Data'!$L$21+Parameters!$B$34</f>
        <v>115.93397007999999</v>
      </c>
      <c r="G79" s="130">
        <f t="shared" si="3"/>
        <v>214.90865108502499</v>
      </c>
      <c r="H79" s="131">
        <f t="shared" si="4"/>
        <v>0.21490865108502499</v>
      </c>
      <c r="I79" s="126">
        <f t="shared" si="5"/>
        <v>5830</v>
      </c>
      <c r="J79" s="126">
        <f t="shared" si="6"/>
        <v>5.83</v>
      </c>
      <c r="K79" s="126">
        <f t="shared" si="7"/>
        <v>11660000</v>
      </c>
      <c r="L79" s="131">
        <f t="shared" si="8"/>
        <v>11.66</v>
      </c>
      <c r="M79" s="126">
        <f t="shared" si="9"/>
        <v>864</v>
      </c>
      <c r="N79" s="131">
        <f t="shared" si="10"/>
        <v>3.1103999999999998</v>
      </c>
      <c r="O79" s="131">
        <f t="shared" si="11"/>
        <v>14.985308651085026</v>
      </c>
      <c r="P79" s="8">
        <f t="shared" si="12"/>
        <v>56740</v>
      </c>
      <c r="Q79" s="8">
        <f>IF(Parameters!$G$29="y",IF(INT($P79/Parameters!$K$29)&gt;INT($P78/Parameters!$K$29),1,0),0)</f>
        <v>0</v>
      </c>
      <c r="R79" s="8">
        <f>IF(Parameters!$G$30="y",IF(INT($P79/Parameters!$K$30)&gt;INT($P78/Parameters!$K$30),1,0),0)</f>
        <v>0</v>
      </c>
      <c r="S79" s="8">
        <f>IF(INT($P79/Parameters!$K$31)&gt;INT($P78/Parameters!$K$31),1,0)</f>
        <v>0</v>
      </c>
      <c r="T79" s="76">
        <f t="shared" si="0"/>
        <v>0</v>
      </c>
      <c r="U79" s="8">
        <f>C78/'Pump Data'!$L$21*1000/60</f>
        <v>1.1635483570697196</v>
      </c>
      <c r="V79" s="8"/>
      <c r="W79" s="8"/>
    </row>
    <row r="80" spans="1:23" ht="14.25" x14ac:dyDescent="0.45">
      <c r="A80" s="125">
        <v>41708</v>
      </c>
      <c r="B80" s="126">
        <v>2.4</v>
      </c>
      <c r="C80" s="127">
        <f t="shared" si="1"/>
        <v>0.26399999999999996</v>
      </c>
      <c r="D80" s="127">
        <f t="shared" si="2"/>
        <v>0.64100000000000001</v>
      </c>
      <c r="E80" s="127">
        <f t="shared" si="13"/>
        <v>32.646000000000022</v>
      </c>
      <c r="F80" s="130">
        <f>Parameters!$B$32*'Pump Data'!$L$21^2+Parameters!$B$33*'Pump Data'!$L$21+Parameters!$B$34</f>
        <v>115.93397007999999</v>
      </c>
      <c r="G80" s="130">
        <f t="shared" si="3"/>
        <v>48.658562509816967</v>
      </c>
      <c r="H80" s="131">
        <f t="shared" si="4"/>
        <v>4.8658562509816969E-2</v>
      </c>
      <c r="I80" s="126">
        <f t="shared" si="5"/>
        <v>1319.9999999999995</v>
      </c>
      <c r="J80" s="126">
        <f t="shared" si="6"/>
        <v>1.3199999999999996</v>
      </c>
      <c r="K80" s="126">
        <f t="shared" si="7"/>
        <v>2639999.9999999991</v>
      </c>
      <c r="L80" s="131">
        <f t="shared" si="8"/>
        <v>2.6399999999999992</v>
      </c>
      <c r="M80" s="126">
        <f t="shared" si="9"/>
        <v>864</v>
      </c>
      <c r="N80" s="131">
        <f t="shared" si="10"/>
        <v>3.1103999999999998</v>
      </c>
      <c r="O80" s="131">
        <f t="shared" si="11"/>
        <v>5.7990585625098161</v>
      </c>
      <c r="P80" s="8">
        <f t="shared" si="12"/>
        <v>57004.000000000007</v>
      </c>
      <c r="Q80" s="8">
        <f>IF(Parameters!$G$29="y",IF(INT($P80/Parameters!$K$29)&gt;INT($P79/Parameters!$K$29),1,0),0)</f>
        <v>0</v>
      </c>
      <c r="R80" s="8">
        <f>IF(Parameters!$G$30="y",IF(INT($P80/Parameters!$K$30)&gt;INT($P79/Parameters!$K$30),1,0),0)</f>
        <v>0</v>
      </c>
      <c r="S80" s="8">
        <f>IF(INT($P80/Parameters!$K$31)&gt;INT($P79/Parameters!$K$31),1,0)</f>
        <v>0</v>
      </c>
      <c r="T80" s="76">
        <f t="shared" si="0"/>
        <v>0</v>
      </c>
      <c r="U80" s="8">
        <f>C79/'Pump Data'!$L$21*1000/60</f>
        <v>0.54267895373731723</v>
      </c>
      <c r="V80" s="8"/>
      <c r="W80" s="8"/>
    </row>
    <row r="81" spans="1:23" ht="14.25" x14ac:dyDescent="0.45">
      <c r="A81" s="125">
        <v>41709</v>
      </c>
      <c r="B81" s="126">
        <v>0</v>
      </c>
      <c r="C81" s="127">
        <f t="shared" si="1"/>
        <v>0</v>
      </c>
      <c r="D81" s="127">
        <f t="shared" si="2"/>
        <v>0.64100000000000001</v>
      </c>
      <c r="E81" s="127">
        <f t="shared" si="13"/>
        <v>32.005000000000024</v>
      </c>
      <c r="F81" s="130">
        <f>Parameters!$B$32*'Pump Data'!$L$21^2+Parameters!$B$33*'Pump Data'!$L$21+Parameters!$B$34</f>
        <v>115.93397007999999</v>
      </c>
      <c r="G81" s="130">
        <f t="shared" si="3"/>
        <v>0</v>
      </c>
      <c r="H81" s="131">
        <f t="shared" si="4"/>
        <v>0</v>
      </c>
      <c r="I81" s="126">
        <f t="shared" si="5"/>
        <v>0</v>
      </c>
      <c r="J81" s="126">
        <f t="shared" si="6"/>
        <v>0</v>
      </c>
      <c r="K81" s="126">
        <f t="shared" si="7"/>
        <v>0</v>
      </c>
      <c r="L81" s="131">
        <f t="shared" si="8"/>
        <v>0</v>
      </c>
      <c r="M81" s="126">
        <f t="shared" si="9"/>
        <v>864</v>
      </c>
      <c r="N81" s="131">
        <f t="shared" si="10"/>
        <v>3.1103999999999998</v>
      </c>
      <c r="O81" s="131">
        <f t="shared" si="11"/>
        <v>3.1103999999999998</v>
      </c>
      <c r="P81" s="8">
        <f t="shared" si="12"/>
        <v>57004.000000000007</v>
      </c>
      <c r="Q81" s="8">
        <f>IF(Parameters!$G$29="y",IF(INT($P81/Parameters!$K$29)&gt;INT($P80/Parameters!$K$29),1,0),0)</f>
        <v>0</v>
      </c>
      <c r="R81" s="8">
        <f>IF(Parameters!$G$30="y",IF(INT($P81/Parameters!$K$30)&gt;INT($P80/Parameters!$K$30),1,0),0)</f>
        <v>0</v>
      </c>
      <c r="S81" s="8">
        <f>IF(INT($P81/Parameters!$K$31)&gt;INT($P80/Parameters!$K$31),1,0)</f>
        <v>0</v>
      </c>
      <c r="T81" s="76">
        <f t="shared" si="0"/>
        <v>0</v>
      </c>
      <c r="U81" s="8">
        <f>C80/'Pump Data'!$L$21*1000/60</f>
        <v>0.12287070650656239</v>
      </c>
      <c r="V81" s="8"/>
      <c r="W81" s="8"/>
    </row>
    <row r="82" spans="1:23" ht="14.25" x14ac:dyDescent="0.45">
      <c r="A82" s="125">
        <v>41710</v>
      </c>
      <c r="B82" s="126">
        <v>2.8</v>
      </c>
      <c r="C82" s="127">
        <f t="shared" si="1"/>
        <v>0.308</v>
      </c>
      <c r="D82" s="127">
        <f t="shared" si="2"/>
        <v>0.64100000000000001</v>
      </c>
      <c r="E82" s="127">
        <f t="shared" si="13"/>
        <v>31.672000000000025</v>
      </c>
      <c r="F82" s="130">
        <f>Parameters!$B$32*'Pump Data'!$L$21^2+Parameters!$B$33*'Pump Data'!$L$21+Parameters!$B$34</f>
        <v>115.93397007999999</v>
      </c>
      <c r="G82" s="130">
        <f t="shared" si="3"/>
        <v>56.768322928119808</v>
      </c>
      <c r="H82" s="131">
        <f t="shared" si="4"/>
        <v>5.6768322928119806E-2</v>
      </c>
      <c r="I82" s="126">
        <f t="shared" si="5"/>
        <v>1540</v>
      </c>
      <c r="J82" s="126">
        <f t="shared" si="6"/>
        <v>1.54</v>
      </c>
      <c r="K82" s="126">
        <f t="shared" si="7"/>
        <v>3080000</v>
      </c>
      <c r="L82" s="131">
        <f t="shared" si="8"/>
        <v>3.08</v>
      </c>
      <c r="M82" s="126">
        <f t="shared" si="9"/>
        <v>864</v>
      </c>
      <c r="N82" s="131">
        <f t="shared" si="10"/>
        <v>3.1103999999999998</v>
      </c>
      <c r="O82" s="131">
        <f t="shared" si="11"/>
        <v>6.2471683229281201</v>
      </c>
      <c r="P82" s="8">
        <f t="shared" si="12"/>
        <v>57312.000000000007</v>
      </c>
      <c r="Q82" s="8">
        <f>IF(Parameters!$G$29="y",IF(INT($P82/Parameters!$K$29)&gt;INT($P81/Parameters!$K$29),1,0),0)</f>
        <v>0</v>
      </c>
      <c r="R82" s="8">
        <f>IF(Parameters!$G$30="y",IF(INT($P82/Parameters!$K$30)&gt;INT($P81/Parameters!$K$30),1,0),0)</f>
        <v>0</v>
      </c>
      <c r="S82" s="8">
        <f>IF(INT($P82/Parameters!$K$31)&gt;INT($P81/Parameters!$K$31),1,0)</f>
        <v>0</v>
      </c>
      <c r="T82" s="76">
        <f t="shared" si="0"/>
        <v>0</v>
      </c>
      <c r="U82" s="8">
        <f>C81/'Pump Data'!$L$21*1000/60</f>
        <v>0</v>
      </c>
      <c r="V82" s="8"/>
      <c r="W82" s="8"/>
    </row>
    <row r="83" spans="1:23" ht="14.25" x14ac:dyDescent="0.45">
      <c r="A83" s="125">
        <v>41711</v>
      </c>
      <c r="B83" s="126">
        <v>20.2</v>
      </c>
      <c r="C83" s="127">
        <f t="shared" si="1"/>
        <v>2.222</v>
      </c>
      <c r="D83" s="127">
        <f t="shared" si="2"/>
        <v>0.64100000000000001</v>
      </c>
      <c r="E83" s="127">
        <f t="shared" si="13"/>
        <v>33.253000000000029</v>
      </c>
      <c r="F83" s="130">
        <f>Parameters!$B$32*'Pump Data'!$L$21^2+Parameters!$B$33*'Pump Data'!$L$21+Parameters!$B$34</f>
        <v>115.93397007999999</v>
      </c>
      <c r="G83" s="130">
        <f t="shared" si="3"/>
        <v>409.54290112429288</v>
      </c>
      <c r="H83" s="131">
        <f t="shared" si="4"/>
        <v>0.40954290112429287</v>
      </c>
      <c r="I83" s="126">
        <f t="shared" si="5"/>
        <v>11110</v>
      </c>
      <c r="J83" s="126">
        <f t="shared" si="6"/>
        <v>11.11</v>
      </c>
      <c r="K83" s="126">
        <f t="shared" si="7"/>
        <v>22220000</v>
      </c>
      <c r="L83" s="131">
        <f t="shared" si="8"/>
        <v>22.22</v>
      </c>
      <c r="M83" s="126">
        <f t="shared" si="9"/>
        <v>864</v>
      </c>
      <c r="N83" s="131">
        <f t="shared" si="10"/>
        <v>3.1103999999999998</v>
      </c>
      <c r="O83" s="131">
        <f t="shared" si="11"/>
        <v>25.739942901124291</v>
      </c>
      <c r="P83" s="8">
        <f t="shared" si="12"/>
        <v>59534.000000000007</v>
      </c>
      <c r="Q83" s="8">
        <f>IF(Parameters!$G$29="y",IF(INT($P83/Parameters!$K$29)&gt;INT($P82/Parameters!$K$29),1,0),0)</f>
        <v>0</v>
      </c>
      <c r="R83" s="8">
        <f>IF(Parameters!$G$30="y",IF(INT($P83/Parameters!$K$30)&gt;INT($P82/Parameters!$K$30),1,0),0)</f>
        <v>0</v>
      </c>
      <c r="S83" s="8">
        <f>IF(INT($P83/Parameters!$K$31)&gt;INT($P82/Parameters!$K$31),1,0)</f>
        <v>0</v>
      </c>
      <c r="T83" s="76">
        <f t="shared" si="0"/>
        <v>0</v>
      </c>
      <c r="U83" s="8">
        <f>C82/'Pump Data'!$L$21*1000/60</f>
        <v>0.14334915759098946</v>
      </c>
      <c r="V83" s="8"/>
      <c r="W83" s="8"/>
    </row>
    <row r="84" spans="1:23" ht="14.25" x14ac:dyDescent="0.45">
      <c r="A84" s="125">
        <v>41712</v>
      </c>
      <c r="B84" s="126">
        <v>13.8</v>
      </c>
      <c r="C84" s="127">
        <f t="shared" si="1"/>
        <v>1.5180000000000002</v>
      </c>
      <c r="D84" s="127">
        <f t="shared" si="2"/>
        <v>0.64100000000000001</v>
      </c>
      <c r="E84" s="127">
        <f t="shared" si="13"/>
        <v>34.130000000000031</v>
      </c>
      <c r="F84" s="130">
        <f>Parameters!$B$32*'Pump Data'!$L$21^2+Parameters!$B$33*'Pump Data'!$L$21+Parameters!$B$34</f>
        <v>115.93397007999999</v>
      </c>
      <c r="G84" s="130">
        <f t="shared" si="3"/>
        <v>279.78673443144766</v>
      </c>
      <c r="H84" s="131">
        <f t="shared" si="4"/>
        <v>0.27978673443144764</v>
      </c>
      <c r="I84" s="126">
        <f t="shared" si="5"/>
        <v>7590.0000000000018</v>
      </c>
      <c r="J84" s="126">
        <f t="shared" si="6"/>
        <v>7.5900000000000016</v>
      </c>
      <c r="K84" s="126">
        <f t="shared" si="7"/>
        <v>15180000.000000004</v>
      </c>
      <c r="L84" s="131">
        <f t="shared" si="8"/>
        <v>15.180000000000003</v>
      </c>
      <c r="M84" s="126">
        <f t="shared" si="9"/>
        <v>864</v>
      </c>
      <c r="N84" s="131">
        <f t="shared" si="10"/>
        <v>3.1103999999999998</v>
      </c>
      <c r="O84" s="131">
        <f t="shared" si="11"/>
        <v>18.570186734431449</v>
      </c>
      <c r="P84" s="8">
        <f t="shared" si="12"/>
        <v>61052.000000000007</v>
      </c>
      <c r="Q84" s="8">
        <f>IF(Parameters!$G$29="y",IF(INT($P84/Parameters!$K$29)&gt;INT($P83/Parameters!$K$29),1,0),0)</f>
        <v>0</v>
      </c>
      <c r="R84" s="8">
        <f>IF(Parameters!$G$30="y",IF(INT($P84/Parameters!$K$30)&gt;INT($P83/Parameters!$K$30),1,0),0)</f>
        <v>1</v>
      </c>
      <c r="S84" s="8">
        <f>IF(INT($P84/Parameters!$K$31)&gt;INT($P83/Parameters!$K$31),1,0)</f>
        <v>1</v>
      </c>
      <c r="T84" s="76">
        <f t="shared" si="0"/>
        <v>1</v>
      </c>
      <c r="U84" s="8">
        <f>C83/'Pump Data'!$L$21*1000/60</f>
        <v>1.0341617797635669</v>
      </c>
      <c r="V84" s="8"/>
      <c r="W84" s="8"/>
    </row>
    <row r="85" spans="1:23" ht="14.25" x14ac:dyDescent="0.45">
      <c r="A85" s="125">
        <v>41713</v>
      </c>
      <c r="B85" s="126">
        <v>22.8</v>
      </c>
      <c r="C85" s="127">
        <f t="shared" si="1"/>
        <v>2.5</v>
      </c>
      <c r="D85" s="127">
        <f t="shared" si="2"/>
        <v>0.64100000000000001</v>
      </c>
      <c r="E85" s="127">
        <f t="shared" si="13"/>
        <v>35.989000000000033</v>
      </c>
      <c r="F85" s="130">
        <f>Parameters!$B$32*'Pump Data'!$L$21^2+Parameters!$B$33*'Pump Data'!$L$21+Parameters!$B$34</f>
        <v>115.93397007999999</v>
      </c>
      <c r="G85" s="130">
        <f t="shared" si="3"/>
        <v>460.7818419490244</v>
      </c>
      <c r="H85" s="131">
        <f t="shared" si="4"/>
        <v>0.46078184194902438</v>
      </c>
      <c r="I85" s="126">
        <f t="shared" si="5"/>
        <v>12500</v>
      </c>
      <c r="J85" s="126">
        <f t="shared" si="6"/>
        <v>12.5</v>
      </c>
      <c r="K85" s="126">
        <f t="shared" si="7"/>
        <v>25000000</v>
      </c>
      <c r="L85" s="131">
        <f t="shared" si="8"/>
        <v>25</v>
      </c>
      <c r="M85" s="126">
        <f t="shared" si="9"/>
        <v>864</v>
      </c>
      <c r="N85" s="131">
        <f t="shared" si="10"/>
        <v>3.1103999999999998</v>
      </c>
      <c r="O85" s="131">
        <f t="shared" si="11"/>
        <v>28.571181841949024</v>
      </c>
      <c r="P85" s="8">
        <f t="shared" si="12"/>
        <v>63552.000000000007</v>
      </c>
      <c r="Q85" s="8">
        <f>IF(Parameters!$G$29="y",IF(INT($P85/Parameters!$K$29)&gt;INT($P84/Parameters!$K$29),1,0),0)</f>
        <v>0</v>
      </c>
      <c r="R85" s="8">
        <f>IF(Parameters!$G$30="y",IF(INT($P85/Parameters!$K$30)&gt;INT($P84/Parameters!$K$30),1,0),0)</f>
        <v>0</v>
      </c>
      <c r="S85" s="8">
        <f>IF(INT($P85/Parameters!$K$31)&gt;INT($P84/Parameters!$K$31),1,0)</f>
        <v>0</v>
      </c>
      <c r="T85" s="76">
        <f t="shared" si="0"/>
        <v>0</v>
      </c>
      <c r="U85" s="8">
        <f>C84/'Pump Data'!$L$21*1000/60</f>
        <v>0.70650656241273391</v>
      </c>
      <c r="V85" s="8"/>
      <c r="W85" s="8"/>
    </row>
    <row r="86" spans="1:23" ht="14.25" x14ac:dyDescent="0.45">
      <c r="A86" s="125">
        <v>41714</v>
      </c>
      <c r="B86" s="126">
        <v>5.4</v>
      </c>
      <c r="C86" s="127">
        <f t="shared" si="1"/>
        <v>0.59400000000000008</v>
      </c>
      <c r="D86" s="127">
        <f t="shared" si="2"/>
        <v>0.64100000000000001</v>
      </c>
      <c r="E86" s="127">
        <f t="shared" si="13"/>
        <v>35.942000000000036</v>
      </c>
      <c r="F86" s="130">
        <f>Parameters!$B$32*'Pump Data'!$L$21^2+Parameters!$B$33*'Pump Data'!$L$21+Parameters!$B$34</f>
        <v>115.93397007999999</v>
      </c>
      <c r="G86" s="130">
        <f t="shared" si="3"/>
        <v>109.48176564708821</v>
      </c>
      <c r="H86" s="131">
        <f t="shared" si="4"/>
        <v>0.10948176564708821</v>
      </c>
      <c r="I86" s="126">
        <f t="shared" si="5"/>
        <v>2970.0000000000009</v>
      </c>
      <c r="J86" s="126">
        <f t="shared" si="6"/>
        <v>2.9700000000000011</v>
      </c>
      <c r="K86" s="126">
        <f t="shared" si="7"/>
        <v>5940000.0000000019</v>
      </c>
      <c r="L86" s="131">
        <f t="shared" si="8"/>
        <v>5.9400000000000022</v>
      </c>
      <c r="M86" s="126">
        <f t="shared" si="9"/>
        <v>864</v>
      </c>
      <c r="N86" s="131">
        <f t="shared" si="10"/>
        <v>3.1103999999999998</v>
      </c>
      <c r="O86" s="131">
        <f t="shared" si="11"/>
        <v>9.159881765647091</v>
      </c>
      <c r="P86" s="8">
        <f t="shared" si="12"/>
        <v>64146</v>
      </c>
      <c r="Q86" s="8">
        <f>IF(Parameters!$G$29="y",IF(INT($P86/Parameters!$K$29)&gt;INT($P85/Parameters!$K$29),1,0),0)</f>
        <v>0</v>
      </c>
      <c r="R86" s="8">
        <f>IF(Parameters!$G$30="y",IF(INT($P86/Parameters!$K$30)&gt;INT($P85/Parameters!$K$30),1,0),0)</f>
        <v>0</v>
      </c>
      <c r="S86" s="8">
        <f>IF(INT($P86/Parameters!$K$31)&gt;INT($P85/Parameters!$K$31),1,0)</f>
        <v>0</v>
      </c>
      <c r="T86" s="76">
        <f t="shared" si="0"/>
        <v>0</v>
      </c>
      <c r="U86" s="8">
        <f>C85/'Pump Data'!$L$21*1000/60</f>
        <v>1.1635483570697196</v>
      </c>
      <c r="V86" s="8"/>
      <c r="W86" s="8"/>
    </row>
    <row r="87" spans="1:23" ht="14.25" x14ac:dyDescent="0.45">
      <c r="A87" s="125">
        <v>41715</v>
      </c>
      <c r="B87" s="126">
        <v>0.4</v>
      </c>
      <c r="C87" s="127">
        <f t="shared" si="1"/>
        <v>4.4000000000000004E-2</v>
      </c>
      <c r="D87" s="127">
        <f t="shared" si="2"/>
        <v>0.64100000000000001</v>
      </c>
      <c r="E87" s="127">
        <f t="shared" si="13"/>
        <v>35.345000000000034</v>
      </c>
      <c r="F87" s="130">
        <f>Parameters!$B$32*'Pump Data'!$L$21^2+Parameters!$B$33*'Pump Data'!$L$21+Parameters!$B$34</f>
        <v>115.93397007999999</v>
      </c>
      <c r="G87" s="130">
        <f t="shared" si="3"/>
        <v>8.1097604183028302</v>
      </c>
      <c r="H87" s="131">
        <f t="shared" si="4"/>
        <v>8.1097604183028305E-3</v>
      </c>
      <c r="I87" s="126">
        <f t="shared" si="5"/>
        <v>220.00000000000006</v>
      </c>
      <c r="J87" s="126">
        <f t="shared" si="6"/>
        <v>0.22000000000000006</v>
      </c>
      <c r="K87" s="126">
        <f t="shared" si="7"/>
        <v>440000.00000000012</v>
      </c>
      <c r="L87" s="131">
        <f t="shared" si="8"/>
        <v>0.44000000000000011</v>
      </c>
      <c r="M87" s="126">
        <f t="shared" si="9"/>
        <v>864</v>
      </c>
      <c r="N87" s="131">
        <f t="shared" si="10"/>
        <v>3.1103999999999998</v>
      </c>
      <c r="O87" s="131">
        <f t="shared" si="11"/>
        <v>3.5585097604183029</v>
      </c>
      <c r="P87" s="8">
        <f t="shared" si="12"/>
        <v>64190</v>
      </c>
      <c r="Q87" s="8">
        <f>IF(Parameters!$G$29="y",IF(INT($P87/Parameters!$K$29)&gt;INT($P86/Parameters!$K$29),1,0),0)</f>
        <v>0</v>
      </c>
      <c r="R87" s="8">
        <f>IF(Parameters!$G$30="y",IF(INT($P87/Parameters!$K$30)&gt;INT($P86/Parameters!$K$30),1,0),0)</f>
        <v>0</v>
      </c>
      <c r="S87" s="8">
        <f>IF(INT($P87/Parameters!$K$31)&gt;INT($P86/Parameters!$K$31),1,0)</f>
        <v>0</v>
      </c>
      <c r="T87" s="76">
        <f t="shared" si="0"/>
        <v>0</v>
      </c>
      <c r="U87" s="8">
        <f>C86/'Pump Data'!$L$21*1000/60</f>
        <v>0.27645908963976545</v>
      </c>
      <c r="V87" s="8"/>
      <c r="W87" s="8"/>
    </row>
    <row r="88" spans="1:23" ht="14.25" x14ac:dyDescent="0.45">
      <c r="A88" s="125">
        <v>41716</v>
      </c>
      <c r="B88" s="126">
        <v>31</v>
      </c>
      <c r="C88" s="127">
        <f t="shared" si="1"/>
        <v>2.5</v>
      </c>
      <c r="D88" s="127">
        <f t="shared" si="2"/>
        <v>0.64100000000000001</v>
      </c>
      <c r="E88" s="127">
        <f t="shared" si="13"/>
        <v>37.204000000000036</v>
      </c>
      <c r="F88" s="130">
        <f>Parameters!$B$32*'Pump Data'!$L$21^2+Parameters!$B$33*'Pump Data'!$L$21+Parameters!$B$34</f>
        <v>115.93397007999999</v>
      </c>
      <c r="G88" s="130">
        <f t="shared" si="3"/>
        <v>460.7818419490244</v>
      </c>
      <c r="H88" s="131">
        <f t="shared" si="4"/>
        <v>0.46078184194902438</v>
      </c>
      <c r="I88" s="126">
        <f t="shared" si="5"/>
        <v>12500</v>
      </c>
      <c r="J88" s="126">
        <f t="shared" si="6"/>
        <v>12.5</v>
      </c>
      <c r="K88" s="126">
        <f t="shared" si="7"/>
        <v>25000000</v>
      </c>
      <c r="L88" s="131">
        <f t="shared" si="8"/>
        <v>25</v>
      </c>
      <c r="M88" s="126">
        <f t="shared" si="9"/>
        <v>864</v>
      </c>
      <c r="N88" s="131">
        <f t="shared" si="10"/>
        <v>3.1103999999999998</v>
      </c>
      <c r="O88" s="131">
        <f t="shared" si="11"/>
        <v>28.571181841949024</v>
      </c>
      <c r="P88" s="8">
        <f t="shared" si="12"/>
        <v>66690</v>
      </c>
      <c r="Q88" s="8">
        <f>IF(Parameters!$G$29="y",IF(INT($P88/Parameters!$K$29)&gt;INT($P87/Parameters!$K$29),1,0),0)</f>
        <v>0</v>
      </c>
      <c r="R88" s="8">
        <f>IF(Parameters!$G$30="y",IF(INT($P88/Parameters!$K$30)&gt;INT($P87/Parameters!$K$30),1,0),0)</f>
        <v>0</v>
      </c>
      <c r="S88" s="8">
        <f>IF(INT($P88/Parameters!$K$31)&gt;INT($P87/Parameters!$K$31),1,0)</f>
        <v>0</v>
      </c>
      <c r="T88" s="76">
        <f t="shared" si="0"/>
        <v>0</v>
      </c>
      <c r="U88" s="8">
        <f>C87/'Pump Data'!$L$21*1000/60</f>
        <v>2.0478451084427071E-2</v>
      </c>
      <c r="V88" s="8"/>
      <c r="W88" s="8"/>
    </row>
    <row r="89" spans="1:23" ht="14.25" x14ac:dyDescent="0.45">
      <c r="A89" s="125">
        <v>41717</v>
      </c>
      <c r="B89" s="126">
        <v>1.6</v>
      </c>
      <c r="C89" s="127">
        <f t="shared" si="1"/>
        <v>0.17600000000000002</v>
      </c>
      <c r="D89" s="127">
        <f t="shared" si="2"/>
        <v>0.64100000000000001</v>
      </c>
      <c r="E89" s="127">
        <f t="shared" si="13"/>
        <v>36.73900000000004</v>
      </c>
      <c r="F89" s="130">
        <f>Parameters!$B$32*'Pump Data'!$L$21^2+Parameters!$B$33*'Pump Data'!$L$21+Parameters!$B$34</f>
        <v>115.93397007999999</v>
      </c>
      <c r="G89" s="130">
        <f t="shared" si="3"/>
        <v>32.439041673211321</v>
      </c>
      <c r="H89" s="131">
        <f t="shared" si="4"/>
        <v>3.2439041673211322E-2</v>
      </c>
      <c r="I89" s="126">
        <f t="shared" si="5"/>
        <v>880.00000000000023</v>
      </c>
      <c r="J89" s="126">
        <f t="shared" si="6"/>
        <v>0.88000000000000023</v>
      </c>
      <c r="K89" s="126">
        <f t="shared" si="7"/>
        <v>1760000.0000000005</v>
      </c>
      <c r="L89" s="131">
        <f t="shared" si="8"/>
        <v>1.7600000000000005</v>
      </c>
      <c r="M89" s="126">
        <f t="shared" si="9"/>
        <v>864</v>
      </c>
      <c r="N89" s="131">
        <f t="shared" si="10"/>
        <v>3.1103999999999998</v>
      </c>
      <c r="O89" s="131">
        <f t="shared" si="11"/>
        <v>4.9028390416732117</v>
      </c>
      <c r="P89" s="8">
        <f t="shared" si="12"/>
        <v>66866</v>
      </c>
      <c r="Q89" s="8">
        <f>IF(Parameters!$G$29="y",IF(INT($P89/Parameters!$K$29)&gt;INT($P88/Parameters!$K$29),1,0),0)</f>
        <v>0</v>
      </c>
      <c r="R89" s="8">
        <f>IF(Parameters!$G$30="y",IF(INT($P89/Parameters!$K$30)&gt;INT($P88/Parameters!$K$30),1,0),0)</f>
        <v>0</v>
      </c>
      <c r="S89" s="8">
        <f>IF(INT($P89/Parameters!$K$31)&gt;INT($P88/Parameters!$K$31),1,0)</f>
        <v>0</v>
      </c>
      <c r="T89" s="76">
        <f t="shared" si="0"/>
        <v>0</v>
      </c>
      <c r="U89" s="8">
        <f>C88/'Pump Data'!$L$21*1000/60</f>
        <v>1.1635483570697196</v>
      </c>
      <c r="V89" s="8"/>
      <c r="W89" s="8"/>
    </row>
    <row r="90" spans="1:23" ht="14.25" x14ac:dyDescent="0.45">
      <c r="A90" s="125">
        <v>41718</v>
      </c>
      <c r="B90" s="126">
        <v>1.6</v>
      </c>
      <c r="C90" s="127">
        <f t="shared" si="1"/>
        <v>0.17600000000000002</v>
      </c>
      <c r="D90" s="127">
        <f t="shared" si="2"/>
        <v>0.64100000000000001</v>
      </c>
      <c r="E90" s="127">
        <f t="shared" si="13"/>
        <v>36.274000000000044</v>
      </c>
      <c r="F90" s="130">
        <f>Parameters!$B$32*'Pump Data'!$L$21^2+Parameters!$B$33*'Pump Data'!$L$21+Parameters!$B$34</f>
        <v>115.93397007999999</v>
      </c>
      <c r="G90" s="130">
        <f t="shared" si="3"/>
        <v>32.439041673211321</v>
      </c>
      <c r="H90" s="131">
        <f t="shared" si="4"/>
        <v>3.2439041673211322E-2</v>
      </c>
      <c r="I90" s="126">
        <f t="shared" si="5"/>
        <v>880.00000000000023</v>
      </c>
      <c r="J90" s="126">
        <f t="shared" si="6"/>
        <v>0.88000000000000023</v>
      </c>
      <c r="K90" s="126">
        <f t="shared" si="7"/>
        <v>1760000.0000000005</v>
      </c>
      <c r="L90" s="131">
        <f t="shared" si="8"/>
        <v>1.7600000000000005</v>
      </c>
      <c r="M90" s="126">
        <f t="shared" si="9"/>
        <v>864</v>
      </c>
      <c r="N90" s="131">
        <f t="shared" si="10"/>
        <v>3.1103999999999998</v>
      </c>
      <c r="O90" s="131">
        <f t="shared" si="11"/>
        <v>4.9028390416732117</v>
      </c>
      <c r="P90" s="8">
        <f t="shared" si="12"/>
        <v>67042</v>
      </c>
      <c r="Q90" s="8">
        <f>IF(Parameters!$G$29="y",IF(INT($P90/Parameters!$K$29)&gt;INT($P89/Parameters!$K$29),1,0),0)</f>
        <v>0</v>
      </c>
      <c r="R90" s="8">
        <f>IF(Parameters!$G$30="y",IF(INT($P90/Parameters!$K$30)&gt;INT($P89/Parameters!$K$30),1,0),0)</f>
        <v>0</v>
      </c>
      <c r="S90" s="8">
        <f>IF(INT($P90/Parameters!$K$31)&gt;INT($P89/Parameters!$K$31),1,0)</f>
        <v>0</v>
      </c>
      <c r="T90" s="76">
        <f t="shared" si="0"/>
        <v>0</v>
      </c>
      <c r="U90" s="8">
        <f>C89/'Pump Data'!$L$21*1000/60</f>
        <v>8.1913804337708285E-2</v>
      </c>
      <c r="V90" s="8"/>
      <c r="W90" s="8"/>
    </row>
    <row r="91" spans="1:23" ht="14.25" x14ac:dyDescent="0.45">
      <c r="A91" s="125">
        <v>41719</v>
      </c>
      <c r="B91" s="126">
        <v>7.6</v>
      </c>
      <c r="C91" s="127">
        <f t="shared" si="1"/>
        <v>0.83599999999999997</v>
      </c>
      <c r="D91" s="127">
        <f t="shared" si="2"/>
        <v>0.64100000000000001</v>
      </c>
      <c r="E91" s="127">
        <f t="shared" si="13"/>
        <v>36.469000000000044</v>
      </c>
      <c r="F91" s="130">
        <f>Parameters!$B$32*'Pump Data'!$L$21^2+Parameters!$B$33*'Pump Data'!$L$21+Parameters!$B$34</f>
        <v>115.93397007999999</v>
      </c>
      <c r="G91" s="130">
        <f t="shared" si="3"/>
        <v>154.08544794775375</v>
      </c>
      <c r="H91" s="131">
        <f t="shared" si="4"/>
        <v>0.15408544794775375</v>
      </c>
      <c r="I91" s="126">
        <f t="shared" si="5"/>
        <v>4180</v>
      </c>
      <c r="J91" s="126">
        <f t="shared" si="6"/>
        <v>4.18</v>
      </c>
      <c r="K91" s="126">
        <f t="shared" si="7"/>
        <v>8359999.9999999991</v>
      </c>
      <c r="L91" s="131">
        <f t="shared" si="8"/>
        <v>8.36</v>
      </c>
      <c r="M91" s="126">
        <f t="shared" si="9"/>
        <v>864</v>
      </c>
      <c r="N91" s="131">
        <f t="shared" si="10"/>
        <v>3.1103999999999998</v>
      </c>
      <c r="O91" s="131">
        <f t="shared" si="11"/>
        <v>11.624485447947754</v>
      </c>
      <c r="P91" s="8">
        <f t="shared" si="12"/>
        <v>67878</v>
      </c>
      <c r="Q91" s="8">
        <f>IF(Parameters!$G$29="y",IF(INT($P91/Parameters!$K$29)&gt;INT($P90/Parameters!$K$29),1,0),0)</f>
        <v>0</v>
      </c>
      <c r="R91" s="8">
        <f>IF(Parameters!$G$30="y",IF(INT($P91/Parameters!$K$30)&gt;INT($P90/Parameters!$K$30),1,0),0)</f>
        <v>0</v>
      </c>
      <c r="S91" s="8">
        <f>IF(INT($P91/Parameters!$K$31)&gt;INT($P90/Parameters!$K$31),1,0)</f>
        <v>0</v>
      </c>
      <c r="T91" s="76">
        <f t="shared" si="0"/>
        <v>0</v>
      </c>
      <c r="U91" s="8">
        <f>C90/'Pump Data'!$L$21*1000/60</f>
        <v>8.1913804337708285E-2</v>
      </c>
      <c r="V91" s="8"/>
      <c r="W91" s="8"/>
    </row>
    <row r="92" spans="1:23" ht="14.25" x14ac:dyDescent="0.45">
      <c r="A92" s="125">
        <v>41720</v>
      </c>
      <c r="B92" s="126">
        <v>2.6</v>
      </c>
      <c r="C92" s="127">
        <f t="shared" si="1"/>
        <v>0.28599999999999998</v>
      </c>
      <c r="D92" s="127">
        <f t="shared" si="2"/>
        <v>0.64100000000000001</v>
      </c>
      <c r="E92" s="127">
        <f t="shared" si="13"/>
        <v>36.114000000000047</v>
      </c>
      <c r="F92" s="130">
        <f>Parameters!$B$32*'Pump Data'!$L$21^2+Parameters!$B$33*'Pump Data'!$L$21+Parameters!$B$34</f>
        <v>115.93397007999999</v>
      </c>
      <c r="G92" s="130">
        <f t="shared" si="3"/>
        <v>52.713442718968395</v>
      </c>
      <c r="H92" s="131">
        <f t="shared" si="4"/>
        <v>5.2713442718968398E-2</v>
      </c>
      <c r="I92" s="126">
        <f t="shared" si="5"/>
        <v>1430</v>
      </c>
      <c r="J92" s="126">
        <f t="shared" si="6"/>
        <v>1.43</v>
      </c>
      <c r="K92" s="126">
        <f t="shared" si="7"/>
        <v>2860000</v>
      </c>
      <c r="L92" s="131">
        <f t="shared" si="8"/>
        <v>2.86</v>
      </c>
      <c r="M92" s="126">
        <f t="shared" si="9"/>
        <v>864</v>
      </c>
      <c r="N92" s="131">
        <f t="shared" si="10"/>
        <v>3.1103999999999998</v>
      </c>
      <c r="O92" s="131">
        <f t="shared" si="11"/>
        <v>6.0231134427189676</v>
      </c>
      <c r="P92" s="8">
        <f t="shared" si="12"/>
        <v>68164</v>
      </c>
      <c r="Q92" s="8">
        <f>IF(Parameters!$G$29="y",IF(INT($P92/Parameters!$K$29)&gt;INT($P91/Parameters!$K$29),1,0),0)</f>
        <v>0</v>
      </c>
      <c r="R92" s="8">
        <f>IF(Parameters!$G$30="y",IF(INT($P92/Parameters!$K$30)&gt;INT($P91/Parameters!$K$30),1,0),0)</f>
        <v>0</v>
      </c>
      <c r="S92" s="8">
        <f>IF(INT($P92/Parameters!$K$31)&gt;INT($P91/Parameters!$K$31),1,0)</f>
        <v>0</v>
      </c>
      <c r="T92" s="76">
        <f t="shared" si="0"/>
        <v>0</v>
      </c>
      <c r="U92" s="8">
        <f>C91/'Pump Data'!$L$21*1000/60</f>
        <v>0.38909057060411428</v>
      </c>
      <c r="V92" s="8"/>
      <c r="W92" s="8"/>
    </row>
    <row r="93" spans="1:23" ht="14.25" x14ac:dyDescent="0.45">
      <c r="A93" s="125">
        <v>41721</v>
      </c>
      <c r="B93" s="126">
        <v>0</v>
      </c>
      <c r="C93" s="127">
        <f t="shared" si="1"/>
        <v>0</v>
      </c>
      <c r="D93" s="127">
        <f t="shared" si="2"/>
        <v>0.64100000000000001</v>
      </c>
      <c r="E93" s="127">
        <f t="shared" si="13"/>
        <v>35.473000000000049</v>
      </c>
      <c r="F93" s="130">
        <f>Parameters!$B$32*'Pump Data'!$L$21^2+Parameters!$B$33*'Pump Data'!$L$21+Parameters!$B$34</f>
        <v>115.93397007999999</v>
      </c>
      <c r="G93" s="130">
        <f t="shared" si="3"/>
        <v>0</v>
      </c>
      <c r="H93" s="131">
        <f t="shared" si="4"/>
        <v>0</v>
      </c>
      <c r="I93" s="126">
        <f t="shared" si="5"/>
        <v>0</v>
      </c>
      <c r="J93" s="126">
        <f t="shared" si="6"/>
        <v>0</v>
      </c>
      <c r="K93" s="126">
        <f t="shared" si="7"/>
        <v>0</v>
      </c>
      <c r="L93" s="131">
        <f t="shared" si="8"/>
        <v>0</v>
      </c>
      <c r="M93" s="126">
        <f t="shared" si="9"/>
        <v>864</v>
      </c>
      <c r="N93" s="131">
        <f t="shared" si="10"/>
        <v>3.1103999999999998</v>
      </c>
      <c r="O93" s="131">
        <f t="shared" si="11"/>
        <v>3.1103999999999998</v>
      </c>
      <c r="P93" s="8">
        <f t="shared" si="12"/>
        <v>68164</v>
      </c>
      <c r="Q93" s="8">
        <f>IF(Parameters!$G$29="y",IF(INT($P93/Parameters!$K$29)&gt;INT($P92/Parameters!$K$29),1,0),0)</f>
        <v>0</v>
      </c>
      <c r="R93" s="8">
        <f>IF(Parameters!$G$30="y",IF(INT($P93/Parameters!$K$30)&gt;INT($P92/Parameters!$K$30),1,0),0)</f>
        <v>0</v>
      </c>
      <c r="S93" s="8">
        <f>IF(INT($P93/Parameters!$K$31)&gt;INT($P92/Parameters!$K$31),1,0)</f>
        <v>0</v>
      </c>
      <c r="T93" s="76">
        <f t="shared" si="0"/>
        <v>0</v>
      </c>
      <c r="U93" s="8">
        <f>C92/'Pump Data'!$L$21*1000/60</f>
        <v>0.13310993204877591</v>
      </c>
      <c r="V93" s="8"/>
      <c r="W93" s="8"/>
    </row>
    <row r="94" spans="1:23" ht="14.25" x14ac:dyDescent="0.45">
      <c r="A94" s="125">
        <v>41722</v>
      </c>
      <c r="B94" s="126">
        <v>4</v>
      </c>
      <c r="C94" s="127">
        <f t="shared" si="1"/>
        <v>0.44</v>
      </c>
      <c r="D94" s="127">
        <f t="shared" si="2"/>
        <v>0.64100000000000001</v>
      </c>
      <c r="E94" s="127">
        <f t="shared" si="13"/>
        <v>35.272000000000048</v>
      </c>
      <c r="F94" s="130">
        <f>Parameters!$B$32*'Pump Data'!$L$21^2+Parameters!$B$33*'Pump Data'!$L$21+Parameters!$B$34</f>
        <v>115.93397007999999</v>
      </c>
      <c r="G94" s="130">
        <f t="shared" si="3"/>
        <v>81.097604183028295</v>
      </c>
      <c r="H94" s="131">
        <f t="shared" si="4"/>
        <v>8.1097604183028291E-2</v>
      </c>
      <c r="I94" s="126">
        <f t="shared" si="5"/>
        <v>2200</v>
      </c>
      <c r="J94" s="126">
        <f t="shared" si="6"/>
        <v>2.2000000000000002</v>
      </c>
      <c r="K94" s="126">
        <f t="shared" si="7"/>
        <v>4400000</v>
      </c>
      <c r="L94" s="131">
        <f t="shared" si="8"/>
        <v>4.4000000000000004</v>
      </c>
      <c r="M94" s="126">
        <f t="shared" si="9"/>
        <v>864</v>
      </c>
      <c r="N94" s="131">
        <f t="shared" si="10"/>
        <v>3.1103999999999998</v>
      </c>
      <c r="O94" s="131">
        <f t="shared" si="11"/>
        <v>7.5914976041830293</v>
      </c>
      <c r="P94" s="8">
        <f t="shared" si="12"/>
        <v>68604</v>
      </c>
      <c r="Q94" s="8">
        <f>IF(Parameters!$G$29="y",IF(INT($P94/Parameters!$K$29)&gt;INT($P93/Parameters!$K$29),1,0),0)</f>
        <v>0</v>
      </c>
      <c r="R94" s="8">
        <f>IF(Parameters!$G$30="y",IF(INT($P94/Parameters!$K$30)&gt;INT($P93/Parameters!$K$30),1,0),0)</f>
        <v>0</v>
      </c>
      <c r="S94" s="8">
        <f>IF(INT($P94/Parameters!$K$31)&gt;INT($P93/Parameters!$K$31),1,0)</f>
        <v>0</v>
      </c>
      <c r="T94" s="76">
        <f t="shared" si="0"/>
        <v>0</v>
      </c>
      <c r="U94" s="8">
        <f>C93/'Pump Data'!$L$21*1000/60</f>
        <v>0</v>
      </c>
      <c r="V94" s="8"/>
      <c r="W94" s="8"/>
    </row>
    <row r="95" spans="1:23" ht="14.25" x14ac:dyDescent="0.45">
      <c r="A95" s="125">
        <v>41723</v>
      </c>
      <c r="B95" s="126">
        <v>31</v>
      </c>
      <c r="C95" s="127">
        <f t="shared" si="1"/>
        <v>2.5</v>
      </c>
      <c r="D95" s="127">
        <f t="shared" si="2"/>
        <v>0.64100000000000001</v>
      </c>
      <c r="E95" s="127">
        <f t="shared" si="13"/>
        <v>37.13100000000005</v>
      </c>
      <c r="F95" s="130">
        <f>Parameters!$B$32*'Pump Data'!$L$21^2+Parameters!$B$33*'Pump Data'!$L$21+Parameters!$B$34</f>
        <v>115.93397007999999</v>
      </c>
      <c r="G95" s="130">
        <f t="shared" si="3"/>
        <v>460.7818419490244</v>
      </c>
      <c r="H95" s="131">
        <f t="shared" si="4"/>
        <v>0.46078184194902438</v>
      </c>
      <c r="I95" s="126">
        <f t="shared" si="5"/>
        <v>12500</v>
      </c>
      <c r="J95" s="126">
        <f t="shared" si="6"/>
        <v>12.5</v>
      </c>
      <c r="K95" s="126">
        <f t="shared" si="7"/>
        <v>25000000</v>
      </c>
      <c r="L95" s="131">
        <f t="shared" si="8"/>
        <v>25</v>
      </c>
      <c r="M95" s="126">
        <f t="shared" si="9"/>
        <v>864</v>
      </c>
      <c r="N95" s="131">
        <f t="shared" si="10"/>
        <v>3.1103999999999998</v>
      </c>
      <c r="O95" s="131">
        <f t="shared" si="11"/>
        <v>28.571181841949024</v>
      </c>
      <c r="P95" s="8">
        <f t="shared" si="12"/>
        <v>71104</v>
      </c>
      <c r="Q95" s="8">
        <f>IF(Parameters!$G$29="y",IF(INT($P95/Parameters!$K$29)&gt;INT($P94/Parameters!$K$29),1,0),0)</f>
        <v>0</v>
      </c>
      <c r="R95" s="8">
        <f>IF(Parameters!$G$30="y",IF(INT($P95/Parameters!$K$30)&gt;INT($P94/Parameters!$K$30),1,0),0)</f>
        <v>0</v>
      </c>
      <c r="S95" s="8">
        <f>IF(INT($P95/Parameters!$K$31)&gt;INT($P94/Parameters!$K$31),1,0)</f>
        <v>0</v>
      </c>
      <c r="T95" s="76">
        <f t="shared" si="0"/>
        <v>0</v>
      </c>
      <c r="U95" s="8">
        <f>C94/'Pump Data'!$L$21*1000/60</f>
        <v>0.20478451084427068</v>
      </c>
      <c r="V95" s="8"/>
      <c r="W95" s="8"/>
    </row>
    <row r="96" spans="1:23" ht="14.25" x14ac:dyDescent="0.45">
      <c r="A96" s="125">
        <v>41724</v>
      </c>
      <c r="B96" s="126">
        <v>0.2</v>
      </c>
      <c r="C96" s="127">
        <f t="shared" si="1"/>
        <v>2.2000000000000002E-2</v>
      </c>
      <c r="D96" s="127">
        <f t="shared" si="2"/>
        <v>0.64100000000000001</v>
      </c>
      <c r="E96" s="127">
        <f t="shared" si="13"/>
        <v>36.51200000000005</v>
      </c>
      <c r="F96" s="130">
        <f>Parameters!$B$32*'Pump Data'!$L$21^2+Parameters!$B$33*'Pump Data'!$L$21+Parameters!$B$34</f>
        <v>115.93397007999999</v>
      </c>
      <c r="G96" s="130">
        <f t="shared" si="3"/>
        <v>4.0548802091514151</v>
      </c>
      <c r="H96" s="131">
        <f t="shared" si="4"/>
        <v>4.0548802091514152E-3</v>
      </c>
      <c r="I96" s="126">
        <f t="shared" si="5"/>
        <v>110.00000000000003</v>
      </c>
      <c r="J96" s="126">
        <f t="shared" si="6"/>
        <v>0.11000000000000003</v>
      </c>
      <c r="K96" s="126">
        <f t="shared" si="7"/>
        <v>220000.00000000006</v>
      </c>
      <c r="L96" s="131">
        <f t="shared" si="8"/>
        <v>0.22000000000000006</v>
      </c>
      <c r="M96" s="126">
        <f t="shared" si="9"/>
        <v>864</v>
      </c>
      <c r="N96" s="131">
        <f t="shared" si="10"/>
        <v>3.1103999999999998</v>
      </c>
      <c r="O96" s="131">
        <f t="shared" si="11"/>
        <v>3.3344548802091514</v>
      </c>
      <c r="P96" s="8">
        <f t="shared" si="12"/>
        <v>71126</v>
      </c>
      <c r="Q96" s="8">
        <f>IF(Parameters!$G$29="y",IF(INT($P96/Parameters!$K$29)&gt;INT($P95/Parameters!$K$29),1,0),0)</f>
        <v>0</v>
      </c>
      <c r="R96" s="8">
        <f>IF(Parameters!$G$30="y",IF(INT($P96/Parameters!$K$30)&gt;INT($P95/Parameters!$K$30),1,0),0)</f>
        <v>0</v>
      </c>
      <c r="S96" s="8">
        <f>IF(INT($P96/Parameters!$K$31)&gt;INT($P95/Parameters!$K$31),1,0)</f>
        <v>0</v>
      </c>
      <c r="T96" s="76">
        <f t="shared" si="0"/>
        <v>0</v>
      </c>
      <c r="U96" s="8">
        <f>C95/'Pump Data'!$L$21*1000/60</f>
        <v>1.1635483570697196</v>
      </c>
      <c r="V96" s="8"/>
      <c r="W96" s="8"/>
    </row>
    <row r="97" spans="1:23" ht="14.25" x14ac:dyDescent="0.45">
      <c r="A97" s="125">
        <v>41725</v>
      </c>
      <c r="B97" s="126">
        <v>4.4000000000000004</v>
      </c>
      <c r="C97" s="127">
        <f t="shared" si="1"/>
        <v>0.48400000000000004</v>
      </c>
      <c r="D97" s="127">
        <f t="shared" si="2"/>
        <v>0.64100000000000001</v>
      </c>
      <c r="E97" s="127">
        <f t="shared" si="13"/>
        <v>36.355000000000054</v>
      </c>
      <c r="F97" s="130">
        <f>Parameters!$B$32*'Pump Data'!$L$21^2+Parameters!$B$33*'Pump Data'!$L$21+Parameters!$B$34</f>
        <v>115.93397007999999</v>
      </c>
      <c r="G97" s="130">
        <f t="shared" si="3"/>
        <v>89.207364601331136</v>
      </c>
      <c r="H97" s="131">
        <f t="shared" si="4"/>
        <v>8.9207364601331135E-2</v>
      </c>
      <c r="I97" s="126">
        <f t="shared" si="5"/>
        <v>2420.0000000000005</v>
      </c>
      <c r="J97" s="126">
        <f t="shared" si="6"/>
        <v>2.4200000000000004</v>
      </c>
      <c r="K97" s="126">
        <f t="shared" si="7"/>
        <v>4840000.0000000009</v>
      </c>
      <c r="L97" s="131">
        <f t="shared" si="8"/>
        <v>4.8400000000000007</v>
      </c>
      <c r="M97" s="126">
        <f t="shared" si="9"/>
        <v>864</v>
      </c>
      <c r="N97" s="131">
        <f t="shared" si="10"/>
        <v>3.1103999999999998</v>
      </c>
      <c r="O97" s="131">
        <f t="shared" si="11"/>
        <v>8.0396073646013324</v>
      </c>
      <c r="P97" s="8">
        <f t="shared" si="12"/>
        <v>71610</v>
      </c>
      <c r="Q97" s="8">
        <f>IF(Parameters!$G$29="y",IF(INT($P97/Parameters!$K$29)&gt;INT($P96/Parameters!$K$29),1,0),0)</f>
        <v>0</v>
      </c>
      <c r="R97" s="8">
        <f>IF(Parameters!$G$30="y",IF(INT($P97/Parameters!$K$30)&gt;INT($P96/Parameters!$K$30),1,0),0)</f>
        <v>0</v>
      </c>
      <c r="S97" s="8">
        <f>IF(INT($P97/Parameters!$K$31)&gt;INT($P96/Parameters!$K$31),1,0)</f>
        <v>0</v>
      </c>
      <c r="T97" s="76">
        <f t="shared" si="0"/>
        <v>0</v>
      </c>
      <c r="U97" s="8">
        <f>C96/'Pump Data'!$L$21*1000/60</f>
        <v>1.0239225542213536E-2</v>
      </c>
      <c r="V97" s="8"/>
      <c r="W97" s="8"/>
    </row>
    <row r="98" spans="1:23" ht="14.25" x14ac:dyDescent="0.45">
      <c r="A98" s="125">
        <v>41726</v>
      </c>
      <c r="B98" s="126">
        <v>23.6</v>
      </c>
      <c r="C98" s="127">
        <f t="shared" si="1"/>
        <v>2.5</v>
      </c>
      <c r="D98" s="127">
        <f t="shared" si="2"/>
        <v>0.64100000000000001</v>
      </c>
      <c r="E98" s="127">
        <f t="shared" si="13"/>
        <v>38.214000000000055</v>
      </c>
      <c r="F98" s="130">
        <f>Parameters!$B$32*'Pump Data'!$L$21^2+Parameters!$B$33*'Pump Data'!$L$21+Parameters!$B$34</f>
        <v>115.93397007999999</v>
      </c>
      <c r="G98" s="130">
        <f t="shared" si="3"/>
        <v>460.7818419490244</v>
      </c>
      <c r="H98" s="131">
        <f t="shared" si="4"/>
        <v>0.46078184194902438</v>
      </c>
      <c r="I98" s="126">
        <f t="shared" si="5"/>
        <v>12500</v>
      </c>
      <c r="J98" s="126">
        <f t="shared" si="6"/>
        <v>12.5</v>
      </c>
      <c r="K98" s="126">
        <f t="shared" si="7"/>
        <v>25000000</v>
      </c>
      <c r="L98" s="131">
        <f t="shared" si="8"/>
        <v>25</v>
      </c>
      <c r="M98" s="126">
        <f t="shared" si="9"/>
        <v>864</v>
      </c>
      <c r="N98" s="131">
        <f t="shared" si="10"/>
        <v>3.1103999999999998</v>
      </c>
      <c r="O98" s="131">
        <f t="shared" si="11"/>
        <v>28.571181841949024</v>
      </c>
      <c r="P98" s="8">
        <f t="shared" si="12"/>
        <v>74110</v>
      </c>
      <c r="Q98" s="8">
        <f>IF(Parameters!$G$29="y",IF(INT($P98/Parameters!$K$29)&gt;INT($P97/Parameters!$K$29),1,0),0)</f>
        <v>0</v>
      </c>
      <c r="R98" s="8">
        <f>IF(Parameters!$G$30="y",IF(INT($P98/Parameters!$K$30)&gt;INT($P97/Parameters!$K$30),1,0),0)</f>
        <v>0</v>
      </c>
      <c r="S98" s="8">
        <f>IF(INT($P98/Parameters!$K$31)&gt;INT($P97/Parameters!$K$31),1,0)</f>
        <v>0</v>
      </c>
      <c r="T98" s="76">
        <f t="shared" si="0"/>
        <v>0</v>
      </c>
      <c r="U98" s="8">
        <f>C97/'Pump Data'!$L$21*1000/60</f>
        <v>0.22526296192869777</v>
      </c>
      <c r="V98" s="8"/>
      <c r="W98" s="8"/>
    </row>
    <row r="99" spans="1:23" ht="14.25" x14ac:dyDescent="0.45">
      <c r="A99" s="125">
        <v>41727</v>
      </c>
      <c r="B99" s="126">
        <v>41.6</v>
      </c>
      <c r="C99" s="127">
        <f t="shared" si="1"/>
        <v>2.5</v>
      </c>
      <c r="D99" s="127">
        <f t="shared" si="2"/>
        <v>0.64100000000000001</v>
      </c>
      <c r="E99" s="127">
        <f t="shared" si="13"/>
        <v>40.073000000000057</v>
      </c>
      <c r="F99" s="130">
        <f>Parameters!$B$32*'Pump Data'!$L$21^2+Parameters!$B$33*'Pump Data'!$L$21+Parameters!$B$34</f>
        <v>115.93397007999999</v>
      </c>
      <c r="G99" s="130">
        <f t="shared" si="3"/>
        <v>460.7818419490244</v>
      </c>
      <c r="H99" s="131">
        <f t="shared" si="4"/>
        <v>0.46078184194902438</v>
      </c>
      <c r="I99" s="126">
        <f t="shared" si="5"/>
        <v>12500</v>
      </c>
      <c r="J99" s="126">
        <f t="shared" si="6"/>
        <v>12.5</v>
      </c>
      <c r="K99" s="126">
        <f t="shared" si="7"/>
        <v>25000000</v>
      </c>
      <c r="L99" s="131">
        <f t="shared" si="8"/>
        <v>25</v>
      </c>
      <c r="M99" s="126">
        <f t="shared" si="9"/>
        <v>864</v>
      </c>
      <c r="N99" s="131">
        <f t="shared" si="10"/>
        <v>3.1103999999999998</v>
      </c>
      <c r="O99" s="131">
        <f t="shared" si="11"/>
        <v>28.571181841949024</v>
      </c>
      <c r="P99" s="8">
        <f t="shared" si="12"/>
        <v>76610</v>
      </c>
      <c r="Q99" s="8">
        <f>IF(Parameters!$G$29="y",IF(INT($P99/Parameters!$K$29)&gt;INT($P98/Parameters!$K$29),1,0),0)</f>
        <v>1</v>
      </c>
      <c r="R99" s="8">
        <f>IF(Parameters!$G$30="y",IF(INT($P99/Parameters!$K$30)&gt;INT($P98/Parameters!$K$30),1,0),0)</f>
        <v>0</v>
      </c>
      <c r="S99" s="8">
        <f>IF(INT($P99/Parameters!$K$31)&gt;INT($P98/Parameters!$K$31),1,0)</f>
        <v>0</v>
      </c>
      <c r="T99" s="76">
        <f t="shared" si="0"/>
        <v>1</v>
      </c>
      <c r="U99" s="8">
        <f>C98/'Pump Data'!$L$21*1000/60</f>
        <v>1.1635483570697196</v>
      </c>
      <c r="V99" s="8"/>
      <c r="W99" s="8"/>
    </row>
    <row r="100" spans="1:23" ht="14.25" x14ac:dyDescent="0.45">
      <c r="A100" s="125">
        <v>41728</v>
      </c>
      <c r="B100" s="126">
        <v>3</v>
      </c>
      <c r="C100" s="127">
        <f t="shared" si="1"/>
        <v>0.33</v>
      </c>
      <c r="D100" s="127">
        <f t="shared" si="2"/>
        <v>0.64100000000000001</v>
      </c>
      <c r="E100" s="127">
        <f t="shared" si="13"/>
        <v>39.762000000000057</v>
      </c>
      <c r="F100" s="130">
        <f>Parameters!$B$32*'Pump Data'!$L$21^2+Parameters!$B$33*'Pump Data'!$L$21+Parameters!$B$34</f>
        <v>115.93397007999999</v>
      </c>
      <c r="G100" s="130">
        <f t="shared" si="3"/>
        <v>60.823203137271229</v>
      </c>
      <c r="H100" s="131">
        <f t="shared" si="4"/>
        <v>6.0823203137271228E-2</v>
      </c>
      <c r="I100" s="126">
        <f t="shared" si="5"/>
        <v>1650</v>
      </c>
      <c r="J100" s="126">
        <f t="shared" si="6"/>
        <v>1.65</v>
      </c>
      <c r="K100" s="126">
        <f t="shared" si="7"/>
        <v>3300000</v>
      </c>
      <c r="L100" s="131">
        <f t="shared" si="8"/>
        <v>3.3</v>
      </c>
      <c r="M100" s="126">
        <f t="shared" si="9"/>
        <v>864</v>
      </c>
      <c r="N100" s="131">
        <f t="shared" si="10"/>
        <v>3.1103999999999998</v>
      </c>
      <c r="O100" s="131">
        <f t="shared" si="11"/>
        <v>6.4712232031372707</v>
      </c>
      <c r="P100" s="8">
        <f t="shared" si="12"/>
        <v>76940</v>
      </c>
      <c r="Q100" s="8">
        <f>IF(Parameters!$G$29="y",IF(INT($P100/Parameters!$K$29)&gt;INT($P99/Parameters!$K$29),1,0),0)</f>
        <v>0</v>
      </c>
      <c r="R100" s="8">
        <f>IF(Parameters!$G$30="y",IF(INT($P100/Parameters!$K$30)&gt;INT($P99/Parameters!$K$30),1,0),0)</f>
        <v>0</v>
      </c>
      <c r="S100" s="8">
        <f>IF(INT($P100/Parameters!$K$31)&gt;INT($P99/Parameters!$K$31),1,0)</f>
        <v>0</v>
      </c>
      <c r="T100" s="76">
        <f t="shared" si="0"/>
        <v>0</v>
      </c>
      <c r="U100" s="8">
        <f>C99/'Pump Data'!$L$21*1000/60</f>
        <v>1.1635483570697196</v>
      </c>
      <c r="V100" s="8"/>
      <c r="W100" s="8"/>
    </row>
    <row r="101" spans="1:23" ht="14.25" x14ac:dyDescent="0.45">
      <c r="A101" s="125">
        <v>41729</v>
      </c>
      <c r="B101" s="126">
        <v>0</v>
      </c>
      <c r="C101" s="127">
        <f t="shared" si="1"/>
        <v>0</v>
      </c>
      <c r="D101" s="127">
        <f t="shared" si="2"/>
        <v>0.64100000000000001</v>
      </c>
      <c r="E101" s="127">
        <f t="shared" si="13"/>
        <v>39.121000000000059</v>
      </c>
      <c r="F101" s="130">
        <f>Parameters!$B$32*'Pump Data'!$L$21^2+Parameters!$B$33*'Pump Data'!$L$21+Parameters!$B$34</f>
        <v>115.93397007999999</v>
      </c>
      <c r="G101" s="130">
        <f t="shared" si="3"/>
        <v>0</v>
      </c>
      <c r="H101" s="131">
        <f t="shared" si="4"/>
        <v>0</v>
      </c>
      <c r="I101" s="126">
        <f t="shared" si="5"/>
        <v>0</v>
      </c>
      <c r="J101" s="126">
        <f t="shared" si="6"/>
        <v>0</v>
      </c>
      <c r="K101" s="126">
        <f t="shared" si="7"/>
        <v>0</v>
      </c>
      <c r="L101" s="131">
        <f t="shared" si="8"/>
        <v>0</v>
      </c>
      <c r="M101" s="126">
        <f t="shared" si="9"/>
        <v>864</v>
      </c>
      <c r="N101" s="131">
        <f t="shared" si="10"/>
        <v>3.1103999999999998</v>
      </c>
      <c r="O101" s="131">
        <f t="shared" si="11"/>
        <v>3.1103999999999998</v>
      </c>
      <c r="P101" s="8">
        <f t="shared" si="12"/>
        <v>76940</v>
      </c>
      <c r="Q101" s="8">
        <f>IF(Parameters!$G$29="y",IF(INT($P101/Parameters!$K$29)&gt;INT($P100/Parameters!$K$29),1,0),0)</f>
        <v>0</v>
      </c>
      <c r="R101" s="8">
        <f>IF(Parameters!$G$30="y",IF(INT($P101/Parameters!$K$30)&gt;INT($P100/Parameters!$K$30),1,0),0)</f>
        <v>0</v>
      </c>
      <c r="S101" s="8">
        <f>IF(INT($P101/Parameters!$K$31)&gt;INT($P100/Parameters!$K$31),1,0)</f>
        <v>0</v>
      </c>
      <c r="T101" s="76">
        <f t="shared" si="0"/>
        <v>0</v>
      </c>
      <c r="U101" s="8">
        <f>C100/'Pump Data'!$L$21*1000/60</f>
        <v>0.15358838313320303</v>
      </c>
      <c r="V101" s="8"/>
      <c r="W101" s="8"/>
    </row>
    <row r="102" spans="1:23" ht="14.25" x14ac:dyDescent="0.45">
      <c r="A102" s="125">
        <v>41730</v>
      </c>
      <c r="B102" s="126">
        <v>0</v>
      </c>
      <c r="C102" s="127">
        <f t="shared" si="1"/>
        <v>0</v>
      </c>
      <c r="D102" s="127">
        <f t="shared" si="2"/>
        <v>0.64100000000000001</v>
      </c>
      <c r="E102" s="127">
        <f t="shared" si="13"/>
        <v>38.480000000000061</v>
      </c>
      <c r="F102" s="130">
        <f>Parameters!$B$32*'Pump Data'!$L$21^2+Parameters!$B$33*'Pump Data'!$L$21+Parameters!$B$34</f>
        <v>115.93397007999999</v>
      </c>
      <c r="G102" s="130">
        <f t="shared" si="3"/>
        <v>0</v>
      </c>
      <c r="H102" s="131">
        <f t="shared" si="4"/>
        <v>0</v>
      </c>
      <c r="I102" s="126">
        <f t="shared" si="5"/>
        <v>0</v>
      </c>
      <c r="J102" s="126">
        <f t="shared" si="6"/>
        <v>0</v>
      </c>
      <c r="K102" s="126">
        <f t="shared" si="7"/>
        <v>0</v>
      </c>
      <c r="L102" s="131">
        <f t="shared" si="8"/>
        <v>0</v>
      </c>
      <c r="M102" s="126">
        <f t="shared" si="9"/>
        <v>864</v>
      </c>
      <c r="N102" s="131">
        <f t="shared" si="10"/>
        <v>3.1103999999999998</v>
      </c>
      <c r="O102" s="131">
        <f t="shared" si="11"/>
        <v>3.1103999999999998</v>
      </c>
      <c r="P102" s="8">
        <f t="shared" si="12"/>
        <v>76940</v>
      </c>
      <c r="Q102" s="8">
        <f>IF(Parameters!$G$29="y",IF(INT($P102/Parameters!$K$29)&gt;INT($P101/Parameters!$K$29),1,0),0)</f>
        <v>0</v>
      </c>
      <c r="R102" s="8">
        <f>IF(Parameters!$G$30="y",IF(INT($P102/Parameters!$K$30)&gt;INT($P101/Parameters!$K$30),1,0),0)</f>
        <v>0</v>
      </c>
      <c r="S102" s="8">
        <f>IF(INT($P102/Parameters!$K$31)&gt;INT($P101/Parameters!$K$31),1,0)</f>
        <v>0</v>
      </c>
      <c r="T102" s="76">
        <f t="shared" si="0"/>
        <v>0</v>
      </c>
      <c r="U102" s="8">
        <f>C101/'Pump Data'!$L$21*1000/60</f>
        <v>0</v>
      </c>
      <c r="V102" s="8"/>
      <c r="W102" s="8"/>
    </row>
    <row r="103" spans="1:23" ht="14.25" x14ac:dyDescent="0.45">
      <c r="A103" s="125">
        <v>41731</v>
      </c>
      <c r="B103" s="126">
        <v>5.6</v>
      </c>
      <c r="C103" s="127">
        <f t="shared" si="1"/>
        <v>0.61599999999999999</v>
      </c>
      <c r="D103" s="127">
        <f t="shared" si="2"/>
        <v>0.64100000000000001</v>
      </c>
      <c r="E103" s="127">
        <f t="shared" si="13"/>
        <v>38.455000000000062</v>
      </c>
      <c r="F103" s="130">
        <f>Parameters!$B$32*'Pump Data'!$L$21^2+Parameters!$B$33*'Pump Data'!$L$21+Parameters!$B$34</f>
        <v>115.93397007999999</v>
      </c>
      <c r="G103" s="130">
        <f t="shared" si="3"/>
        <v>113.53664585623962</v>
      </c>
      <c r="H103" s="131">
        <f t="shared" si="4"/>
        <v>0.11353664585623961</v>
      </c>
      <c r="I103" s="126">
        <f t="shared" si="5"/>
        <v>3080</v>
      </c>
      <c r="J103" s="126">
        <f t="shared" si="6"/>
        <v>3.08</v>
      </c>
      <c r="K103" s="126">
        <f t="shared" si="7"/>
        <v>6160000</v>
      </c>
      <c r="L103" s="131">
        <f t="shared" si="8"/>
        <v>6.16</v>
      </c>
      <c r="M103" s="126">
        <f t="shared" si="9"/>
        <v>864</v>
      </c>
      <c r="N103" s="131">
        <f t="shared" si="10"/>
        <v>3.1103999999999998</v>
      </c>
      <c r="O103" s="131">
        <f t="shared" si="11"/>
        <v>9.3839366458562399</v>
      </c>
      <c r="P103" s="8">
        <f t="shared" si="12"/>
        <v>77556</v>
      </c>
      <c r="Q103" s="8">
        <f>IF(Parameters!$G$29="y",IF(INT($P103/Parameters!$K$29)&gt;INT($P102/Parameters!$K$29),1,0),0)</f>
        <v>0</v>
      </c>
      <c r="R103" s="8">
        <f>IF(Parameters!$G$30="y",IF(INT($P103/Parameters!$K$30)&gt;INT($P102/Parameters!$K$30),1,0),0)</f>
        <v>0</v>
      </c>
      <c r="S103" s="8">
        <f>IF(INT($P103/Parameters!$K$31)&gt;INT($P102/Parameters!$K$31),1,0)</f>
        <v>0</v>
      </c>
      <c r="T103" s="76">
        <f t="shared" si="0"/>
        <v>0</v>
      </c>
      <c r="U103" s="8">
        <f>C102/'Pump Data'!$L$21*1000/60</f>
        <v>0</v>
      </c>
      <c r="V103" s="8"/>
      <c r="W103" s="8"/>
    </row>
    <row r="104" spans="1:23" ht="14.25" x14ac:dyDescent="0.45">
      <c r="A104" s="125">
        <v>41732</v>
      </c>
      <c r="B104" s="126">
        <v>20.399999999999999</v>
      </c>
      <c r="C104" s="127">
        <f t="shared" si="1"/>
        <v>2.2439999999999998</v>
      </c>
      <c r="D104" s="127">
        <f t="shared" si="2"/>
        <v>0.64100000000000001</v>
      </c>
      <c r="E104" s="127">
        <f t="shared" si="13"/>
        <v>40.058000000000064</v>
      </c>
      <c r="F104" s="130">
        <f>Parameters!$B$32*'Pump Data'!$L$21^2+Parameters!$B$33*'Pump Data'!$L$21+Parameters!$B$34</f>
        <v>115.93397007999999</v>
      </c>
      <c r="G104" s="130">
        <f t="shared" si="3"/>
        <v>413.59778133344423</v>
      </c>
      <c r="H104" s="131">
        <f t="shared" si="4"/>
        <v>0.41359778133344421</v>
      </c>
      <c r="I104" s="126">
        <f t="shared" si="5"/>
        <v>11220</v>
      </c>
      <c r="J104" s="126">
        <f t="shared" si="6"/>
        <v>11.22</v>
      </c>
      <c r="K104" s="126">
        <f t="shared" si="7"/>
        <v>22440000</v>
      </c>
      <c r="L104" s="131">
        <f t="shared" si="8"/>
        <v>22.44</v>
      </c>
      <c r="M104" s="126">
        <f t="shared" si="9"/>
        <v>864</v>
      </c>
      <c r="N104" s="131">
        <f t="shared" si="10"/>
        <v>3.1103999999999998</v>
      </c>
      <c r="O104" s="131">
        <f t="shared" si="11"/>
        <v>25.963997781333443</v>
      </c>
      <c r="P104" s="8">
        <f t="shared" si="12"/>
        <v>79800</v>
      </c>
      <c r="Q104" s="8">
        <f>IF(Parameters!$G$29="y",IF(INT($P104/Parameters!$K$29)&gt;INT($P103/Parameters!$K$29),1,0),0)</f>
        <v>0</v>
      </c>
      <c r="R104" s="8">
        <f>IF(Parameters!$G$30="y",IF(INT($P104/Parameters!$K$30)&gt;INT($P103/Parameters!$K$30),1,0),0)</f>
        <v>0</v>
      </c>
      <c r="S104" s="8">
        <f>IF(INT($P104/Parameters!$K$31)&gt;INT($P103/Parameters!$K$31),1,0)</f>
        <v>0</v>
      </c>
      <c r="T104" s="76">
        <f t="shared" si="0"/>
        <v>0</v>
      </c>
      <c r="U104" s="8">
        <f>C103/'Pump Data'!$L$21*1000/60</f>
        <v>0.28669831518197891</v>
      </c>
      <c r="V104" s="8"/>
      <c r="W104" s="8"/>
    </row>
    <row r="105" spans="1:23" ht="14.25" x14ac:dyDescent="0.45">
      <c r="A105" s="125">
        <v>41733</v>
      </c>
      <c r="B105" s="126">
        <v>2.6</v>
      </c>
      <c r="C105" s="127">
        <f t="shared" si="1"/>
        <v>0.28599999999999998</v>
      </c>
      <c r="D105" s="127">
        <f t="shared" si="2"/>
        <v>0.64100000000000001</v>
      </c>
      <c r="E105" s="127">
        <f t="shared" si="13"/>
        <v>39.703000000000067</v>
      </c>
      <c r="F105" s="130">
        <f>Parameters!$B$32*'Pump Data'!$L$21^2+Parameters!$B$33*'Pump Data'!$L$21+Parameters!$B$34</f>
        <v>115.93397007999999</v>
      </c>
      <c r="G105" s="130">
        <f t="shared" si="3"/>
        <v>52.713442718968395</v>
      </c>
      <c r="H105" s="131">
        <f t="shared" si="4"/>
        <v>5.2713442718968398E-2</v>
      </c>
      <c r="I105" s="126">
        <f t="shared" si="5"/>
        <v>1430</v>
      </c>
      <c r="J105" s="126">
        <f t="shared" si="6"/>
        <v>1.43</v>
      </c>
      <c r="K105" s="126">
        <f t="shared" si="7"/>
        <v>2860000</v>
      </c>
      <c r="L105" s="131">
        <f t="shared" si="8"/>
        <v>2.86</v>
      </c>
      <c r="M105" s="126">
        <f t="shared" si="9"/>
        <v>864</v>
      </c>
      <c r="N105" s="131">
        <f t="shared" si="10"/>
        <v>3.1103999999999998</v>
      </c>
      <c r="O105" s="131">
        <f t="shared" si="11"/>
        <v>6.0231134427189676</v>
      </c>
      <c r="P105" s="8">
        <f t="shared" si="12"/>
        <v>80086</v>
      </c>
      <c r="Q105" s="8">
        <f>IF(Parameters!$G$29="y",IF(INT($P105/Parameters!$K$29)&gt;INT($P104/Parameters!$K$29),1,0),0)</f>
        <v>0</v>
      </c>
      <c r="R105" s="8">
        <f>IF(Parameters!$G$30="y",IF(INT($P105/Parameters!$K$30)&gt;INT($P104/Parameters!$K$30),1,0),0)</f>
        <v>1</v>
      </c>
      <c r="S105" s="8">
        <f>IF(INT($P105/Parameters!$K$31)&gt;INT($P104/Parameters!$K$31),1,0)</f>
        <v>1</v>
      </c>
      <c r="T105" s="76">
        <f t="shared" si="0"/>
        <v>1</v>
      </c>
      <c r="U105" s="8">
        <f>C104/'Pump Data'!$L$21*1000/60</f>
        <v>1.0444010053057802</v>
      </c>
      <c r="V105" s="8"/>
      <c r="W105" s="8"/>
    </row>
    <row r="106" spans="1:23" ht="14.25" x14ac:dyDescent="0.45">
      <c r="A106" s="125">
        <v>41734</v>
      </c>
      <c r="B106" s="126">
        <v>15.9</v>
      </c>
      <c r="C106" s="127">
        <f t="shared" si="1"/>
        <v>1.7490000000000001</v>
      </c>
      <c r="D106" s="127">
        <f t="shared" si="2"/>
        <v>0.64100000000000001</v>
      </c>
      <c r="E106" s="127">
        <f t="shared" si="13"/>
        <v>40.811000000000071</v>
      </c>
      <c r="F106" s="130">
        <f>Parameters!$B$32*'Pump Data'!$L$21^2+Parameters!$B$33*'Pump Data'!$L$21+Parameters!$B$34</f>
        <v>115.93397007999999</v>
      </c>
      <c r="G106" s="130">
        <f t="shared" si="3"/>
        <v>322.36297662753748</v>
      </c>
      <c r="H106" s="131">
        <f t="shared" si="4"/>
        <v>0.32236297662753749</v>
      </c>
      <c r="I106" s="126">
        <f t="shared" si="5"/>
        <v>8745</v>
      </c>
      <c r="J106" s="126">
        <f t="shared" si="6"/>
        <v>8.7449999999999992</v>
      </c>
      <c r="K106" s="126">
        <f t="shared" si="7"/>
        <v>17490000</v>
      </c>
      <c r="L106" s="131">
        <f t="shared" si="8"/>
        <v>17.489999999999998</v>
      </c>
      <c r="M106" s="126">
        <f t="shared" si="9"/>
        <v>864</v>
      </c>
      <c r="N106" s="131">
        <f t="shared" si="10"/>
        <v>3.1103999999999998</v>
      </c>
      <c r="O106" s="131">
        <f t="shared" si="11"/>
        <v>20.922762976627535</v>
      </c>
      <c r="P106" s="8">
        <f t="shared" si="12"/>
        <v>81835</v>
      </c>
      <c r="Q106" s="8">
        <f>IF(Parameters!$G$29="y",IF(INT($P106/Parameters!$K$29)&gt;INT($P105/Parameters!$K$29),1,0),0)</f>
        <v>0</v>
      </c>
      <c r="R106" s="8">
        <f>IF(Parameters!$G$30="y",IF(INT($P106/Parameters!$K$30)&gt;INT($P105/Parameters!$K$30),1,0),0)</f>
        <v>0</v>
      </c>
      <c r="S106" s="8">
        <f>IF(INT($P106/Parameters!$K$31)&gt;INT($P105/Parameters!$K$31),1,0)</f>
        <v>0</v>
      </c>
      <c r="T106" s="76">
        <f t="shared" si="0"/>
        <v>0</v>
      </c>
      <c r="U106" s="8">
        <f>C105/'Pump Data'!$L$21*1000/60</f>
        <v>0.13310993204877591</v>
      </c>
      <c r="V106" s="8"/>
      <c r="W106" s="8"/>
    </row>
    <row r="107" spans="1:23" ht="14.25" x14ac:dyDescent="0.45">
      <c r="A107" s="125">
        <v>41735</v>
      </c>
      <c r="B107" s="126">
        <v>9.4</v>
      </c>
      <c r="C107" s="127">
        <f t="shared" si="1"/>
        <v>1.034</v>
      </c>
      <c r="D107" s="127">
        <f t="shared" si="2"/>
        <v>0.64100000000000001</v>
      </c>
      <c r="E107" s="127">
        <f t="shared" si="13"/>
        <v>41.204000000000072</v>
      </c>
      <c r="F107" s="130">
        <f>Parameters!$B$32*'Pump Data'!$L$21^2+Parameters!$B$33*'Pump Data'!$L$21+Parameters!$B$34</f>
        <v>115.93397007999999</v>
      </c>
      <c r="G107" s="130">
        <f t="shared" si="3"/>
        <v>190.57936983011649</v>
      </c>
      <c r="H107" s="131">
        <f t="shared" si="4"/>
        <v>0.1905793698301165</v>
      </c>
      <c r="I107" s="126">
        <f t="shared" si="5"/>
        <v>5170</v>
      </c>
      <c r="J107" s="126">
        <f t="shared" si="6"/>
        <v>5.17</v>
      </c>
      <c r="K107" s="126">
        <f t="shared" si="7"/>
        <v>10340000</v>
      </c>
      <c r="L107" s="131">
        <f t="shared" si="8"/>
        <v>10.34</v>
      </c>
      <c r="M107" s="126">
        <f t="shared" si="9"/>
        <v>864</v>
      </c>
      <c r="N107" s="131">
        <f t="shared" si="10"/>
        <v>3.1103999999999998</v>
      </c>
      <c r="O107" s="131">
        <f t="shared" si="11"/>
        <v>13.640979369830116</v>
      </c>
      <c r="P107" s="8">
        <f t="shared" si="12"/>
        <v>82869</v>
      </c>
      <c r="Q107" s="8">
        <f>IF(Parameters!$G$29="y",IF(INT($P107/Parameters!$K$29)&gt;INT($P106/Parameters!$K$29),1,0),0)</f>
        <v>0</v>
      </c>
      <c r="R107" s="8">
        <f>IF(Parameters!$G$30="y",IF(INT($P107/Parameters!$K$30)&gt;INT($P106/Parameters!$K$30),1,0),0)</f>
        <v>0</v>
      </c>
      <c r="S107" s="8">
        <f>IF(INT($P107/Parameters!$K$31)&gt;INT($P106/Parameters!$K$31),1,0)</f>
        <v>0</v>
      </c>
      <c r="T107" s="76">
        <f t="shared" si="0"/>
        <v>0</v>
      </c>
      <c r="U107" s="8">
        <f>C106/'Pump Data'!$L$21*1000/60</f>
        <v>0.81401843060597601</v>
      </c>
      <c r="V107" s="8"/>
      <c r="W107" s="8"/>
    </row>
    <row r="108" spans="1:23" ht="14.25" x14ac:dyDescent="0.45">
      <c r="A108" s="125">
        <v>41736</v>
      </c>
      <c r="B108" s="126">
        <v>13.6</v>
      </c>
      <c r="C108" s="127">
        <f t="shared" si="1"/>
        <v>1.496</v>
      </c>
      <c r="D108" s="127">
        <f t="shared" si="2"/>
        <v>0.64100000000000001</v>
      </c>
      <c r="E108" s="127">
        <f t="shared" si="13"/>
        <v>42.059000000000076</v>
      </c>
      <c r="F108" s="130">
        <f>Parameters!$B$32*'Pump Data'!$L$21^2+Parameters!$B$33*'Pump Data'!$L$21+Parameters!$B$34</f>
        <v>115.93397007999999</v>
      </c>
      <c r="G108" s="130">
        <f t="shared" si="3"/>
        <v>275.73185422229619</v>
      </c>
      <c r="H108" s="131">
        <f t="shared" si="4"/>
        <v>0.27573185422229618</v>
      </c>
      <c r="I108" s="126">
        <f t="shared" si="5"/>
        <v>7480</v>
      </c>
      <c r="J108" s="126">
        <f t="shared" si="6"/>
        <v>7.48</v>
      </c>
      <c r="K108" s="126">
        <f t="shared" si="7"/>
        <v>14960000</v>
      </c>
      <c r="L108" s="131">
        <f t="shared" si="8"/>
        <v>14.96</v>
      </c>
      <c r="M108" s="126">
        <f t="shared" si="9"/>
        <v>864</v>
      </c>
      <c r="N108" s="131">
        <f t="shared" si="10"/>
        <v>3.1103999999999998</v>
      </c>
      <c r="O108" s="131">
        <f t="shared" si="11"/>
        <v>18.346131854222296</v>
      </c>
      <c r="P108" s="8">
        <f t="shared" si="12"/>
        <v>84365</v>
      </c>
      <c r="Q108" s="8">
        <f>IF(Parameters!$G$29="y",IF(INT($P108/Parameters!$K$29)&gt;INT($P107/Parameters!$K$29),1,0),0)</f>
        <v>0</v>
      </c>
      <c r="R108" s="8">
        <f>IF(Parameters!$G$30="y",IF(INT($P108/Parameters!$K$30)&gt;INT($P107/Parameters!$K$30),1,0),0)</f>
        <v>0</v>
      </c>
      <c r="S108" s="8">
        <f>IF(INT($P108/Parameters!$K$31)&gt;INT($P107/Parameters!$K$31),1,0)</f>
        <v>0</v>
      </c>
      <c r="T108" s="76">
        <f t="shared" si="0"/>
        <v>0</v>
      </c>
      <c r="U108" s="8">
        <f>C107/'Pump Data'!$L$21*1000/60</f>
        <v>0.48124360048403608</v>
      </c>
      <c r="V108" s="8"/>
      <c r="W108" s="8"/>
    </row>
    <row r="109" spans="1:23" ht="14.25" x14ac:dyDescent="0.45">
      <c r="A109" s="125">
        <v>41737</v>
      </c>
      <c r="B109" s="126">
        <v>5.6</v>
      </c>
      <c r="C109" s="127">
        <f t="shared" si="1"/>
        <v>0.61599999999999999</v>
      </c>
      <c r="D109" s="127">
        <f t="shared" si="2"/>
        <v>0.64100000000000001</v>
      </c>
      <c r="E109" s="127">
        <f t="shared" si="13"/>
        <v>42.034000000000077</v>
      </c>
      <c r="F109" s="130">
        <f>Parameters!$B$32*'Pump Data'!$L$21^2+Parameters!$B$33*'Pump Data'!$L$21+Parameters!$B$34</f>
        <v>115.93397007999999</v>
      </c>
      <c r="G109" s="130">
        <f t="shared" si="3"/>
        <v>113.53664585623962</v>
      </c>
      <c r="H109" s="131">
        <f t="shared" si="4"/>
        <v>0.11353664585623961</v>
      </c>
      <c r="I109" s="126">
        <f t="shared" si="5"/>
        <v>3080</v>
      </c>
      <c r="J109" s="126">
        <f t="shared" si="6"/>
        <v>3.08</v>
      </c>
      <c r="K109" s="126">
        <f t="shared" si="7"/>
        <v>6160000</v>
      </c>
      <c r="L109" s="131">
        <f t="shared" si="8"/>
        <v>6.16</v>
      </c>
      <c r="M109" s="126">
        <f t="shared" si="9"/>
        <v>864</v>
      </c>
      <c r="N109" s="131">
        <f t="shared" si="10"/>
        <v>3.1103999999999998</v>
      </c>
      <c r="O109" s="131">
        <f t="shared" si="11"/>
        <v>9.3839366458562399</v>
      </c>
      <c r="P109" s="8">
        <f t="shared" si="12"/>
        <v>84981</v>
      </c>
      <c r="Q109" s="8">
        <f>IF(Parameters!$G$29="y",IF(INT($P109/Parameters!$K$29)&gt;INT($P108/Parameters!$K$29),1,0),0)</f>
        <v>0</v>
      </c>
      <c r="R109" s="8">
        <f>IF(Parameters!$G$30="y",IF(INT($P109/Parameters!$K$30)&gt;INT($P108/Parameters!$K$30),1,0),0)</f>
        <v>0</v>
      </c>
      <c r="S109" s="8">
        <f>IF(INT($P109/Parameters!$K$31)&gt;INT($P108/Parameters!$K$31),1,0)</f>
        <v>0</v>
      </c>
      <c r="T109" s="76">
        <f t="shared" si="0"/>
        <v>0</v>
      </c>
      <c r="U109" s="8">
        <f>C108/'Pump Data'!$L$21*1000/60</f>
        <v>0.69626733687052023</v>
      </c>
      <c r="V109" s="8"/>
      <c r="W109" s="8"/>
    </row>
    <row r="110" spans="1:23" ht="14.25" x14ac:dyDescent="0.45">
      <c r="A110" s="125">
        <v>41738</v>
      </c>
      <c r="B110" s="126">
        <v>0</v>
      </c>
      <c r="C110" s="127">
        <f t="shared" si="1"/>
        <v>0</v>
      </c>
      <c r="D110" s="127">
        <f t="shared" si="2"/>
        <v>0.64100000000000001</v>
      </c>
      <c r="E110" s="127">
        <f t="shared" si="13"/>
        <v>41.393000000000079</v>
      </c>
      <c r="F110" s="130">
        <f>Parameters!$B$32*'Pump Data'!$L$21^2+Parameters!$B$33*'Pump Data'!$L$21+Parameters!$B$34</f>
        <v>115.93397007999999</v>
      </c>
      <c r="G110" s="130">
        <f t="shared" si="3"/>
        <v>0</v>
      </c>
      <c r="H110" s="131">
        <f t="shared" si="4"/>
        <v>0</v>
      </c>
      <c r="I110" s="126">
        <f t="shared" si="5"/>
        <v>0</v>
      </c>
      <c r="J110" s="126">
        <f t="shared" si="6"/>
        <v>0</v>
      </c>
      <c r="K110" s="126">
        <f t="shared" si="7"/>
        <v>0</v>
      </c>
      <c r="L110" s="131">
        <f t="shared" si="8"/>
        <v>0</v>
      </c>
      <c r="M110" s="126">
        <f t="shared" si="9"/>
        <v>864</v>
      </c>
      <c r="N110" s="131">
        <f t="shared" si="10"/>
        <v>3.1103999999999998</v>
      </c>
      <c r="O110" s="131">
        <f t="shared" si="11"/>
        <v>3.1103999999999998</v>
      </c>
      <c r="P110" s="8">
        <f t="shared" si="12"/>
        <v>84981</v>
      </c>
      <c r="Q110" s="8">
        <f>IF(Parameters!$G$29="y",IF(INT($P110/Parameters!$K$29)&gt;INT($P109/Parameters!$K$29),1,0),0)</f>
        <v>0</v>
      </c>
      <c r="R110" s="8">
        <f>IF(Parameters!$G$30="y",IF(INT($P110/Parameters!$K$30)&gt;INT($P109/Parameters!$K$30),1,0),0)</f>
        <v>0</v>
      </c>
      <c r="S110" s="8">
        <f>IF(INT($P110/Parameters!$K$31)&gt;INT($P109/Parameters!$K$31),1,0)</f>
        <v>0</v>
      </c>
      <c r="T110" s="76">
        <f t="shared" si="0"/>
        <v>0</v>
      </c>
      <c r="U110" s="8">
        <f>C109/'Pump Data'!$L$21*1000/60</f>
        <v>0.28669831518197891</v>
      </c>
      <c r="V110" s="8"/>
      <c r="W110" s="8"/>
    </row>
    <row r="111" spans="1:23" ht="14.25" x14ac:dyDescent="0.45">
      <c r="A111" s="125">
        <v>41739</v>
      </c>
      <c r="B111" s="126">
        <v>16.600000000000001</v>
      </c>
      <c r="C111" s="127">
        <f t="shared" si="1"/>
        <v>1.8260000000000001</v>
      </c>
      <c r="D111" s="127">
        <f t="shared" si="2"/>
        <v>0.64100000000000001</v>
      </c>
      <c r="E111" s="127">
        <f t="shared" si="13"/>
        <v>42.578000000000081</v>
      </c>
      <c r="F111" s="130">
        <f>Parameters!$B$32*'Pump Data'!$L$21^2+Parameters!$B$33*'Pump Data'!$L$21+Parameters!$B$34</f>
        <v>115.93397007999999</v>
      </c>
      <c r="G111" s="130">
        <f t="shared" si="3"/>
        <v>336.55505735956746</v>
      </c>
      <c r="H111" s="131">
        <f t="shared" si="4"/>
        <v>0.33655505735956748</v>
      </c>
      <c r="I111" s="126">
        <f t="shared" si="5"/>
        <v>9130</v>
      </c>
      <c r="J111" s="126">
        <f t="shared" si="6"/>
        <v>9.1300000000000008</v>
      </c>
      <c r="K111" s="126">
        <f t="shared" si="7"/>
        <v>18260000</v>
      </c>
      <c r="L111" s="131">
        <f t="shared" si="8"/>
        <v>18.260000000000002</v>
      </c>
      <c r="M111" s="126">
        <f t="shared" si="9"/>
        <v>864</v>
      </c>
      <c r="N111" s="131">
        <f t="shared" si="10"/>
        <v>3.1103999999999998</v>
      </c>
      <c r="O111" s="131">
        <f t="shared" si="11"/>
        <v>21.706955057359568</v>
      </c>
      <c r="P111" s="8">
        <f t="shared" si="12"/>
        <v>86806.999999999985</v>
      </c>
      <c r="Q111" s="8">
        <f>IF(Parameters!$G$29="y",IF(INT($P111/Parameters!$K$29)&gt;INT($P110/Parameters!$K$29),1,0),0)</f>
        <v>0</v>
      </c>
      <c r="R111" s="8">
        <f>IF(Parameters!$G$30="y",IF(INT($P111/Parameters!$K$30)&gt;INT($P110/Parameters!$K$30),1,0),0)</f>
        <v>0</v>
      </c>
      <c r="S111" s="8">
        <f>IF(INT($P111/Parameters!$K$31)&gt;INT($P110/Parameters!$K$31),1,0)</f>
        <v>0</v>
      </c>
      <c r="T111" s="76">
        <f t="shared" si="0"/>
        <v>0</v>
      </c>
      <c r="U111" s="8">
        <f>C110/'Pump Data'!$L$21*1000/60</f>
        <v>0</v>
      </c>
      <c r="V111" s="8"/>
      <c r="W111" s="8"/>
    </row>
    <row r="112" spans="1:23" ht="14.25" x14ac:dyDescent="0.45">
      <c r="A112" s="125">
        <v>41740</v>
      </c>
      <c r="B112" s="126">
        <v>0</v>
      </c>
      <c r="C112" s="127">
        <f t="shared" si="1"/>
        <v>0</v>
      </c>
      <c r="D112" s="127">
        <f t="shared" si="2"/>
        <v>0.64100000000000001</v>
      </c>
      <c r="E112" s="127">
        <f t="shared" si="13"/>
        <v>41.937000000000083</v>
      </c>
      <c r="F112" s="130">
        <f>Parameters!$B$32*'Pump Data'!$L$21^2+Parameters!$B$33*'Pump Data'!$L$21+Parameters!$B$34</f>
        <v>115.93397007999999</v>
      </c>
      <c r="G112" s="130">
        <f t="shared" si="3"/>
        <v>0</v>
      </c>
      <c r="H112" s="131">
        <f t="shared" si="4"/>
        <v>0</v>
      </c>
      <c r="I112" s="126">
        <f t="shared" si="5"/>
        <v>0</v>
      </c>
      <c r="J112" s="126">
        <f t="shared" si="6"/>
        <v>0</v>
      </c>
      <c r="K112" s="126">
        <f t="shared" si="7"/>
        <v>0</v>
      </c>
      <c r="L112" s="131">
        <f t="shared" si="8"/>
        <v>0</v>
      </c>
      <c r="M112" s="126">
        <f t="shared" si="9"/>
        <v>864</v>
      </c>
      <c r="N112" s="131">
        <f t="shared" si="10"/>
        <v>3.1103999999999998</v>
      </c>
      <c r="O112" s="131">
        <f t="shared" si="11"/>
        <v>3.1103999999999998</v>
      </c>
      <c r="P112" s="8">
        <f t="shared" si="12"/>
        <v>86806.999999999985</v>
      </c>
      <c r="Q112" s="8">
        <f>IF(Parameters!$G$29="y",IF(INT($P112/Parameters!$K$29)&gt;INT($P111/Parameters!$K$29),1,0),0)</f>
        <v>0</v>
      </c>
      <c r="R112" s="8">
        <f>IF(Parameters!$G$30="y",IF(INT($P112/Parameters!$K$30)&gt;INT($P111/Parameters!$K$30),1,0),0)</f>
        <v>0</v>
      </c>
      <c r="S112" s="8">
        <f>IF(INT($P112/Parameters!$K$31)&gt;INT($P111/Parameters!$K$31),1,0)</f>
        <v>0</v>
      </c>
      <c r="T112" s="76">
        <f t="shared" si="0"/>
        <v>0</v>
      </c>
      <c r="U112" s="8">
        <f>C111/'Pump Data'!$L$21*1000/60</f>
        <v>0.84985572000372345</v>
      </c>
      <c r="V112" s="8"/>
      <c r="W112" s="8"/>
    </row>
    <row r="113" spans="1:23" ht="14.25" x14ac:dyDescent="0.45">
      <c r="A113" s="125">
        <v>41741</v>
      </c>
      <c r="B113" s="126">
        <v>0</v>
      </c>
      <c r="C113" s="127">
        <f t="shared" si="1"/>
        <v>0</v>
      </c>
      <c r="D113" s="127">
        <f t="shared" si="2"/>
        <v>0.64100000000000001</v>
      </c>
      <c r="E113" s="127">
        <f t="shared" si="13"/>
        <v>41.296000000000085</v>
      </c>
      <c r="F113" s="130">
        <f>Parameters!$B$32*'Pump Data'!$L$21^2+Parameters!$B$33*'Pump Data'!$L$21+Parameters!$B$34</f>
        <v>115.93397007999999</v>
      </c>
      <c r="G113" s="130">
        <f t="shared" si="3"/>
        <v>0</v>
      </c>
      <c r="H113" s="131">
        <f t="shared" si="4"/>
        <v>0</v>
      </c>
      <c r="I113" s="126">
        <f t="shared" si="5"/>
        <v>0</v>
      </c>
      <c r="J113" s="126">
        <f t="shared" si="6"/>
        <v>0</v>
      </c>
      <c r="K113" s="126">
        <f t="shared" si="7"/>
        <v>0</v>
      </c>
      <c r="L113" s="131">
        <f t="shared" si="8"/>
        <v>0</v>
      </c>
      <c r="M113" s="126">
        <f t="shared" si="9"/>
        <v>864</v>
      </c>
      <c r="N113" s="131">
        <f t="shared" si="10"/>
        <v>3.1103999999999998</v>
      </c>
      <c r="O113" s="131">
        <f t="shared" si="11"/>
        <v>3.1103999999999998</v>
      </c>
      <c r="P113" s="8">
        <f t="shared" si="12"/>
        <v>86806.999999999985</v>
      </c>
      <c r="Q113" s="8">
        <f>IF(Parameters!$G$29="y",IF(INT($P113/Parameters!$K$29)&gt;INT($P112/Parameters!$K$29),1,0),0)</f>
        <v>0</v>
      </c>
      <c r="R113" s="8">
        <f>IF(Parameters!$G$30="y",IF(INT($P113/Parameters!$K$30)&gt;INT($P112/Parameters!$K$30),1,0),0)</f>
        <v>0</v>
      </c>
      <c r="S113" s="8">
        <f>IF(INT($P113/Parameters!$K$31)&gt;INT($P112/Parameters!$K$31),1,0)</f>
        <v>0</v>
      </c>
      <c r="T113" s="76">
        <f t="shared" si="0"/>
        <v>0</v>
      </c>
      <c r="U113" s="8">
        <f>C112/'Pump Data'!$L$21*1000/60</f>
        <v>0</v>
      </c>
      <c r="V113" s="8"/>
      <c r="W113" s="8"/>
    </row>
    <row r="114" spans="1:23" ht="14.25" x14ac:dyDescent="0.45">
      <c r="A114" s="125">
        <v>41742</v>
      </c>
      <c r="B114" s="126">
        <v>0</v>
      </c>
      <c r="C114" s="127">
        <f t="shared" si="1"/>
        <v>0</v>
      </c>
      <c r="D114" s="127">
        <f t="shared" si="2"/>
        <v>0.64100000000000001</v>
      </c>
      <c r="E114" s="127">
        <f t="shared" si="13"/>
        <v>40.655000000000086</v>
      </c>
      <c r="F114" s="130">
        <f>Parameters!$B$32*'Pump Data'!$L$21^2+Parameters!$B$33*'Pump Data'!$L$21+Parameters!$B$34</f>
        <v>115.93397007999999</v>
      </c>
      <c r="G114" s="130">
        <f t="shared" si="3"/>
        <v>0</v>
      </c>
      <c r="H114" s="131">
        <f t="shared" si="4"/>
        <v>0</v>
      </c>
      <c r="I114" s="126">
        <f t="shared" si="5"/>
        <v>0</v>
      </c>
      <c r="J114" s="126">
        <f t="shared" si="6"/>
        <v>0</v>
      </c>
      <c r="K114" s="126">
        <f t="shared" si="7"/>
        <v>0</v>
      </c>
      <c r="L114" s="131">
        <f t="shared" si="8"/>
        <v>0</v>
      </c>
      <c r="M114" s="126">
        <f t="shared" si="9"/>
        <v>864</v>
      </c>
      <c r="N114" s="131">
        <f t="shared" si="10"/>
        <v>3.1103999999999998</v>
      </c>
      <c r="O114" s="131">
        <f t="shared" si="11"/>
        <v>3.1103999999999998</v>
      </c>
      <c r="P114" s="8">
        <f t="shared" si="12"/>
        <v>86806.999999999985</v>
      </c>
      <c r="Q114" s="8">
        <f>IF(Parameters!$G$29="y",IF(INT($P114/Parameters!$K$29)&gt;INT($P113/Parameters!$K$29),1,0),0)</f>
        <v>0</v>
      </c>
      <c r="R114" s="8">
        <f>IF(Parameters!$G$30="y",IF(INT($P114/Parameters!$K$30)&gt;INT($P113/Parameters!$K$30),1,0),0)</f>
        <v>0</v>
      </c>
      <c r="S114" s="8">
        <f>IF(INT($P114/Parameters!$K$31)&gt;INT($P113/Parameters!$K$31),1,0)</f>
        <v>0</v>
      </c>
      <c r="T114" s="76">
        <f t="shared" si="0"/>
        <v>0</v>
      </c>
      <c r="U114" s="8">
        <f>C113/'Pump Data'!$L$21*1000/60</f>
        <v>0</v>
      </c>
      <c r="V114" s="8"/>
      <c r="W114" s="8"/>
    </row>
    <row r="115" spans="1:23" ht="14.25" x14ac:dyDescent="0.45">
      <c r="A115" s="125">
        <v>41743</v>
      </c>
      <c r="B115" s="126">
        <v>14.8</v>
      </c>
      <c r="C115" s="127">
        <f t="shared" si="1"/>
        <v>1.6280000000000001</v>
      </c>
      <c r="D115" s="127">
        <f t="shared" si="2"/>
        <v>0.64100000000000001</v>
      </c>
      <c r="E115" s="127">
        <f t="shared" si="13"/>
        <v>41.642000000000088</v>
      </c>
      <c r="F115" s="130">
        <f>Parameters!$B$32*'Pump Data'!$L$21^2+Parameters!$B$33*'Pump Data'!$L$21+Parameters!$B$34</f>
        <v>115.93397007999999</v>
      </c>
      <c r="G115" s="130">
        <f t="shared" si="3"/>
        <v>300.06113547720474</v>
      </c>
      <c r="H115" s="131">
        <f t="shared" si="4"/>
        <v>0.30006113547720475</v>
      </c>
      <c r="I115" s="126">
        <f t="shared" si="5"/>
        <v>8140</v>
      </c>
      <c r="J115" s="126">
        <f t="shared" si="6"/>
        <v>8.14</v>
      </c>
      <c r="K115" s="126">
        <f t="shared" si="7"/>
        <v>16280000.000000002</v>
      </c>
      <c r="L115" s="131">
        <f t="shared" si="8"/>
        <v>16.28</v>
      </c>
      <c r="M115" s="126">
        <f t="shared" si="9"/>
        <v>864</v>
      </c>
      <c r="N115" s="131">
        <f t="shared" si="10"/>
        <v>3.1103999999999998</v>
      </c>
      <c r="O115" s="131">
        <f t="shared" si="11"/>
        <v>19.690461135477204</v>
      </c>
      <c r="P115" s="8">
        <f t="shared" si="12"/>
        <v>88434.999999999985</v>
      </c>
      <c r="Q115" s="8">
        <f>IF(Parameters!$G$29="y",IF(INT($P115/Parameters!$K$29)&gt;INT($P114/Parameters!$K$29),1,0),0)</f>
        <v>0</v>
      </c>
      <c r="R115" s="8">
        <f>IF(Parameters!$G$30="y",IF(INT($P115/Parameters!$K$30)&gt;INT($P114/Parameters!$K$30),1,0),0)</f>
        <v>0</v>
      </c>
      <c r="S115" s="8">
        <f>IF(INT($P115/Parameters!$K$31)&gt;INT($P114/Parameters!$K$31),1,0)</f>
        <v>0</v>
      </c>
      <c r="T115" s="76">
        <f t="shared" si="0"/>
        <v>0</v>
      </c>
      <c r="U115" s="8">
        <f>C114/'Pump Data'!$L$21*1000/60</f>
        <v>0</v>
      </c>
      <c r="V115" s="8"/>
      <c r="W115" s="8"/>
    </row>
    <row r="116" spans="1:23" ht="14.25" x14ac:dyDescent="0.45">
      <c r="A116" s="125">
        <v>41744</v>
      </c>
      <c r="B116" s="126">
        <v>20.8</v>
      </c>
      <c r="C116" s="127">
        <f t="shared" si="1"/>
        <v>2.2879999999999998</v>
      </c>
      <c r="D116" s="127">
        <f t="shared" si="2"/>
        <v>0.64100000000000001</v>
      </c>
      <c r="E116" s="127">
        <f t="shared" si="13"/>
        <v>43.289000000000087</v>
      </c>
      <c r="F116" s="130">
        <f>Parameters!$B$32*'Pump Data'!$L$21^2+Parameters!$B$33*'Pump Data'!$L$21+Parameters!$B$34</f>
        <v>115.93397007999999</v>
      </c>
      <c r="G116" s="130">
        <f t="shared" si="3"/>
        <v>421.70754175174716</v>
      </c>
      <c r="H116" s="131">
        <f t="shared" si="4"/>
        <v>0.42170754175174718</v>
      </c>
      <c r="I116" s="126">
        <f t="shared" si="5"/>
        <v>11440</v>
      </c>
      <c r="J116" s="126">
        <f t="shared" si="6"/>
        <v>11.44</v>
      </c>
      <c r="K116" s="126">
        <f t="shared" si="7"/>
        <v>22880000</v>
      </c>
      <c r="L116" s="131">
        <f t="shared" si="8"/>
        <v>22.88</v>
      </c>
      <c r="M116" s="126">
        <f t="shared" si="9"/>
        <v>864</v>
      </c>
      <c r="N116" s="131">
        <f t="shared" si="10"/>
        <v>3.1103999999999998</v>
      </c>
      <c r="O116" s="131">
        <f t="shared" si="11"/>
        <v>26.412107541751745</v>
      </c>
      <c r="P116" s="8">
        <f t="shared" si="12"/>
        <v>90722.999999999985</v>
      </c>
      <c r="Q116" s="8">
        <f>IF(Parameters!$G$29="y",IF(INT($P116/Parameters!$K$29)&gt;INT($P115/Parameters!$K$29),1,0),0)</f>
        <v>0</v>
      </c>
      <c r="R116" s="8">
        <f>IF(Parameters!$G$30="y",IF(INT($P116/Parameters!$K$30)&gt;INT($P115/Parameters!$K$30),1,0),0)</f>
        <v>0</v>
      </c>
      <c r="S116" s="8">
        <f>IF(INT($P116/Parameters!$K$31)&gt;INT($P115/Parameters!$K$31),1,0)</f>
        <v>0</v>
      </c>
      <c r="T116" s="76">
        <f t="shared" si="0"/>
        <v>0</v>
      </c>
      <c r="U116" s="8">
        <f>C115/'Pump Data'!$L$21*1000/60</f>
        <v>0.75770269012380154</v>
      </c>
      <c r="V116" s="8"/>
      <c r="W116" s="8"/>
    </row>
    <row r="117" spans="1:23" ht="14.25" x14ac:dyDescent="0.45">
      <c r="A117" s="125">
        <v>41745</v>
      </c>
      <c r="B117" s="126">
        <v>37.4</v>
      </c>
      <c r="C117" s="127">
        <f t="shared" si="1"/>
        <v>2.5</v>
      </c>
      <c r="D117" s="127">
        <f t="shared" si="2"/>
        <v>0.64100000000000001</v>
      </c>
      <c r="E117" s="127">
        <f t="shared" si="13"/>
        <v>45.148000000000089</v>
      </c>
      <c r="F117" s="130">
        <f>Parameters!$B$32*'Pump Data'!$L$21^2+Parameters!$B$33*'Pump Data'!$L$21+Parameters!$B$34</f>
        <v>115.93397007999999</v>
      </c>
      <c r="G117" s="130">
        <f t="shared" si="3"/>
        <v>460.7818419490244</v>
      </c>
      <c r="H117" s="131">
        <f t="shared" si="4"/>
        <v>0.46078184194902438</v>
      </c>
      <c r="I117" s="126">
        <f t="shared" si="5"/>
        <v>12500</v>
      </c>
      <c r="J117" s="126">
        <f t="shared" si="6"/>
        <v>12.5</v>
      </c>
      <c r="K117" s="126">
        <f t="shared" si="7"/>
        <v>25000000</v>
      </c>
      <c r="L117" s="131">
        <f t="shared" si="8"/>
        <v>25</v>
      </c>
      <c r="M117" s="126">
        <f t="shared" si="9"/>
        <v>864</v>
      </c>
      <c r="N117" s="131">
        <f t="shared" si="10"/>
        <v>3.1103999999999998</v>
      </c>
      <c r="O117" s="131">
        <f t="shared" si="11"/>
        <v>28.571181841949024</v>
      </c>
      <c r="P117" s="8">
        <f t="shared" si="12"/>
        <v>93222.999999999985</v>
      </c>
      <c r="Q117" s="8">
        <f>IF(Parameters!$G$29="y",IF(INT($P117/Parameters!$K$29)&gt;INT($P116/Parameters!$K$29),1,0),0)</f>
        <v>0</v>
      </c>
      <c r="R117" s="8">
        <f>IF(Parameters!$G$30="y",IF(INT($P117/Parameters!$K$30)&gt;INT($P116/Parameters!$K$30),1,0),0)</f>
        <v>0</v>
      </c>
      <c r="S117" s="8">
        <f>IF(INT($P117/Parameters!$K$31)&gt;INT($P116/Parameters!$K$31),1,0)</f>
        <v>0</v>
      </c>
      <c r="T117" s="76">
        <f t="shared" si="0"/>
        <v>0</v>
      </c>
      <c r="U117" s="8">
        <f>C116/'Pump Data'!$L$21*1000/60</f>
        <v>1.0648794563902073</v>
      </c>
      <c r="V117" s="8"/>
      <c r="W117" s="8"/>
    </row>
    <row r="118" spans="1:23" ht="14.25" x14ac:dyDescent="0.45">
      <c r="A118" s="125">
        <v>41746</v>
      </c>
      <c r="B118" s="126">
        <v>9.8000000000000007</v>
      </c>
      <c r="C118" s="127">
        <f t="shared" si="1"/>
        <v>1.0780000000000001</v>
      </c>
      <c r="D118" s="127">
        <f t="shared" si="2"/>
        <v>0.64100000000000001</v>
      </c>
      <c r="E118" s="127">
        <f t="shared" si="13"/>
        <v>45.585000000000093</v>
      </c>
      <c r="F118" s="130">
        <f>Parameters!$B$32*'Pump Data'!$L$21^2+Parameters!$B$33*'Pump Data'!$L$21+Parameters!$B$34</f>
        <v>115.93397007999999</v>
      </c>
      <c r="G118" s="130">
        <f t="shared" si="3"/>
        <v>198.68913024841933</v>
      </c>
      <c r="H118" s="131">
        <f t="shared" si="4"/>
        <v>0.19868913024841933</v>
      </c>
      <c r="I118" s="126">
        <f t="shared" si="5"/>
        <v>5390</v>
      </c>
      <c r="J118" s="126">
        <f t="shared" si="6"/>
        <v>5.39</v>
      </c>
      <c r="K118" s="126">
        <f t="shared" si="7"/>
        <v>10780000</v>
      </c>
      <c r="L118" s="131">
        <f t="shared" si="8"/>
        <v>10.78</v>
      </c>
      <c r="M118" s="126">
        <f t="shared" si="9"/>
        <v>864</v>
      </c>
      <c r="N118" s="131">
        <f t="shared" si="10"/>
        <v>3.1103999999999998</v>
      </c>
      <c r="O118" s="131">
        <f t="shared" si="11"/>
        <v>14.08908913024842</v>
      </c>
      <c r="P118" s="8">
        <f t="shared" si="12"/>
        <v>94300.999999999985</v>
      </c>
      <c r="Q118" s="8">
        <f>IF(Parameters!$G$29="y",IF(INT($P118/Parameters!$K$29)&gt;INT($P117/Parameters!$K$29),1,0),0)</f>
        <v>0</v>
      </c>
      <c r="R118" s="8">
        <f>IF(Parameters!$G$30="y",IF(INT($P118/Parameters!$K$30)&gt;INT($P117/Parameters!$K$30),1,0),0)</f>
        <v>0</v>
      </c>
      <c r="S118" s="8">
        <f>IF(INT($P118/Parameters!$K$31)&gt;INT($P117/Parameters!$K$31),1,0)</f>
        <v>0</v>
      </c>
      <c r="T118" s="76">
        <f t="shared" si="0"/>
        <v>0</v>
      </c>
      <c r="U118" s="8">
        <f>C117/'Pump Data'!$L$21*1000/60</f>
        <v>1.1635483570697196</v>
      </c>
      <c r="V118" s="8"/>
      <c r="W118" s="8"/>
    </row>
    <row r="119" spans="1:23" ht="14.25" x14ac:dyDescent="0.45">
      <c r="A119" s="125">
        <v>41747</v>
      </c>
      <c r="B119" s="126">
        <v>1.9</v>
      </c>
      <c r="C119" s="127">
        <f t="shared" si="1"/>
        <v>0.20899999999999999</v>
      </c>
      <c r="D119" s="127">
        <f t="shared" si="2"/>
        <v>0.64100000000000001</v>
      </c>
      <c r="E119" s="127">
        <f t="shared" si="13"/>
        <v>45.153000000000098</v>
      </c>
      <c r="F119" s="130">
        <f>Parameters!$B$32*'Pump Data'!$L$21^2+Parameters!$B$33*'Pump Data'!$L$21+Parameters!$B$34</f>
        <v>115.93397007999999</v>
      </c>
      <c r="G119" s="130">
        <f t="shared" si="3"/>
        <v>38.521361986938437</v>
      </c>
      <c r="H119" s="131">
        <f t="shared" si="4"/>
        <v>3.8521361986938438E-2</v>
      </c>
      <c r="I119" s="126">
        <f t="shared" si="5"/>
        <v>1045</v>
      </c>
      <c r="J119" s="126">
        <f t="shared" si="6"/>
        <v>1.0449999999999999</v>
      </c>
      <c r="K119" s="126">
        <f t="shared" si="7"/>
        <v>2089999.9999999998</v>
      </c>
      <c r="L119" s="131">
        <f t="shared" si="8"/>
        <v>2.09</v>
      </c>
      <c r="M119" s="126">
        <f t="shared" si="9"/>
        <v>864</v>
      </c>
      <c r="N119" s="131">
        <f t="shared" si="10"/>
        <v>3.1103999999999998</v>
      </c>
      <c r="O119" s="131">
        <f t="shared" si="11"/>
        <v>5.2389213619869377</v>
      </c>
      <c r="P119" s="8">
        <f t="shared" si="12"/>
        <v>94509.999999999985</v>
      </c>
      <c r="Q119" s="8">
        <f>IF(Parameters!$G$29="y",IF(INT($P119/Parameters!$K$29)&gt;INT($P118/Parameters!$K$29),1,0),0)</f>
        <v>0</v>
      </c>
      <c r="R119" s="8">
        <f>IF(Parameters!$G$30="y",IF(INT($P119/Parameters!$K$30)&gt;INT($P118/Parameters!$K$30),1,0),0)</f>
        <v>0</v>
      </c>
      <c r="S119" s="8">
        <f>IF(INT($P119/Parameters!$K$31)&gt;INT($P118/Parameters!$K$31),1,0)</f>
        <v>0</v>
      </c>
      <c r="T119" s="76">
        <f t="shared" si="0"/>
        <v>0</v>
      </c>
      <c r="U119" s="8">
        <f>C118/'Pump Data'!$L$21*1000/60</f>
        <v>0.50172205156846317</v>
      </c>
      <c r="V119" s="8"/>
      <c r="W119" s="8"/>
    </row>
    <row r="120" spans="1:23" ht="14.25" x14ac:dyDescent="0.45">
      <c r="A120" s="125">
        <v>41748</v>
      </c>
      <c r="B120" s="126">
        <v>21</v>
      </c>
      <c r="C120" s="127">
        <f t="shared" si="1"/>
        <v>2.31</v>
      </c>
      <c r="D120" s="127">
        <f t="shared" si="2"/>
        <v>0.64100000000000001</v>
      </c>
      <c r="E120" s="127">
        <f t="shared" si="13"/>
        <v>46.822000000000102</v>
      </c>
      <c r="F120" s="130">
        <f>Parameters!$B$32*'Pump Data'!$L$21^2+Parameters!$B$33*'Pump Data'!$L$21+Parameters!$B$34</f>
        <v>115.93397007999999</v>
      </c>
      <c r="G120" s="130">
        <f t="shared" si="3"/>
        <v>425.76242196089862</v>
      </c>
      <c r="H120" s="131">
        <f t="shared" si="4"/>
        <v>0.42576242196089864</v>
      </c>
      <c r="I120" s="126">
        <f t="shared" si="5"/>
        <v>11550</v>
      </c>
      <c r="J120" s="126">
        <f t="shared" si="6"/>
        <v>11.55</v>
      </c>
      <c r="K120" s="126">
        <f t="shared" si="7"/>
        <v>23100000</v>
      </c>
      <c r="L120" s="131">
        <f t="shared" si="8"/>
        <v>23.1</v>
      </c>
      <c r="M120" s="126">
        <f t="shared" si="9"/>
        <v>864</v>
      </c>
      <c r="N120" s="131">
        <f t="shared" si="10"/>
        <v>3.1103999999999998</v>
      </c>
      <c r="O120" s="131">
        <f t="shared" si="11"/>
        <v>26.636162421960897</v>
      </c>
      <c r="P120" s="8">
        <f t="shared" si="12"/>
        <v>96820</v>
      </c>
      <c r="Q120" s="8">
        <f>IF(Parameters!$G$29="y",IF(INT($P120/Parameters!$K$29)&gt;INT($P119/Parameters!$K$29),1,0),0)</f>
        <v>0</v>
      </c>
      <c r="R120" s="8">
        <f>IF(Parameters!$G$30="y",IF(INT($P120/Parameters!$K$30)&gt;INT($P119/Parameters!$K$30),1,0),0)</f>
        <v>0</v>
      </c>
      <c r="S120" s="8">
        <f>IF(INT($P120/Parameters!$K$31)&gt;INT($P119/Parameters!$K$31),1,0)</f>
        <v>0</v>
      </c>
      <c r="T120" s="76">
        <f t="shared" si="0"/>
        <v>0</v>
      </c>
      <c r="U120" s="8">
        <f>C119/'Pump Data'!$L$21*1000/60</f>
        <v>9.7272642651028571E-2</v>
      </c>
      <c r="V120" s="8"/>
      <c r="W120" s="8"/>
    </row>
    <row r="121" spans="1:23" ht="14.25" x14ac:dyDescent="0.45">
      <c r="A121" s="125">
        <v>41749</v>
      </c>
      <c r="B121" s="126">
        <v>30</v>
      </c>
      <c r="C121" s="127">
        <f t="shared" si="1"/>
        <v>2.5</v>
      </c>
      <c r="D121" s="127">
        <f t="shared" si="2"/>
        <v>0.64100000000000001</v>
      </c>
      <c r="E121" s="127">
        <f t="shared" si="13"/>
        <v>48.681000000000104</v>
      </c>
      <c r="F121" s="130">
        <f>Parameters!$B$32*'Pump Data'!$L$21^2+Parameters!$B$33*'Pump Data'!$L$21+Parameters!$B$34</f>
        <v>115.93397007999999</v>
      </c>
      <c r="G121" s="130">
        <f t="shared" si="3"/>
        <v>460.7818419490244</v>
      </c>
      <c r="H121" s="131">
        <f t="shared" si="4"/>
        <v>0.46078184194902438</v>
      </c>
      <c r="I121" s="126">
        <f t="shared" si="5"/>
        <v>12500</v>
      </c>
      <c r="J121" s="126">
        <f t="shared" si="6"/>
        <v>12.5</v>
      </c>
      <c r="K121" s="126">
        <f t="shared" si="7"/>
        <v>25000000</v>
      </c>
      <c r="L121" s="131">
        <f t="shared" si="8"/>
        <v>25</v>
      </c>
      <c r="M121" s="126">
        <f t="shared" si="9"/>
        <v>864</v>
      </c>
      <c r="N121" s="131">
        <f t="shared" si="10"/>
        <v>3.1103999999999998</v>
      </c>
      <c r="O121" s="131">
        <f t="shared" si="11"/>
        <v>28.571181841949024</v>
      </c>
      <c r="P121" s="8">
        <f t="shared" si="12"/>
        <v>99320</v>
      </c>
      <c r="Q121" s="8">
        <f>IF(Parameters!$G$29="y",IF(INT($P121/Parameters!$K$29)&gt;INT($P120/Parameters!$K$29),1,0),0)</f>
        <v>0</v>
      </c>
      <c r="R121" s="8">
        <f>IF(Parameters!$G$30="y",IF(INT($P121/Parameters!$K$30)&gt;INT($P120/Parameters!$K$30),1,0),0)</f>
        <v>0</v>
      </c>
      <c r="S121" s="8">
        <f>IF(INT($P121/Parameters!$K$31)&gt;INT($P120/Parameters!$K$31),1,0)</f>
        <v>0</v>
      </c>
      <c r="T121" s="76">
        <f t="shared" si="0"/>
        <v>0</v>
      </c>
      <c r="U121" s="8">
        <f>C120/'Pump Data'!$L$21*1000/60</f>
        <v>1.075118681932421</v>
      </c>
      <c r="V121" s="8"/>
      <c r="W121" s="8"/>
    </row>
    <row r="122" spans="1:23" ht="14.25" x14ac:dyDescent="0.45">
      <c r="A122" s="125">
        <v>41750</v>
      </c>
      <c r="B122" s="126">
        <v>0</v>
      </c>
      <c r="C122" s="127">
        <f t="shared" si="1"/>
        <v>0</v>
      </c>
      <c r="D122" s="127">
        <f t="shared" si="2"/>
        <v>0.64100000000000001</v>
      </c>
      <c r="E122" s="127">
        <f t="shared" si="13"/>
        <v>48.040000000000106</v>
      </c>
      <c r="F122" s="130">
        <f>Parameters!$B$32*'Pump Data'!$L$21^2+Parameters!$B$33*'Pump Data'!$L$21+Parameters!$B$34</f>
        <v>115.93397007999999</v>
      </c>
      <c r="G122" s="130">
        <f t="shared" si="3"/>
        <v>0</v>
      </c>
      <c r="H122" s="131">
        <f t="shared" si="4"/>
        <v>0</v>
      </c>
      <c r="I122" s="126">
        <f t="shared" si="5"/>
        <v>0</v>
      </c>
      <c r="J122" s="126">
        <f t="shared" si="6"/>
        <v>0</v>
      </c>
      <c r="K122" s="126">
        <f t="shared" si="7"/>
        <v>0</v>
      </c>
      <c r="L122" s="131">
        <f t="shared" si="8"/>
        <v>0</v>
      </c>
      <c r="M122" s="126">
        <f t="shared" si="9"/>
        <v>864</v>
      </c>
      <c r="N122" s="131">
        <f t="shared" si="10"/>
        <v>3.1103999999999998</v>
      </c>
      <c r="O122" s="131">
        <f t="shared" si="11"/>
        <v>3.1103999999999998</v>
      </c>
      <c r="P122" s="8">
        <f t="shared" si="12"/>
        <v>99320</v>
      </c>
      <c r="Q122" s="8">
        <f>IF(Parameters!$G$29="y",IF(INT($P122/Parameters!$K$29)&gt;INT($P121/Parameters!$K$29),1,0),0)</f>
        <v>0</v>
      </c>
      <c r="R122" s="8">
        <f>IF(Parameters!$G$30="y",IF(INT($P122/Parameters!$K$30)&gt;INT($P121/Parameters!$K$30),1,0),0)</f>
        <v>0</v>
      </c>
      <c r="S122" s="8">
        <f>IF(INT($P122/Parameters!$K$31)&gt;INT($P121/Parameters!$K$31),1,0)</f>
        <v>0</v>
      </c>
      <c r="T122" s="76">
        <f t="shared" si="0"/>
        <v>0</v>
      </c>
      <c r="U122" s="8">
        <f>C121/'Pump Data'!$L$21*1000/60</f>
        <v>1.1635483570697196</v>
      </c>
      <c r="V122" s="8"/>
      <c r="W122" s="8"/>
    </row>
    <row r="123" spans="1:23" ht="14.25" x14ac:dyDescent="0.45">
      <c r="A123" s="125">
        <v>41751</v>
      </c>
      <c r="B123" s="126">
        <v>4.4000000000000004</v>
      </c>
      <c r="C123" s="127">
        <f t="shared" si="1"/>
        <v>0.48400000000000004</v>
      </c>
      <c r="D123" s="127">
        <f t="shared" si="2"/>
        <v>0.64100000000000001</v>
      </c>
      <c r="E123" s="127">
        <f t="shared" si="13"/>
        <v>47.883000000000109</v>
      </c>
      <c r="F123" s="130">
        <f>Parameters!$B$32*'Pump Data'!$L$21^2+Parameters!$B$33*'Pump Data'!$L$21+Parameters!$B$34</f>
        <v>115.93397007999999</v>
      </c>
      <c r="G123" s="130">
        <f t="shared" si="3"/>
        <v>89.207364601331136</v>
      </c>
      <c r="H123" s="131">
        <f t="shared" si="4"/>
        <v>8.9207364601331135E-2</v>
      </c>
      <c r="I123" s="126">
        <f t="shared" si="5"/>
        <v>2420.0000000000005</v>
      </c>
      <c r="J123" s="126">
        <f t="shared" si="6"/>
        <v>2.4200000000000004</v>
      </c>
      <c r="K123" s="126">
        <f t="shared" si="7"/>
        <v>4840000.0000000009</v>
      </c>
      <c r="L123" s="131">
        <f t="shared" si="8"/>
        <v>4.8400000000000007</v>
      </c>
      <c r="M123" s="126">
        <f t="shared" si="9"/>
        <v>864</v>
      </c>
      <c r="N123" s="131">
        <f t="shared" si="10"/>
        <v>3.1103999999999998</v>
      </c>
      <c r="O123" s="131">
        <f t="shared" si="11"/>
        <v>8.0396073646013324</v>
      </c>
      <c r="P123" s="8">
        <f t="shared" si="12"/>
        <v>99803.999999999985</v>
      </c>
      <c r="Q123" s="8">
        <f>IF(Parameters!$G$29="y",IF(INT($P123/Parameters!$K$29)&gt;INT($P122/Parameters!$K$29),1,0),0)</f>
        <v>0</v>
      </c>
      <c r="R123" s="8">
        <f>IF(Parameters!$G$30="y",IF(INT($P123/Parameters!$K$30)&gt;INT($P122/Parameters!$K$30),1,0),0)</f>
        <v>0</v>
      </c>
      <c r="S123" s="8">
        <f>IF(INT($P123/Parameters!$K$31)&gt;INT($P122/Parameters!$K$31),1,0)</f>
        <v>0</v>
      </c>
      <c r="T123" s="76">
        <f t="shared" si="0"/>
        <v>0</v>
      </c>
      <c r="U123" s="8">
        <f>C122/'Pump Data'!$L$21*1000/60</f>
        <v>0</v>
      </c>
      <c r="V123" s="8"/>
      <c r="W123" s="8"/>
    </row>
    <row r="124" spans="1:23" ht="14.25" x14ac:dyDescent="0.45">
      <c r="A124" s="125">
        <v>41752</v>
      </c>
      <c r="B124" s="126">
        <v>12.8</v>
      </c>
      <c r="C124" s="127">
        <f t="shared" si="1"/>
        <v>1.4080000000000001</v>
      </c>
      <c r="D124" s="127">
        <f t="shared" si="2"/>
        <v>0.64100000000000001</v>
      </c>
      <c r="E124" s="127">
        <f t="shared" si="13"/>
        <v>48.650000000000112</v>
      </c>
      <c r="F124" s="130">
        <f>Parameters!$B$32*'Pump Data'!$L$21^2+Parameters!$B$33*'Pump Data'!$L$21+Parameters!$B$34</f>
        <v>115.93397007999999</v>
      </c>
      <c r="G124" s="130">
        <f t="shared" si="3"/>
        <v>259.51233338569057</v>
      </c>
      <c r="H124" s="131">
        <f t="shared" si="4"/>
        <v>0.25951233338569057</v>
      </c>
      <c r="I124" s="126">
        <f t="shared" si="5"/>
        <v>7040.0000000000018</v>
      </c>
      <c r="J124" s="126">
        <f t="shared" si="6"/>
        <v>7.0400000000000018</v>
      </c>
      <c r="K124" s="126">
        <f t="shared" si="7"/>
        <v>14080000.000000004</v>
      </c>
      <c r="L124" s="131">
        <f t="shared" si="8"/>
        <v>14.080000000000004</v>
      </c>
      <c r="M124" s="126">
        <f t="shared" si="9"/>
        <v>864</v>
      </c>
      <c r="N124" s="131">
        <f t="shared" si="10"/>
        <v>3.1103999999999998</v>
      </c>
      <c r="O124" s="131">
        <f t="shared" si="11"/>
        <v>17.449912333385694</v>
      </c>
      <c r="P124" s="8">
        <f t="shared" si="12"/>
        <v>101211.99999999999</v>
      </c>
      <c r="Q124" s="8">
        <f>IF(Parameters!$G$29="y",IF(INT($P124/Parameters!$K$29)&gt;INT($P123/Parameters!$K$29),1,0),0)</f>
        <v>1</v>
      </c>
      <c r="R124" s="8">
        <f>IF(Parameters!$G$30="y",IF(INT($P124/Parameters!$K$30)&gt;INT($P123/Parameters!$K$30),1,0),0)</f>
        <v>1</v>
      </c>
      <c r="S124" s="8">
        <f>IF(INT($P124/Parameters!$K$31)&gt;INT($P123/Parameters!$K$31),1,0)</f>
        <v>1</v>
      </c>
      <c r="T124" s="76">
        <f t="shared" si="0"/>
        <v>1</v>
      </c>
      <c r="U124" s="8">
        <f>C123/'Pump Data'!$L$21*1000/60</f>
        <v>0.22526296192869777</v>
      </c>
      <c r="V124" s="8"/>
      <c r="W124" s="8"/>
    </row>
    <row r="125" spans="1:23" ht="14.25" x14ac:dyDescent="0.45">
      <c r="A125" s="125">
        <v>41753</v>
      </c>
      <c r="B125" s="126">
        <v>26</v>
      </c>
      <c r="C125" s="127">
        <f t="shared" si="1"/>
        <v>2.5</v>
      </c>
      <c r="D125" s="127">
        <f t="shared" si="2"/>
        <v>0.64100000000000001</v>
      </c>
      <c r="E125" s="127">
        <f t="shared" si="13"/>
        <v>50</v>
      </c>
      <c r="F125" s="130">
        <f>Parameters!$B$32*'Pump Data'!$L$21^2+Parameters!$B$33*'Pump Data'!$L$21+Parameters!$B$34</f>
        <v>115.93397007999999</v>
      </c>
      <c r="G125" s="130">
        <f t="shared" si="3"/>
        <v>460.7818419490244</v>
      </c>
      <c r="H125" s="131">
        <f t="shared" si="4"/>
        <v>0.46078184194902438</v>
      </c>
      <c r="I125" s="126">
        <f t="shared" si="5"/>
        <v>12500</v>
      </c>
      <c r="J125" s="126">
        <f t="shared" si="6"/>
        <v>12.5</v>
      </c>
      <c r="K125" s="126">
        <f t="shared" si="7"/>
        <v>25000000</v>
      </c>
      <c r="L125" s="131">
        <f t="shared" si="8"/>
        <v>25</v>
      </c>
      <c r="M125" s="126">
        <f t="shared" si="9"/>
        <v>864</v>
      </c>
      <c r="N125" s="131">
        <f t="shared" si="10"/>
        <v>3.1103999999999998</v>
      </c>
      <c r="O125" s="131">
        <f t="shared" si="11"/>
        <v>28.571181841949024</v>
      </c>
      <c r="P125" s="8">
        <f t="shared" si="12"/>
        <v>103711.99999999999</v>
      </c>
      <c r="Q125" s="8">
        <f>IF(Parameters!$G$29="y",IF(INT($P125/Parameters!$K$29)&gt;INT($P124/Parameters!$K$29),1,0),0)</f>
        <v>0</v>
      </c>
      <c r="R125" s="8">
        <f>IF(Parameters!$G$30="y",IF(INT($P125/Parameters!$K$30)&gt;INT($P124/Parameters!$K$30),1,0),0)</f>
        <v>0</v>
      </c>
      <c r="S125" s="8">
        <f>IF(INT($P125/Parameters!$K$31)&gt;INT($P124/Parameters!$K$31),1,0)</f>
        <v>0</v>
      </c>
      <c r="T125" s="76">
        <f t="shared" si="0"/>
        <v>0</v>
      </c>
      <c r="U125" s="8">
        <f>C124/'Pump Data'!$L$21*1000/60</f>
        <v>0.65531043470166628</v>
      </c>
      <c r="V125" s="8"/>
      <c r="W125" s="8"/>
    </row>
    <row r="126" spans="1:23" ht="14.25" x14ac:dyDescent="0.45">
      <c r="A126" s="125">
        <v>41754</v>
      </c>
      <c r="B126" s="126">
        <v>1.8</v>
      </c>
      <c r="C126" s="127">
        <f t="shared" si="1"/>
        <v>0.19799999999999998</v>
      </c>
      <c r="D126" s="127">
        <f t="shared" si="2"/>
        <v>0.64100000000000001</v>
      </c>
      <c r="E126" s="127">
        <f t="shared" si="13"/>
        <v>49.557000000000002</v>
      </c>
      <c r="F126" s="130">
        <f>Parameters!$B$32*'Pump Data'!$L$21^2+Parameters!$B$33*'Pump Data'!$L$21+Parameters!$B$34</f>
        <v>115.93397007999999</v>
      </c>
      <c r="G126" s="130">
        <f t="shared" si="3"/>
        <v>36.493921882362727</v>
      </c>
      <c r="H126" s="131">
        <f t="shared" si="4"/>
        <v>3.649392188236273E-2</v>
      </c>
      <c r="I126" s="126">
        <f t="shared" si="5"/>
        <v>989.99999999999977</v>
      </c>
      <c r="J126" s="126">
        <f t="shared" si="6"/>
        <v>0.98999999999999977</v>
      </c>
      <c r="K126" s="126">
        <f t="shared" si="7"/>
        <v>1979999.9999999995</v>
      </c>
      <c r="L126" s="131">
        <f t="shared" si="8"/>
        <v>1.9799999999999995</v>
      </c>
      <c r="M126" s="126">
        <f t="shared" si="9"/>
        <v>864</v>
      </c>
      <c r="N126" s="131">
        <f t="shared" si="10"/>
        <v>3.1103999999999998</v>
      </c>
      <c r="O126" s="131">
        <f t="shared" si="11"/>
        <v>5.1268939218823615</v>
      </c>
      <c r="P126" s="8">
        <f t="shared" si="12"/>
        <v>103909.99999999999</v>
      </c>
      <c r="Q126" s="8">
        <f>IF(Parameters!$G$29="y",IF(INT($P126/Parameters!$K$29)&gt;INT($P125/Parameters!$K$29),1,0),0)</f>
        <v>0</v>
      </c>
      <c r="R126" s="8">
        <f>IF(Parameters!$G$30="y",IF(INT($P126/Parameters!$K$30)&gt;INT($P125/Parameters!$K$30),1,0),0)</f>
        <v>0</v>
      </c>
      <c r="S126" s="8">
        <f>IF(INT($P126/Parameters!$K$31)&gt;INT($P125/Parameters!$K$31),1,0)</f>
        <v>0</v>
      </c>
      <c r="T126" s="76">
        <f t="shared" si="0"/>
        <v>0</v>
      </c>
      <c r="U126" s="8">
        <f>C125/'Pump Data'!$L$21*1000/60</f>
        <v>1.1635483570697196</v>
      </c>
      <c r="V126" s="8"/>
      <c r="W126" s="8"/>
    </row>
    <row r="127" spans="1:23" ht="14.25" x14ac:dyDescent="0.45">
      <c r="A127" s="125">
        <v>41755</v>
      </c>
      <c r="B127" s="126">
        <v>35</v>
      </c>
      <c r="C127" s="127">
        <f t="shared" si="1"/>
        <v>2.5</v>
      </c>
      <c r="D127" s="127">
        <f t="shared" si="2"/>
        <v>0.64100000000000001</v>
      </c>
      <c r="E127" s="127">
        <f t="shared" si="13"/>
        <v>50</v>
      </c>
      <c r="F127" s="130">
        <f>Parameters!$B$32*'Pump Data'!$L$21^2+Parameters!$B$33*'Pump Data'!$L$21+Parameters!$B$34</f>
        <v>115.93397007999999</v>
      </c>
      <c r="G127" s="130">
        <f t="shared" si="3"/>
        <v>460.7818419490244</v>
      </c>
      <c r="H127" s="131">
        <f t="shared" si="4"/>
        <v>0.46078184194902438</v>
      </c>
      <c r="I127" s="126">
        <f t="shared" si="5"/>
        <v>12500</v>
      </c>
      <c r="J127" s="126">
        <f t="shared" si="6"/>
        <v>12.5</v>
      </c>
      <c r="K127" s="126">
        <f t="shared" si="7"/>
        <v>25000000</v>
      </c>
      <c r="L127" s="131">
        <f t="shared" si="8"/>
        <v>25</v>
      </c>
      <c r="M127" s="126">
        <f t="shared" si="9"/>
        <v>864</v>
      </c>
      <c r="N127" s="131">
        <f t="shared" si="10"/>
        <v>3.1103999999999998</v>
      </c>
      <c r="O127" s="131">
        <f t="shared" si="11"/>
        <v>28.571181841949024</v>
      </c>
      <c r="P127" s="8">
        <f t="shared" si="12"/>
        <v>106409.99999999999</v>
      </c>
      <c r="Q127" s="8">
        <f>IF(Parameters!$G$29="y",IF(INT($P127/Parameters!$K$29)&gt;INT($P126/Parameters!$K$29),1,0),0)</f>
        <v>0</v>
      </c>
      <c r="R127" s="8">
        <f>IF(Parameters!$G$30="y",IF(INT($P127/Parameters!$K$30)&gt;INT($P126/Parameters!$K$30),1,0),0)</f>
        <v>0</v>
      </c>
      <c r="S127" s="8">
        <f>IF(INT($P127/Parameters!$K$31)&gt;INT($P126/Parameters!$K$31),1,0)</f>
        <v>0</v>
      </c>
      <c r="T127" s="76">
        <f t="shared" si="0"/>
        <v>0</v>
      </c>
      <c r="U127" s="8">
        <f>C126/'Pump Data'!$L$21*1000/60</f>
        <v>9.21530298799218E-2</v>
      </c>
      <c r="V127" s="8"/>
      <c r="W127" s="8"/>
    </row>
    <row r="128" spans="1:23" ht="14.25" x14ac:dyDescent="0.45">
      <c r="A128" s="125">
        <v>41756</v>
      </c>
      <c r="B128" s="126">
        <v>7.2</v>
      </c>
      <c r="C128" s="127">
        <f t="shared" si="1"/>
        <v>0.79199999999999993</v>
      </c>
      <c r="D128" s="127">
        <f t="shared" si="2"/>
        <v>0.64100000000000001</v>
      </c>
      <c r="E128" s="127">
        <f t="shared" si="13"/>
        <v>50</v>
      </c>
      <c r="F128" s="130">
        <f>Parameters!$B$32*'Pump Data'!$L$21^2+Parameters!$B$33*'Pump Data'!$L$21+Parameters!$B$34</f>
        <v>115.93397007999999</v>
      </c>
      <c r="G128" s="130">
        <f t="shared" si="3"/>
        <v>145.97568752945091</v>
      </c>
      <c r="H128" s="131">
        <f t="shared" si="4"/>
        <v>0.14597568752945092</v>
      </c>
      <c r="I128" s="126">
        <f t="shared" si="5"/>
        <v>3959.9999999999991</v>
      </c>
      <c r="J128" s="126">
        <f t="shared" si="6"/>
        <v>3.9599999999999991</v>
      </c>
      <c r="K128" s="126">
        <f t="shared" si="7"/>
        <v>7919999.9999999981</v>
      </c>
      <c r="L128" s="131">
        <f t="shared" si="8"/>
        <v>7.9199999999999982</v>
      </c>
      <c r="M128" s="126">
        <f t="shared" si="9"/>
        <v>864</v>
      </c>
      <c r="N128" s="131">
        <f t="shared" si="10"/>
        <v>3.1103999999999998</v>
      </c>
      <c r="O128" s="131">
        <f t="shared" si="11"/>
        <v>11.176375687529449</v>
      </c>
      <c r="P128" s="8">
        <f t="shared" si="12"/>
        <v>107201.99999999999</v>
      </c>
      <c r="Q128" s="8">
        <f>IF(Parameters!$G$29="y",IF(INT($P128/Parameters!$K$29)&gt;INT($P127/Parameters!$K$29),1,0),0)</f>
        <v>0</v>
      </c>
      <c r="R128" s="8">
        <f>IF(Parameters!$G$30="y",IF(INT($P128/Parameters!$K$30)&gt;INT($P127/Parameters!$K$30),1,0),0)</f>
        <v>0</v>
      </c>
      <c r="S128" s="8">
        <f>IF(INT($P128/Parameters!$K$31)&gt;INT($P127/Parameters!$K$31),1,0)</f>
        <v>0</v>
      </c>
      <c r="T128" s="76">
        <f t="shared" si="0"/>
        <v>0</v>
      </c>
      <c r="U128" s="8">
        <f>C127/'Pump Data'!$L$21*1000/60</f>
        <v>1.1635483570697196</v>
      </c>
      <c r="V128" s="8"/>
      <c r="W128" s="8"/>
    </row>
    <row r="129" spans="1:23" ht="14.25" x14ac:dyDescent="0.45">
      <c r="A129" s="125">
        <v>41757</v>
      </c>
      <c r="B129" s="126">
        <v>0.8</v>
      </c>
      <c r="C129" s="127">
        <f t="shared" si="1"/>
        <v>8.8000000000000009E-2</v>
      </c>
      <c r="D129" s="127">
        <f t="shared" si="2"/>
        <v>0.64100000000000001</v>
      </c>
      <c r="E129" s="127">
        <f t="shared" si="13"/>
        <v>49.447000000000003</v>
      </c>
      <c r="F129" s="130">
        <f>Parameters!$B$32*'Pump Data'!$L$21^2+Parameters!$B$33*'Pump Data'!$L$21+Parameters!$B$34</f>
        <v>115.93397007999999</v>
      </c>
      <c r="G129" s="130">
        <f t="shared" si="3"/>
        <v>16.21952083660566</v>
      </c>
      <c r="H129" s="131">
        <f t="shared" si="4"/>
        <v>1.6219520836605661E-2</v>
      </c>
      <c r="I129" s="126">
        <f t="shared" si="5"/>
        <v>440.00000000000011</v>
      </c>
      <c r="J129" s="126">
        <f t="shared" si="6"/>
        <v>0.44000000000000011</v>
      </c>
      <c r="K129" s="126">
        <f t="shared" si="7"/>
        <v>880000.00000000023</v>
      </c>
      <c r="L129" s="131">
        <f t="shared" si="8"/>
        <v>0.88000000000000023</v>
      </c>
      <c r="M129" s="126">
        <f t="shared" si="9"/>
        <v>864</v>
      </c>
      <c r="N129" s="131">
        <f t="shared" si="10"/>
        <v>3.1103999999999998</v>
      </c>
      <c r="O129" s="131">
        <f t="shared" si="11"/>
        <v>4.0066195208366056</v>
      </c>
      <c r="P129" s="8">
        <f t="shared" si="12"/>
        <v>107289.99999999997</v>
      </c>
      <c r="Q129" s="8">
        <f>IF(Parameters!$G$29="y",IF(INT($P129/Parameters!$K$29)&gt;INT($P128/Parameters!$K$29),1,0),0)</f>
        <v>0</v>
      </c>
      <c r="R129" s="8">
        <f>IF(Parameters!$G$30="y",IF(INT($P129/Parameters!$K$30)&gt;INT($P128/Parameters!$K$30),1,0),0)</f>
        <v>0</v>
      </c>
      <c r="S129" s="8">
        <f>IF(INT($P129/Parameters!$K$31)&gt;INT($P128/Parameters!$K$31),1,0)</f>
        <v>0</v>
      </c>
      <c r="T129" s="76">
        <f t="shared" si="0"/>
        <v>0</v>
      </c>
      <c r="U129" s="8">
        <f>C128/'Pump Data'!$L$21*1000/60</f>
        <v>0.3686121195196872</v>
      </c>
      <c r="V129" s="8"/>
      <c r="W129" s="8"/>
    </row>
    <row r="130" spans="1:23" ht="14.25" x14ac:dyDescent="0.45">
      <c r="A130" s="125">
        <v>41758</v>
      </c>
      <c r="B130" s="126">
        <v>0.1</v>
      </c>
      <c r="C130" s="127">
        <f t="shared" si="1"/>
        <v>1.1000000000000001E-2</v>
      </c>
      <c r="D130" s="127">
        <f t="shared" si="2"/>
        <v>0.64100000000000001</v>
      </c>
      <c r="E130" s="127">
        <f t="shared" si="13"/>
        <v>48.817000000000007</v>
      </c>
      <c r="F130" s="130">
        <f>Parameters!$B$32*'Pump Data'!$L$21^2+Parameters!$B$33*'Pump Data'!$L$21+Parameters!$B$34</f>
        <v>115.93397007999999</v>
      </c>
      <c r="G130" s="130">
        <f t="shared" si="3"/>
        <v>2.0274401045757076</v>
      </c>
      <c r="H130" s="131">
        <f t="shared" si="4"/>
        <v>2.0274401045757076E-3</v>
      </c>
      <c r="I130" s="126">
        <f t="shared" si="5"/>
        <v>55.000000000000014</v>
      </c>
      <c r="J130" s="126">
        <f t="shared" si="6"/>
        <v>5.5000000000000014E-2</v>
      </c>
      <c r="K130" s="126">
        <f t="shared" si="7"/>
        <v>110000.00000000003</v>
      </c>
      <c r="L130" s="131">
        <f t="shared" si="8"/>
        <v>0.11000000000000003</v>
      </c>
      <c r="M130" s="126">
        <f t="shared" si="9"/>
        <v>864</v>
      </c>
      <c r="N130" s="131">
        <f t="shared" si="10"/>
        <v>3.1103999999999998</v>
      </c>
      <c r="O130" s="131">
        <f t="shared" si="11"/>
        <v>3.2224274401045756</v>
      </c>
      <c r="P130" s="8">
        <f t="shared" si="12"/>
        <v>107300.99999999997</v>
      </c>
      <c r="Q130" s="8">
        <f>IF(Parameters!$G$29="y",IF(INT($P130/Parameters!$K$29)&gt;INT($P129/Parameters!$K$29),1,0),0)</f>
        <v>0</v>
      </c>
      <c r="R130" s="8">
        <f>IF(Parameters!$G$30="y",IF(INT($P130/Parameters!$K$30)&gt;INT($P129/Parameters!$K$30),1,0),0)</f>
        <v>0</v>
      </c>
      <c r="S130" s="8">
        <f>IF(INT($P130/Parameters!$K$31)&gt;INT($P129/Parameters!$K$31),1,0)</f>
        <v>0</v>
      </c>
      <c r="T130" s="76">
        <f t="shared" si="0"/>
        <v>0</v>
      </c>
      <c r="U130" s="8">
        <f>C129/'Pump Data'!$L$21*1000/60</f>
        <v>4.0956902168854142E-2</v>
      </c>
      <c r="V130" s="8"/>
      <c r="W130" s="8"/>
    </row>
    <row r="131" spans="1:23" ht="14.25" x14ac:dyDescent="0.45">
      <c r="A131" s="125">
        <v>41759</v>
      </c>
      <c r="B131" s="126">
        <v>0</v>
      </c>
      <c r="C131" s="127">
        <f t="shared" si="1"/>
        <v>0</v>
      </c>
      <c r="D131" s="127">
        <f t="shared" si="2"/>
        <v>0.64100000000000001</v>
      </c>
      <c r="E131" s="127">
        <f t="shared" si="13"/>
        <v>48.176000000000009</v>
      </c>
      <c r="F131" s="130">
        <f>Parameters!$B$32*'Pump Data'!$L$21^2+Parameters!$B$33*'Pump Data'!$L$21+Parameters!$B$34</f>
        <v>115.93397007999999</v>
      </c>
      <c r="G131" s="130">
        <f t="shared" si="3"/>
        <v>0</v>
      </c>
      <c r="H131" s="131">
        <f t="shared" si="4"/>
        <v>0</v>
      </c>
      <c r="I131" s="126">
        <f t="shared" si="5"/>
        <v>0</v>
      </c>
      <c r="J131" s="126">
        <f t="shared" si="6"/>
        <v>0</v>
      </c>
      <c r="K131" s="126">
        <f t="shared" si="7"/>
        <v>0</v>
      </c>
      <c r="L131" s="131">
        <f t="shared" si="8"/>
        <v>0</v>
      </c>
      <c r="M131" s="126">
        <f t="shared" si="9"/>
        <v>864</v>
      </c>
      <c r="N131" s="131">
        <f t="shared" si="10"/>
        <v>3.1103999999999998</v>
      </c>
      <c r="O131" s="131">
        <f t="shared" si="11"/>
        <v>3.1103999999999998</v>
      </c>
      <c r="P131" s="8">
        <f t="shared" si="12"/>
        <v>107300.99999999997</v>
      </c>
      <c r="Q131" s="8">
        <f>IF(Parameters!$G$29="y",IF(INT($P131/Parameters!$K$29)&gt;INT($P130/Parameters!$K$29),1,0),0)</f>
        <v>0</v>
      </c>
      <c r="R131" s="8">
        <f>IF(Parameters!$G$30="y",IF(INT($P131/Parameters!$K$30)&gt;INT($P130/Parameters!$K$30),1,0),0)</f>
        <v>0</v>
      </c>
      <c r="S131" s="8">
        <f>IF(INT($P131/Parameters!$K$31)&gt;INT($P130/Parameters!$K$31),1,0)</f>
        <v>0</v>
      </c>
      <c r="T131" s="76">
        <f t="shared" si="0"/>
        <v>0</v>
      </c>
      <c r="U131" s="8">
        <f>C130/'Pump Data'!$L$21*1000/60</f>
        <v>5.1196127711067678E-3</v>
      </c>
      <c r="V131" s="8"/>
      <c r="W131" s="8"/>
    </row>
    <row r="132" spans="1:23" ht="14.25" x14ac:dyDescent="0.45">
      <c r="A132" s="125">
        <v>41760</v>
      </c>
      <c r="B132" s="126">
        <v>0</v>
      </c>
      <c r="C132" s="127">
        <f t="shared" si="1"/>
        <v>0</v>
      </c>
      <c r="D132" s="127">
        <f t="shared" si="2"/>
        <v>0.64100000000000001</v>
      </c>
      <c r="E132" s="127">
        <f t="shared" si="13"/>
        <v>47.535000000000011</v>
      </c>
      <c r="F132" s="130">
        <f>Parameters!$B$32*'Pump Data'!$L$21^2+Parameters!$B$33*'Pump Data'!$L$21+Parameters!$B$34</f>
        <v>115.93397007999999</v>
      </c>
      <c r="G132" s="130">
        <f t="shared" si="3"/>
        <v>0</v>
      </c>
      <c r="H132" s="131">
        <f t="shared" si="4"/>
        <v>0</v>
      </c>
      <c r="I132" s="126">
        <f t="shared" si="5"/>
        <v>0</v>
      </c>
      <c r="J132" s="126">
        <f t="shared" si="6"/>
        <v>0</v>
      </c>
      <c r="K132" s="126">
        <f t="shared" si="7"/>
        <v>0</v>
      </c>
      <c r="L132" s="131">
        <f t="shared" si="8"/>
        <v>0</v>
      </c>
      <c r="M132" s="126">
        <f t="shared" si="9"/>
        <v>864</v>
      </c>
      <c r="N132" s="131">
        <f t="shared" si="10"/>
        <v>3.1103999999999998</v>
      </c>
      <c r="O132" s="131">
        <f t="shared" si="11"/>
        <v>3.1103999999999998</v>
      </c>
      <c r="P132" s="8">
        <f t="shared" si="12"/>
        <v>107300.99999999997</v>
      </c>
      <c r="Q132" s="8">
        <f>IF(Parameters!$G$29="y",IF(INT($P132/Parameters!$K$29)&gt;INT($P131/Parameters!$K$29),1,0),0)</f>
        <v>0</v>
      </c>
      <c r="R132" s="8">
        <f>IF(Parameters!$G$30="y",IF(INT($P132/Parameters!$K$30)&gt;INT($P131/Parameters!$K$30),1,0),0)</f>
        <v>0</v>
      </c>
      <c r="S132" s="8">
        <f>IF(INT($P132/Parameters!$K$31)&gt;INT($P131/Parameters!$K$31),1,0)</f>
        <v>0</v>
      </c>
      <c r="T132" s="76">
        <f t="shared" si="0"/>
        <v>0</v>
      </c>
      <c r="U132" s="8">
        <f>C131/'Pump Data'!$L$21*1000/60</f>
        <v>0</v>
      </c>
      <c r="V132" s="8"/>
      <c r="W132" s="8"/>
    </row>
    <row r="133" spans="1:23" ht="14.25" x14ac:dyDescent="0.45">
      <c r="A133" s="125">
        <v>41761</v>
      </c>
      <c r="B133" s="126">
        <v>2</v>
      </c>
      <c r="C133" s="127">
        <f t="shared" si="1"/>
        <v>0.22</v>
      </c>
      <c r="D133" s="127">
        <f t="shared" si="2"/>
        <v>0.64100000000000001</v>
      </c>
      <c r="E133" s="127">
        <f t="shared" si="13"/>
        <v>47.114000000000011</v>
      </c>
      <c r="F133" s="130">
        <f>Parameters!$B$32*'Pump Data'!$L$21^2+Parameters!$B$33*'Pump Data'!$L$21+Parameters!$B$34</f>
        <v>115.93397007999999</v>
      </c>
      <c r="G133" s="130">
        <f t="shared" si="3"/>
        <v>40.548802091514148</v>
      </c>
      <c r="H133" s="131">
        <f t="shared" si="4"/>
        <v>4.0548802091514145E-2</v>
      </c>
      <c r="I133" s="126">
        <f t="shared" si="5"/>
        <v>1100</v>
      </c>
      <c r="J133" s="126">
        <f t="shared" si="6"/>
        <v>1.1000000000000001</v>
      </c>
      <c r="K133" s="126">
        <f t="shared" si="7"/>
        <v>2200000</v>
      </c>
      <c r="L133" s="131">
        <f t="shared" si="8"/>
        <v>2.2000000000000002</v>
      </c>
      <c r="M133" s="126">
        <f t="shared" si="9"/>
        <v>864</v>
      </c>
      <c r="N133" s="131">
        <f t="shared" si="10"/>
        <v>3.1103999999999998</v>
      </c>
      <c r="O133" s="131">
        <f t="shared" si="11"/>
        <v>5.3509488020915139</v>
      </c>
      <c r="P133" s="8">
        <f t="shared" si="12"/>
        <v>107520.99999999997</v>
      </c>
      <c r="Q133" s="8">
        <f>IF(Parameters!$G$29="y",IF(INT($P133/Parameters!$K$29)&gt;INT($P132/Parameters!$K$29),1,0),0)</f>
        <v>0</v>
      </c>
      <c r="R133" s="8">
        <f>IF(Parameters!$G$30="y",IF(INT($P133/Parameters!$K$30)&gt;INT($P132/Parameters!$K$30),1,0),0)</f>
        <v>0</v>
      </c>
      <c r="S133" s="8">
        <f>IF(INT($P133/Parameters!$K$31)&gt;INT($P132/Parameters!$K$31),1,0)</f>
        <v>0</v>
      </c>
      <c r="T133" s="76">
        <f t="shared" si="0"/>
        <v>0</v>
      </c>
      <c r="U133" s="8">
        <f>C132/'Pump Data'!$L$21*1000/60</f>
        <v>0</v>
      </c>
      <c r="V133" s="8"/>
      <c r="W133" s="8"/>
    </row>
    <row r="134" spans="1:23" ht="14.25" x14ac:dyDescent="0.45">
      <c r="A134" s="125">
        <v>41762</v>
      </c>
      <c r="B134" s="126">
        <v>4.5999999999999996</v>
      </c>
      <c r="C134" s="127">
        <f t="shared" si="1"/>
        <v>0.50600000000000001</v>
      </c>
      <c r="D134" s="127">
        <f t="shared" si="2"/>
        <v>0.64100000000000001</v>
      </c>
      <c r="E134" s="127">
        <f t="shared" si="13"/>
        <v>46.979000000000013</v>
      </c>
      <c r="F134" s="130">
        <f>Parameters!$B$32*'Pump Data'!$L$21^2+Parameters!$B$33*'Pump Data'!$L$21+Parameters!$B$34</f>
        <v>115.93397007999999</v>
      </c>
      <c r="G134" s="130">
        <f t="shared" si="3"/>
        <v>93.262244810482542</v>
      </c>
      <c r="H134" s="131">
        <f t="shared" si="4"/>
        <v>9.3262244810482536E-2</v>
      </c>
      <c r="I134" s="126">
        <f t="shared" si="5"/>
        <v>2530</v>
      </c>
      <c r="J134" s="126">
        <f t="shared" si="6"/>
        <v>2.5299999999999998</v>
      </c>
      <c r="K134" s="126">
        <f t="shared" si="7"/>
        <v>5060000</v>
      </c>
      <c r="L134" s="131">
        <f t="shared" si="8"/>
        <v>5.0599999999999996</v>
      </c>
      <c r="M134" s="126">
        <f t="shared" si="9"/>
        <v>864</v>
      </c>
      <c r="N134" s="131">
        <f t="shared" si="10"/>
        <v>3.1103999999999998</v>
      </c>
      <c r="O134" s="131">
        <f t="shared" si="11"/>
        <v>8.2636622448104813</v>
      </c>
      <c r="P134" s="8">
        <f t="shared" si="12"/>
        <v>108026.99999999997</v>
      </c>
      <c r="Q134" s="8">
        <f>IF(Parameters!$G$29="y",IF(INT($P134/Parameters!$K$29)&gt;INT($P133/Parameters!$K$29),1,0),0)</f>
        <v>0</v>
      </c>
      <c r="R134" s="8">
        <f>IF(Parameters!$G$30="y",IF(INT($P134/Parameters!$K$30)&gt;INT($P133/Parameters!$K$30),1,0),0)</f>
        <v>0</v>
      </c>
      <c r="S134" s="8">
        <f>IF(INT($P134/Parameters!$K$31)&gt;INT($P133/Parameters!$K$31),1,0)</f>
        <v>0</v>
      </c>
      <c r="T134" s="76">
        <f t="shared" si="0"/>
        <v>0</v>
      </c>
      <c r="U134" s="8">
        <f>C133/'Pump Data'!$L$21*1000/60</f>
        <v>0.10239225542213534</v>
      </c>
      <c r="V134" s="8"/>
      <c r="W134" s="8"/>
    </row>
    <row r="135" spans="1:23" ht="14.25" x14ac:dyDescent="0.45">
      <c r="A135" s="125">
        <v>41763</v>
      </c>
      <c r="B135" s="126">
        <v>3.8</v>
      </c>
      <c r="C135" s="127">
        <f t="shared" si="1"/>
        <v>0.41799999999999998</v>
      </c>
      <c r="D135" s="127">
        <f t="shared" si="2"/>
        <v>0.64100000000000001</v>
      </c>
      <c r="E135" s="127">
        <f t="shared" si="13"/>
        <v>46.756000000000014</v>
      </c>
      <c r="F135" s="130">
        <f>Parameters!$B$32*'Pump Data'!$L$21^2+Parameters!$B$33*'Pump Data'!$L$21+Parameters!$B$34</f>
        <v>115.93397007999999</v>
      </c>
      <c r="G135" s="130">
        <f t="shared" si="3"/>
        <v>77.042723973876875</v>
      </c>
      <c r="H135" s="131">
        <f t="shared" si="4"/>
        <v>7.7042723973876875E-2</v>
      </c>
      <c r="I135" s="126">
        <f t="shared" si="5"/>
        <v>2090</v>
      </c>
      <c r="J135" s="126">
        <f t="shared" si="6"/>
        <v>2.09</v>
      </c>
      <c r="K135" s="126">
        <f t="shared" si="7"/>
        <v>4179999.9999999995</v>
      </c>
      <c r="L135" s="131">
        <f t="shared" si="8"/>
        <v>4.18</v>
      </c>
      <c r="M135" s="126">
        <f t="shared" si="9"/>
        <v>864</v>
      </c>
      <c r="N135" s="131">
        <f t="shared" si="10"/>
        <v>3.1103999999999998</v>
      </c>
      <c r="O135" s="131">
        <f t="shared" si="11"/>
        <v>7.3674427239738769</v>
      </c>
      <c r="P135" s="8">
        <f t="shared" si="12"/>
        <v>108444.99999999999</v>
      </c>
      <c r="Q135" s="8">
        <f>IF(Parameters!$G$29="y",IF(INT($P135/Parameters!$K$29)&gt;INT($P134/Parameters!$K$29),1,0),0)</f>
        <v>0</v>
      </c>
      <c r="R135" s="8">
        <f>IF(Parameters!$G$30="y",IF(INT($P135/Parameters!$K$30)&gt;INT($P134/Parameters!$K$30),1,0),0)</f>
        <v>0</v>
      </c>
      <c r="S135" s="8">
        <f>IF(INT($P135/Parameters!$K$31)&gt;INT($P134/Parameters!$K$31),1,0)</f>
        <v>0</v>
      </c>
      <c r="T135" s="76">
        <f t="shared" si="0"/>
        <v>0</v>
      </c>
      <c r="U135" s="8">
        <f>C134/'Pump Data'!$L$21*1000/60</f>
        <v>0.23550218747091126</v>
      </c>
      <c r="V135" s="8"/>
      <c r="W135" s="8"/>
    </row>
    <row r="136" spans="1:23" ht="14.25" x14ac:dyDescent="0.45">
      <c r="A136" s="125">
        <v>41764</v>
      </c>
      <c r="B136" s="126">
        <v>0</v>
      </c>
      <c r="C136" s="127">
        <f t="shared" si="1"/>
        <v>0</v>
      </c>
      <c r="D136" s="127">
        <f t="shared" si="2"/>
        <v>0.64100000000000001</v>
      </c>
      <c r="E136" s="127">
        <f t="shared" si="13"/>
        <v>46.115000000000016</v>
      </c>
      <c r="F136" s="130">
        <f>Parameters!$B$32*'Pump Data'!$L$21^2+Parameters!$B$33*'Pump Data'!$L$21+Parameters!$B$34</f>
        <v>115.93397007999999</v>
      </c>
      <c r="G136" s="130">
        <f t="shared" si="3"/>
        <v>0</v>
      </c>
      <c r="H136" s="131">
        <f t="shared" si="4"/>
        <v>0</v>
      </c>
      <c r="I136" s="126">
        <f t="shared" si="5"/>
        <v>0</v>
      </c>
      <c r="J136" s="126">
        <f t="shared" si="6"/>
        <v>0</v>
      </c>
      <c r="K136" s="126">
        <f t="shared" si="7"/>
        <v>0</v>
      </c>
      <c r="L136" s="131">
        <f t="shared" si="8"/>
        <v>0</v>
      </c>
      <c r="M136" s="126">
        <f t="shared" si="9"/>
        <v>864</v>
      </c>
      <c r="N136" s="131">
        <f t="shared" si="10"/>
        <v>3.1103999999999998</v>
      </c>
      <c r="O136" s="131">
        <f t="shared" si="11"/>
        <v>3.1103999999999998</v>
      </c>
      <c r="P136" s="8">
        <f t="shared" si="12"/>
        <v>108444.99999999999</v>
      </c>
      <c r="Q136" s="8">
        <f>IF(Parameters!$G$29="y",IF(INT($P136/Parameters!$K$29)&gt;INT($P135/Parameters!$K$29),1,0),0)</f>
        <v>0</v>
      </c>
      <c r="R136" s="8">
        <f>IF(Parameters!$G$30="y",IF(INT($P136/Parameters!$K$30)&gt;INT($P135/Parameters!$K$30),1,0),0)</f>
        <v>0</v>
      </c>
      <c r="S136" s="8">
        <f>IF(INT($P136/Parameters!$K$31)&gt;INT($P135/Parameters!$K$31),1,0)</f>
        <v>0</v>
      </c>
      <c r="T136" s="76">
        <f t="shared" si="0"/>
        <v>0</v>
      </c>
      <c r="U136" s="8">
        <f>C135/'Pump Data'!$L$21*1000/60</f>
        <v>0.19454528530205714</v>
      </c>
      <c r="V136" s="8"/>
      <c r="W136" s="8"/>
    </row>
    <row r="137" spans="1:23" ht="14.25" x14ac:dyDescent="0.45">
      <c r="A137" s="125">
        <v>41765</v>
      </c>
      <c r="B137" s="126">
        <v>0</v>
      </c>
      <c r="C137" s="127">
        <f t="shared" si="1"/>
        <v>0</v>
      </c>
      <c r="D137" s="127">
        <f t="shared" si="2"/>
        <v>0.64100000000000001</v>
      </c>
      <c r="E137" s="127">
        <f t="shared" si="13"/>
        <v>45.474000000000018</v>
      </c>
      <c r="F137" s="130">
        <f>Parameters!$B$32*'Pump Data'!$L$21^2+Parameters!$B$33*'Pump Data'!$L$21+Parameters!$B$34</f>
        <v>115.93397007999999</v>
      </c>
      <c r="G137" s="130">
        <f t="shared" si="3"/>
        <v>0</v>
      </c>
      <c r="H137" s="131">
        <f t="shared" si="4"/>
        <v>0</v>
      </c>
      <c r="I137" s="126">
        <f t="shared" si="5"/>
        <v>0</v>
      </c>
      <c r="J137" s="126">
        <f t="shared" si="6"/>
        <v>0</v>
      </c>
      <c r="K137" s="126">
        <f t="shared" si="7"/>
        <v>0</v>
      </c>
      <c r="L137" s="131">
        <f t="shared" si="8"/>
        <v>0</v>
      </c>
      <c r="M137" s="126">
        <f t="shared" si="9"/>
        <v>864</v>
      </c>
      <c r="N137" s="131">
        <f t="shared" si="10"/>
        <v>3.1103999999999998</v>
      </c>
      <c r="O137" s="131">
        <f t="shared" si="11"/>
        <v>3.1103999999999998</v>
      </c>
      <c r="P137" s="8">
        <f t="shared" si="12"/>
        <v>108444.99999999999</v>
      </c>
      <c r="Q137" s="8">
        <f>IF(Parameters!$G$29="y",IF(INT($P137/Parameters!$K$29)&gt;INT($P136/Parameters!$K$29),1,0),0)</f>
        <v>0</v>
      </c>
      <c r="R137" s="8">
        <f>IF(Parameters!$G$30="y",IF(INT($P137/Parameters!$K$30)&gt;INT($P136/Parameters!$K$30),1,0),0)</f>
        <v>0</v>
      </c>
      <c r="S137" s="8">
        <f>IF(INT($P137/Parameters!$K$31)&gt;INT($P136/Parameters!$K$31),1,0)</f>
        <v>0</v>
      </c>
      <c r="T137" s="76">
        <f t="shared" si="0"/>
        <v>0</v>
      </c>
      <c r="U137" s="8">
        <f>C136/'Pump Data'!$L$21*1000/60</f>
        <v>0</v>
      </c>
      <c r="V137" s="8"/>
      <c r="W137" s="8"/>
    </row>
    <row r="138" spans="1:23" ht="14.25" x14ac:dyDescent="0.45">
      <c r="A138" s="125">
        <v>41766</v>
      </c>
      <c r="B138" s="126">
        <v>0</v>
      </c>
      <c r="C138" s="127">
        <f t="shared" si="1"/>
        <v>0</v>
      </c>
      <c r="D138" s="127">
        <f t="shared" si="2"/>
        <v>0.64100000000000001</v>
      </c>
      <c r="E138" s="127">
        <f t="shared" si="13"/>
        <v>44.83300000000002</v>
      </c>
      <c r="F138" s="130">
        <f>Parameters!$B$32*'Pump Data'!$L$21^2+Parameters!$B$33*'Pump Data'!$L$21+Parameters!$B$34</f>
        <v>115.93397007999999</v>
      </c>
      <c r="G138" s="130">
        <f t="shared" si="3"/>
        <v>0</v>
      </c>
      <c r="H138" s="131">
        <f t="shared" si="4"/>
        <v>0</v>
      </c>
      <c r="I138" s="126">
        <f t="shared" si="5"/>
        <v>0</v>
      </c>
      <c r="J138" s="126">
        <f t="shared" si="6"/>
        <v>0</v>
      </c>
      <c r="K138" s="126">
        <f t="shared" si="7"/>
        <v>0</v>
      </c>
      <c r="L138" s="131">
        <f t="shared" si="8"/>
        <v>0</v>
      </c>
      <c r="M138" s="126">
        <f t="shared" si="9"/>
        <v>864</v>
      </c>
      <c r="N138" s="131">
        <f t="shared" si="10"/>
        <v>3.1103999999999998</v>
      </c>
      <c r="O138" s="131">
        <f t="shared" si="11"/>
        <v>3.1103999999999998</v>
      </c>
      <c r="P138" s="8">
        <f t="shared" si="12"/>
        <v>108444.99999999999</v>
      </c>
      <c r="Q138" s="8">
        <f>IF(Parameters!$G$29="y",IF(INT($P138/Parameters!$K$29)&gt;INT($P137/Parameters!$K$29),1,0),0)</f>
        <v>0</v>
      </c>
      <c r="R138" s="8">
        <f>IF(Parameters!$G$30="y",IF(INT($P138/Parameters!$K$30)&gt;INT($P137/Parameters!$K$30),1,0),0)</f>
        <v>0</v>
      </c>
      <c r="S138" s="8">
        <f>IF(INT($P138/Parameters!$K$31)&gt;INT($P137/Parameters!$K$31),1,0)</f>
        <v>0</v>
      </c>
      <c r="T138" s="76">
        <f t="shared" si="0"/>
        <v>0</v>
      </c>
      <c r="U138" s="8">
        <f>C137/'Pump Data'!$L$21*1000/60</f>
        <v>0</v>
      </c>
      <c r="V138" s="8"/>
      <c r="W138" s="8"/>
    </row>
    <row r="139" spans="1:23" ht="14.25" x14ac:dyDescent="0.45">
      <c r="A139" s="125">
        <v>41767</v>
      </c>
      <c r="B139" s="126">
        <v>0</v>
      </c>
      <c r="C139" s="127">
        <f t="shared" si="1"/>
        <v>0</v>
      </c>
      <c r="D139" s="127">
        <f t="shared" si="2"/>
        <v>0.64100000000000001</v>
      </c>
      <c r="E139" s="127">
        <f t="shared" si="13"/>
        <v>44.192000000000021</v>
      </c>
      <c r="F139" s="130">
        <f>Parameters!$B$32*'Pump Data'!$L$21^2+Parameters!$B$33*'Pump Data'!$L$21+Parameters!$B$34</f>
        <v>115.93397007999999</v>
      </c>
      <c r="G139" s="130">
        <f t="shared" si="3"/>
        <v>0</v>
      </c>
      <c r="H139" s="131">
        <f t="shared" si="4"/>
        <v>0</v>
      </c>
      <c r="I139" s="126">
        <f t="shared" si="5"/>
        <v>0</v>
      </c>
      <c r="J139" s="126">
        <f t="shared" si="6"/>
        <v>0</v>
      </c>
      <c r="K139" s="126">
        <f t="shared" si="7"/>
        <v>0</v>
      </c>
      <c r="L139" s="131">
        <f t="shared" si="8"/>
        <v>0</v>
      </c>
      <c r="M139" s="126">
        <f t="shared" si="9"/>
        <v>864</v>
      </c>
      <c r="N139" s="131">
        <f t="shared" si="10"/>
        <v>3.1103999999999998</v>
      </c>
      <c r="O139" s="131">
        <f t="shared" si="11"/>
        <v>3.1103999999999998</v>
      </c>
      <c r="P139" s="8">
        <f t="shared" si="12"/>
        <v>108444.99999999999</v>
      </c>
      <c r="Q139" s="8">
        <f>IF(Parameters!$G$29="y",IF(INT($P139/Parameters!$K$29)&gt;INT($P138/Parameters!$K$29),1,0),0)</f>
        <v>0</v>
      </c>
      <c r="R139" s="8">
        <f>IF(Parameters!$G$30="y",IF(INT($P139/Parameters!$K$30)&gt;INT($P138/Parameters!$K$30),1,0),0)</f>
        <v>0</v>
      </c>
      <c r="S139" s="8">
        <f>IF(INT($P139/Parameters!$K$31)&gt;INT($P138/Parameters!$K$31),1,0)</f>
        <v>0</v>
      </c>
      <c r="T139" s="76">
        <f t="shared" si="0"/>
        <v>0</v>
      </c>
      <c r="U139" s="8">
        <f>C138/'Pump Data'!$L$21*1000/60</f>
        <v>0</v>
      </c>
      <c r="V139" s="8"/>
      <c r="W139" s="8"/>
    </row>
    <row r="140" spans="1:23" ht="14.25" x14ac:dyDescent="0.45">
      <c r="A140" s="125">
        <v>41768</v>
      </c>
      <c r="B140" s="126">
        <v>0</v>
      </c>
      <c r="C140" s="127">
        <f t="shared" si="1"/>
        <v>0</v>
      </c>
      <c r="D140" s="127">
        <f t="shared" si="2"/>
        <v>0.64100000000000001</v>
      </c>
      <c r="E140" s="127">
        <f t="shared" si="13"/>
        <v>43.551000000000023</v>
      </c>
      <c r="F140" s="130">
        <f>Parameters!$B$32*'Pump Data'!$L$21^2+Parameters!$B$33*'Pump Data'!$L$21+Parameters!$B$34</f>
        <v>115.93397007999999</v>
      </c>
      <c r="G140" s="130">
        <f t="shared" si="3"/>
        <v>0</v>
      </c>
      <c r="H140" s="131">
        <f t="shared" si="4"/>
        <v>0</v>
      </c>
      <c r="I140" s="126">
        <f t="shared" si="5"/>
        <v>0</v>
      </c>
      <c r="J140" s="126">
        <f t="shared" si="6"/>
        <v>0</v>
      </c>
      <c r="K140" s="126">
        <f t="shared" si="7"/>
        <v>0</v>
      </c>
      <c r="L140" s="131">
        <f t="shared" si="8"/>
        <v>0</v>
      </c>
      <c r="M140" s="126">
        <f t="shared" si="9"/>
        <v>864</v>
      </c>
      <c r="N140" s="131">
        <f t="shared" si="10"/>
        <v>3.1103999999999998</v>
      </c>
      <c r="O140" s="131">
        <f t="shared" si="11"/>
        <v>3.1103999999999998</v>
      </c>
      <c r="P140" s="8">
        <f t="shared" si="12"/>
        <v>108444.99999999999</v>
      </c>
      <c r="Q140" s="8">
        <f>IF(Parameters!$G$29="y",IF(INT($P140/Parameters!$K$29)&gt;INT($P139/Parameters!$K$29),1,0),0)</f>
        <v>0</v>
      </c>
      <c r="R140" s="8">
        <f>IF(Parameters!$G$30="y",IF(INT($P140/Parameters!$K$30)&gt;INT($P139/Parameters!$K$30),1,0),0)</f>
        <v>0</v>
      </c>
      <c r="S140" s="8">
        <f>IF(INT($P140/Parameters!$K$31)&gt;INT($P139/Parameters!$K$31),1,0)</f>
        <v>0</v>
      </c>
      <c r="T140" s="76">
        <f t="shared" si="0"/>
        <v>0</v>
      </c>
      <c r="U140" s="8">
        <f>C139/'Pump Data'!$L$21*1000/60</f>
        <v>0</v>
      </c>
      <c r="V140" s="8"/>
      <c r="W140" s="8"/>
    </row>
    <row r="141" spans="1:23" ht="14.25" x14ac:dyDescent="0.45">
      <c r="A141" s="125">
        <v>41769</v>
      </c>
      <c r="B141" s="126">
        <v>0.2</v>
      </c>
      <c r="C141" s="127">
        <f t="shared" si="1"/>
        <v>2.2000000000000002E-2</v>
      </c>
      <c r="D141" s="127">
        <f t="shared" si="2"/>
        <v>0.64100000000000001</v>
      </c>
      <c r="E141" s="127">
        <f t="shared" si="13"/>
        <v>42.932000000000023</v>
      </c>
      <c r="F141" s="130">
        <f>Parameters!$B$32*'Pump Data'!$L$21^2+Parameters!$B$33*'Pump Data'!$L$21+Parameters!$B$34</f>
        <v>115.93397007999999</v>
      </c>
      <c r="G141" s="130">
        <f t="shared" si="3"/>
        <v>4.0548802091514151</v>
      </c>
      <c r="H141" s="131">
        <f t="shared" si="4"/>
        <v>4.0548802091514152E-3</v>
      </c>
      <c r="I141" s="126">
        <f t="shared" si="5"/>
        <v>110.00000000000003</v>
      </c>
      <c r="J141" s="126">
        <f t="shared" si="6"/>
        <v>0.11000000000000003</v>
      </c>
      <c r="K141" s="126">
        <f t="shared" si="7"/>
        <v>220000.00000000006</v>
      </c>
      <c r="L141" s="131">
        <f t="shared" si="8"/>
        <v>0.22000000000000006</v>
      </c>
      <c r="M141" s="126">
        <f t="shared" si="9"/>
        <v>864</v>
      </c>
      <c r="N141" s="131">
        <f t="shared" si="10"/>
        <v>3.1103999999999998</v>
      </c>
      <c r="O141" s="131">
        <f t="shared" si="11"/>
        <v>3.3344548802091514</v>
      </c>
      <c r="P141" s="8">
        <f t="shared" si="12"/>
        <v>108466.99999999999</v>
      </c>
      <c r="Q141" s="8">
        <f>IF(Parameters!$G$29="y",IF(INT($P141/Parameters!$K$29)&gt;INT($P140/Parameters!$K$29),1,0),0)</f>
        <v>0</v>
      </c>
      <c r="R141" s="8">
        <f>IF(Parameters!$G$30="y",IF(INT($P141/Parameters!$K$30)&gt;INT($P140/Parameters!$K$30),1,0),0)</f>
        <v>0</v>
      </c>
      <c r="S141" s="8">
        <f>IF(INT($P141/Parameters!$K$31)&gt;INT($P140/Parameters!$K$31),1,0)</f>
        <v>0</v>
      </c>
      <c r="T141" s="76">
        <f t="shared" si="0"/>
        <v>0</v>
      </c>
      <c r="U141" s="8">
        <f>C140/'Pump Data'!$L$21*1000/60</f>
        <v>0</v>
      </c>
      <c r="V141" s="8"/>
      <c r="W141" s="8"/>
    </row>
    <row r="142" spans="1:23" ht="14.25" x14ac:dyDescent="0.45">
      <c r="A142" s="125">
        <v>41770</v>
      </c>
      <c r="B142" s="126">
        <v>0</v>
      </c>
      <c r="C142" s="127">
        <f t="shared" si="1"/>
        <v>0</v>
      </c>
      <c r="D142" s="127">
        <f t="shared" si="2"/>
        <v>0.64100000000000001</v>
      </c>
      <c r="E142" s="127">
        <f t="shared" si="13"/>
        <v>42.291000000000025</v>
      </c>
      <c r="F142" s="130">
        <f>Parameters!$B$32*'Pump Data'!$L$21^2+Parameters!$B$33*'Pump Data'!$L$21+Parameters!$B$34</f>
        <v>115.93397007999999</v>
      </c>
      <c r="G142" s="130">
        <f t="shared" si="3"/>
        <v>0</v>
      </c>
      <c r="H142" s="131">
        <f t="shared" si="4"/>
        <v>0</v>
      </c>
      <c r="I142" s="126">
        <f t="shared" si="5"/>
        <v>0</v>
      </c>
      <c r="J142" s="126">
        <f t="shared" si="6"/>
        <v>0</v>
      </c>
      <c r="K142" s="126">
        <f t="shared" si="7"/>
        <v>0</v>
      </c>
      <c r="L142" s="131">
        <f t="shared" si="8"/>
        <v>0</v>
      </c>
      <c r="M142" s="126">
        <f t="shared" si="9"/>
        <v>864</v>
      </c>
      <c r="N142" s="131">
        <f t="shared" si="10"/>
        <v>3.1103999999999998</v>
      </c>
      <c r="O142" s="131">
        <f t="shared" si="11"/>
        <v>3.1103999999999998</v>
      </c>
      <c r="P142" s="8">
        <f t="shared" si="12"/>
        <v>108466.99999999999</v>
      </c>
      <c r="Q142" s="8">
        <f>IF(Parameters!$G$29="y",IF(INT($P142/Parameters!$K$29)&gt;INT($P141/Parameters!$K$29),1,0),0)</f>
        <v>0</v>
      </c>
      <c r="R142" s="8">
        <f>IF(Parameters!$G$30="y",IF(INT($P142/Parameters!$K$30)&gt;INT($P141/Parameters!$K$30),1,0),0)</f>
        <v>0</v>
      </c>
      <c r="S142" s="8">
        <f>IF(INT($P142/Parameters!$K$31)&gt;INT($P141/Parameters!$K$31),1,0)</f>
        <v>0</v>
      </c>
      <c r="T142" s="76">
        <f t="shared" si="0"/>
        <v>0</v>
      </c>
      <c r="U142" s="8">
        <f>C141/'Pump Data'!$L$21*1000/60</f>
        <v>1.0239225542213536E-2</v>
      </c>
      <c r="V142" s="8"/>
      <c r="W142" s="8"/>
    </row>
    <row r="143" spans="1:23" ht="14.25" x14ac:dyDescent="0.45">
      <c r="A143" s="125">
        <v>41771</v>
      </c>
      <c r="B143" s="126">
        <v>0.2</v>
      </c>
      <c r="C143" s="127">
        <f t="shared" si="1"/>
        <v>2.2000000000000002E-2</v>
      </c>
      <c r="D143" s="127">
        <f t="shared" si="2"/>
        <v>0.64100000000000001</v>
      </c>
      <c r="E143" s="127">
        <f t="shared" si="13"/>
        <v>41.672000000000025</v>
      </c>
      <c r="F143" s="130">
        <f>Parameters!$B$32*'Pump Data'!$L$21^2+Parameters!$B$33*'Pump Data'!$L$21+Parameters!$B$34</f>
        <v>115.93397007999999</v>
      </c>
      <c r="G143" s="130">
        <f t="shared" si="3"/>
        <v>4.0548802091514151</v>
      </c>
      <c r="H143" s="131">
        <f t="shared" si="4"/>
        <v>4.0548802091514152E-3</v>
      </c>
      <c r="I143" s="126">
        <f t="shared" si="5"/>
        <v>110.00000000000003</v>
      </c>
      <c r="J143" s="126">
        <f t="shared" si="6"/>
        <v>0.11000000000000003</v>
      </c>
      <c r="K143" s="126">
        <f t="shared" si="7"/>
        <v>220000.00000000006</v>
      </c>
      <c r="L143" s="131">
        <f t="shared" si="8"/>
        <v>0.22000000000000006</v>
      </c>
      <c r="M143" s="126">
        <f t="shared" si="9"/>
        <v>864</v>
      </c>
      <c r="N143" s="131">
        <f t="shared" si="10"/>
        <v>3.1103999999999998</v>
      </c>
      <c r="O143" s="131">
        <f t="shared" si="11"/>
        <v>3.3344548802091514</v>
      </c>
      <c r="P143" s="8">
        <f t="shared" si="12"/>
        <v>108488.99999999999</v>
      </c>
      <c r="Q143" s="8">
        <f>IF(Parameters!$G$29="y",IF(INT($P143/Parameters!$K$29)&gt;INT($P142/Parameters!$K$29),1,0),0)</f>
        <v>0</v>
      </c>
      <c r="R143" s="8">
        <f>IF(Parameters!$G$30="y",IF(INT($P143/Parameters!$K$30)&gt;INT($P142/Parameters!$K$30),1,0),0)</f>
        <v>0</v>
      </c>
      <c r="S143" s="8">
        <f>IF(INT($P143/Parameters!$K$31)&gt;INT($P142/Parameters!$K$31),1,0)</f>
        <v>0</v>
      </c>
      <c r="T143" s="76">
        <f t="shared" si="0"/>
        <v>0</v>
      </c>
      <c r="U143" s="8">
        <f>C142/'Pump Data'!$L$21*1000/60</f>
        <v>0</v>
      </c>
      <c r="V143" s="8"/>
      <c r="W143" s="8"/>
    </row>
    <row r="144" spans="1:23" ht="14.25" x14ac:dyDescent="0.45">
      <c r="A144" s="125">
        <v>41772</v>
      </c>
      <c r="B144" s="126">
        <v>0</v>
      </c>
      <c r="C144" s="127">
        <f t="shared" si="1"/>
        <v>0</v>
      </c>
      <c r="D144" s="127">
        <f t="shared" si="2"/>
        <v>0.64100000000000001</v>
      </c>
      <c r="E144" s="127">
        <f t="shared" si="13"/>
        <v>41.031000000000027</v>
      </c>
      <c r="F144" s="130">
        <f>Parameters!$B$32*'Pump Data'!$L$21^2+Parameters!$B$33*'Pump Data'!$L$21+Parameters!$B$34</f>
        <v>115.93397007999999</v>
      </c>
      <c r="G144" s="130">
        <f t="shared" si="3"/>
        <v>0</v>
      </c>
      <c r="H144" s="131">
        <f t="shared" si="4"/>
        <v>0</v>
      </c>
      <c r="I144" s="126">
        <f t="shared" si="5"/>
        <v>0</v>
      </c>
      <c r="J144" s="126">
        <f t="shared" si="6"/>
        <v>0</v>
      </c>
      <c r="K144" s="126">
        <f t="shared" si="7"/>
        <v>0</v>
      </c>
      <c r="L144" s="131">
        <f t="shared" si="8"/>
        <v>0</v>
      </c>
      <c r="M144" s="126">
        <f t="shared" si="9"/>
        <v>864</v>
      </c>
      <c r="N144" s="131">
        <f t="shared" si="10"/>
        <v>3.1103999999999998</v>
      </c>
      <c r="O144" s="131">
        <f t="shared" si="11"/>
        <v>3.1103999999999998</v>
      </c>
      <c r="P144" s="8">
        <f t="shared" si="12"/>
        <v>108488.99999999999</v>
      </c>
      <c r="Q144" s="8">
        <f>IF(Parameters!$G$29="y",IF(INT($P144/Parameters!$K$29)&gt;INT($P143/Parameters!$K$29),1,0),0)</f>
        <v>0</v>
      </c>
      <c r="R144" s="8">
        <f>IF(Parameters!$G$30="y",IF(INT($P144/Parameters!$K$30)&gt;INT($P143/Parameters!$K$30),1,0),0)</f>
        <v>0</v>
      </c>
      <c r="S144" s="8">
        <f>IF(INT($P144/Parameters!$K$31)&gt;INT($P143/Parameters!$K$31),1,0)</f>
        <v>0</v>
      </c>
      <c r="T144" s="76">
        <f t="shared" si="0"/>
        <v>0</v>
      </c>
      <c r="U144" s="8">
        <f>C143/'Pump Data'!$L$21*1000/60</f>
        <v>1.0239225542213536E-2</v>
      </c>
      <c r="V144" s="8"/>
      <c r="W144" s="8"/>
    </row>
    <row r="145" spans="1:23" ht="14.25" x14ac:dyDescent="0.45">
      <c r="A145" s="125">
        <v>41773</v>
      </c>
      <c r="B145" s="126">
        <v>0</v>
      </c>
      <c r="C145" s="127">
        <f t="shared" si="1"/>
        <v>0</v>
      </c>
      <c r="D145" s="127">
        <f t="shared" si="2"/>
        <v>0.64100000000000001</v>
      </c>
      <c r="E145" s="127">
        <f t="shared" si="13"/>
        <v>40.390000000000029</v>
      </c>
      <c r="F145" s="130">
        <f>Parameters!$B$32*'Pump Data'!$L$21^2+Parameters!$B$33*'Pump Data'!$L$21+Parameters!$B$34</f>
        <v>115.93397007999999</v>
      </c>
      <c r="G145" s="130">
        <f t="shared" si="3"/>
        <v>0</v>
      </c>
      <c r="H145" s="131">
        <f t="shared" si="4"/>
        <v>0</v>
      </c>
      <c r="I145" s="126">
        <f t="shared" si="5"/>
        <v>0</v>
      </c>
      <c r="J145" s="126">
        <f t="shared" si="6"/>
        <v>0</v>
      </c>
      <c r="K145" s="126">
        <f t="shared" si="7"/>
        <v>0</v>
      </c>
      <c r="L145" s="131">
        <f t="shared" si="8"/>
        <v>0</v>
      </c>
      <c r="M145" s="126">
        <f t="shared" si="9"/>
        <v>864</v>
      </c>
      <c r="N145" s="131">
        <f t="shared" si="10"/>
        <v>3.1103999999999998</v>
      </c>
      <c r="O145" s="131">
        <f t="shared" si="11"/>
        <v>3.1103999999999998</v>
      </c>
      <c r="P145" s="8">
        <f t="shared" si="12"/>
        <v>108488.99999999999</v>
      </c>
      <c r="Q145" s="8">
        <f>IF(Parameters!$G$29="y",IF(INT($P145/Parameters!$K$29)&gt;INT($P144/Parameters!$K$29),1,0),0)</f>
        <v>0</v>
      </c>
      <c r="R145" s="8">
        <f>IF(Parameters!$G$30="y",IF(INT($P145/Parameters!$K$30)&gt;INT($P144/Parameters!$K$30),1,0),0)</f>
        <v>0</v>
      </c>
      <c r="S145" s="8">
        <f>IF(INT($P145/Parameters!$K$31)&gt;INT($P144/Parameters!$K$31),1,0)</f>
        <v>0</v>
      </c>
      <c r="T145" s="76">
        <f t="shared" si="0"/>
        <v>0</v>
      </c>
      <c r="U145" s="8">
        <f>C144/'Pump Data'!$L$21*1000/60</f>
        <v>0</v>
      </c>
      <c r="V145" s="8"/>
      <c r="W145" s="8"/>
    </row>
    <row r="146" spans="1:23" ht="14.25" x14ac:dyDescent="0.45">
      <c r="A146" s="125">
        <v>41774</v>
      </c>
      <c r="B146" s="126">
        <v>0</v>
      </c>
      <c r="C146" s="127">
        <f t="shared" si="1"/>
        <v>0</v>
      </c>
      <c r="D146" s="127">
        <f t="shared" si="2"/>
        <v>0.64100000000000001</v>
      </c>
      <c r="E146" s="127">
        <f t="shared" si="13"/>
        <v>39.749000000000031</v>
      </c>
      <c r="F146" s="130">
        <f>Parameters!$B$32*'Pump Data'!$L$21^2+Parameters!$B$33*'Pump Data'!$L$21+Parameters!$B$34</f>
        <v>115.93397007999999</v>
      </c>
      <c r="G146" s="130">
        <f t="shared" si="3"/>
        <v>0</v>
      </c>
      <c r="H146" s="131">
        <f t="shared" si="4"/>
        <v>0</v>
      </c>
      <c r="I146" s="126">
        <f t="shared" si="5"/>
        <v>0</v>
      </c>
      <c r="J146" s="126">
        <f t="shared" si="6"/>
        <v>0</v>
      </c>
      <c r="K146" s="126">
        <f t="shared" si="7"/>
        <v>0</v>
      </c>
      <c r="L146" s="131">
        <f t="shared" si="8"/>
        <v>0</v>
      </c>
      <c r="M146" s="126">
        <f t="shared" si="9"/>
        <v>864</v>
      </c>
      <c r="N146" s="131">
        <f t="shared" si="10"/>
        <v>3.1103999999999998</v>
      </c>
      <c r="O146" s="131">
        <f t="shared" si="11"/>
        <v>3.1103999999999998</v>
      </c>
      <c r="P146" s="8">
        <f t="shared" si="12"/>
        <v>108488.99999999999</v>
      </c>
      <c r="Q146" s="8">
        <f>IF(Parameters!$G$29="y",IF(INT($P146/Parameters!$K$29)&gt;INT($P145/Parameters!$K$29),1,0),0)</f>
        <v>0</v>
      </c>
      <c r="R146" s="8">
        <f>IF(Parameters!$G$30="y",IF(INT($P146/Parameters!$K$30)&gt;INT($P145/Parameters!$K$30),1,0),0)</f>
        <v>0</v>
      </c>
      <c r="S146" s="8">
        <f>IF(INT($P146/Parameters!$K$31)&gt;INT($P145/Parameters!$K$31),1,0)</f>
        <v>0</v>
      </c>
      <c r="T146" s="76">
        <f t="shared" si="0"/>
        <v>0</v>
      </c>
      <c r="U146" s="8">
        <f>C145/'Pump Data'!$L$21*1000/60</f>
        <v>0</v>
      </c>
      <c r="V146" s="8"/>
      <c r="W146" s="8"/>
    </row>
    <row r="147" spans="1:23" ht="14.25" x14ac:dyDescent="0.45">
      <c r="A147" s="125">
        <v>41775</v>
      </c>
      <c r="B147" s="126">
        <v>2.8</v>
      </c>
      <c r="C147" s="127">
        <f t="shared" si="1"/>
        <v>0.308</v>
      </c>
      <c r="D147" s="127">
        <f t="shared" si="2"/>
        <v>0.64100000000000001</v>
      </c>
      <c r="E147" s="127">
        <f t="shared" si="13"/>
        <v>39.416000000000032</v>
      </c>
      <c r="F147" s="130">
        <f>Parameters!$B$32*'Pump Data'!$L$21^2+Parameters!$B$33*'Pump Data'!$L$21+Parameters!$B$34</f>
        <v>115.93397007999999</v>
      </c>
      <c r="G147" s="130">
        <f t="shared" si="3"/>
        <v>56.768322928119808</v>
      </c>
      <c r="H147" s="131">
        <f t="shared" si="4"/>
        <v>5.6768322928119806E-2</v>
      </c>
      <c r="I147" s="126">
        <f t="shared" si="5"/>
        <v>1540</v>
      </c>
      <c r="J147" s="126">
        <f t="shared" si="6"/>
        <v>1.54</v>
      </c>
      <c r="K147" s="126">
        <f t="shared" si="7"/>
        <v>3080000</v>
      </c>
      <c r="L147" s="131">
        <f t="shared" si="8"/>
        <v>3.08</v>
      </c>
      <c r="M147" s="126">
        <f t="shared" si="9"/>
        <v>864</v>
      </c>
      <c r="N147" s="131">
        <f t="shared" si="10"/>
        <v>3.1103999999999998</v>
      </c>
      <c r="O147" s="131">
        <f t="shared" si="11"/>
        <v>6.2471683229281201</v>
      </c>
      <c r="P147" s="8">
        <f t="shared" si="12"/>
        <v>108797</v>
      </c>
      <c r="Q147" s="8">
        <f>IF(Parameters!$G$29="y",IF(INT($P147/Parameters!$K$29)&gt;INT($P146/Parameters!$K$29),1,0),0)</f>
        <v>0</v>
      </c>
      <c r="R147" s="8">
        <f>IF(Parameters!$G$30="y",IF(INT($P147/Parameters!$K$30)&gt;INT($P146/Parameters!$K$30),1,0),0)</f>
        <v>0</v>
      </c>
      <c r="S147" s="8">
        <f>IF(INT($P147/Parameters!$K$31)&gt;INT($P146/Parameters!$K$31),1,0)</f>
        <v>0</v>
      </c>
      <c r="T147" s="76">
        <f t="shared" si="0"/>
        <v>0</v>
      </c>
      <c r="U147" s="8">
        <f>C146/'Pump Data'!$L$21*1000/60</f>
        <v>0</v>
      </c>
      <c r="V147" s="8"/>
      <c r="W147" s="8"/>
    </row>
    <row r="148" spans="1:23" ht="14.25" x14ac:dyDescent="0.45">
      <c r="A148" s="125">
        <v>41776</v>
      </c>
      <c r="B148" s="126">
        <v>0</v>
      </c>
      <c r="C148" s="127">
        <f t="shared" si="1"/>
        <v>0</v>
      </c>
      <c r="D148" s="127">
        <f t="shared" si="2"/>
        <v>0.64100000000000001</v>
      </c>
      <c r="E148" s="127">
        <f t="shared" si="13"/>
        <v>38.775000000000034</v>
      </c>
      <c r="F148" s="130">
        <f>Parameters!$B$32*'Pump Data'!$L$21^2+Parameters!$B$33*'Pump Data'!$L$21+Parameters!$B$34</f>
        <v>115.93397007999999</v>
      </c>
      <c r="G148" s="130">
        <f t="shared" si="3"/>
        <v>0</v>
      </c>
      <c r="H148" s="131">
        <f t="shared" si="4"/>
        <v>0</v>
      </c>
      <c r="I148" s="126">
        <f t="shared" si="5"/>
        <v>0</v>
      </c>
      <c r="J148" s="126">
        <f t="shared" si="6"/>
        <v>0</v>
      </c>
      <c r="K148" s="126">
        <f t="shared" si="7"/>
        <v>0</v>
      </c>
      <c r="L148" s="131">
        <f t="shared" si="8"/>
        <v>0</v>
      </c>
      <c r="M148" s="126">
        <f t="shared" si="9"/>
        <v>864</v>
      </c>
      <c r="N148" s="131">
        <f t="shared" si="10"/>
        <v>3.1103999999999998</v>
      </c>
      <c r="O148" s="131">
        <f t="shared" si="11"/>
        <v>3.1103999999999998</v>
      </c>
      <c r="P148" s="8">
        <f t="shared" si="12"/>
        <v>108797</v>
      </c>
      <c r="Q148" s="8">
        <f>IF(Parameters!$G$29="y",IF(INT($P148/Parameters!$K$29)&gt;INT($P147/Parameters!$K$29),1,0),0)</f>
        <v>0</v>
      </c>
      <c r="R148" s="8">
        <f>IF(Parameters!$G$30="y",IF(INT($P148/Parameters!$K$30)&gt;INT($P147/Parameters!$K$30),1,0),0)</f>
        <v>0</v>
      </c>
      <c r="S148" s="8">
        <f>IF(INT($P148/Parameters!$K$31)&gt;INT($P147/Parameters!$K$31),1,0)</f>
        <v>0</v>
      </c>
      <c r="T148" s="76">
        <f t="shared" si="0"/>
        <v>0</v>
      </c>
      <c r="U148" s="8">
        <f>C147/'Pump Data'!$L$21*1000/60</f>
        <v>0.14334915759098946</v>
      </c>
      <c r="V148" s="8"/>
      <c r="W148" s="8"/>
    </row>
    <row r="149" spans="1:23" ht="14.25" x14ac:dyDescent="0.45">
      <c r="A149" s="125">
        <v>41777</v>
      </c>
      <c r="B149" s="126">
        <v>0</v>
      </c>
      <c r="C149" s="127">
        <f t="shared" si="1"/>
        <v>0</v>
      </c>
      <c r="D149" s="127">
        <f t="shared" si="2"/>
        <v>0.64100000000000001</v>
      </c>
      <c r="E149" s="127">
        <f t="shared" si="13"/>
        <v>38.134000000000036</v>
      </c>
      <c r="F149" s="130">
        <f>Parameters!$B$32*'Pump Data'!$L$21^2+Parameters!$B$33*'Pump Data'!$L$21+Parameters!$B$34</f>
        <v>115.93397007999999</v>
      </c>
      <c r="G149" s="130">
        <f t="shared" si="3"/>
        <v>0</v>
      </c>
      <c r="H149" s="131">
        <f t="shared" si="4"/>
        <v>0</v>
      </c>
      <c r="I149" s="126">
        <f t="shared" si="5"/>
        <v>0</v>
      </c>
      <c r="J149" s="126">
        <f t="shared" si="6"/>
        <v>0</v>
      </c>
      <c r="K149" s="126">
        <f t="shared" si="7"/>
        <v>0</v>
      </c>
      <c r="L149" s="131">
        <f t="shared" si="8"/>
        <v>0</v>
      </c>
      <c r="M149" s="126">
        <f t="shared" si="9"/>
        <v>864</v>
      </c>
      <c r="N149" s="131">
        <f t="shared" si="10"/>
        <v>3.1103999999999998</v>
      </c>
      <c r="O149" s="131">
        <f t="shared" si="11"/>
        <v>3.1103999999999998</v>
      </c>
      <c r="P149" s="8">
        <f t="shared" si="12"/>
        <v>108797</v>
      </c>
      <c r="Q149" s="8">
        <f>IF(Parameters!$G$29="y",IF(INT($P149/Parameters!$K$29)&gt;INT($P148/Parameters!$K$29),1,0),0)</f>
        <v>0</v>
      </c>
      <c r="R149" s="8">
        <f>IF(Parameters!$G$30="y",IF(INT($P149/Parameters!$K$30)&gt;INT($P148/Parameters!$K$30),1,0),0)</f>
        <v>0</v>
      </c>
      <c r="S149" s="8">
        <f>IF(INT($P149/Parameters!$K$31)&gt;INT($P148/Parameters!$K$31),1,0)</f>
        <v>0</v>
      </c>
      <c r="T149" s="76">
        <f t="shared" si="0"/>
        <v>0</v>
      </c>
      <c r="U149" s="8">
        <f>C148/'Pump Data'!$L$21*1000/60</f>
        <v>0</v>
      </c>
      <c r="V149" s="8"/>
      <c r="W149" s="8"/>
    </row>
    <row r="150" spans="1:23" ht="14.25" x14ac:dyDescent="0.45">
      <c r="A150" s="125">
        <v>41778</v>
      </c>
      <c r="B150" s="126">
        <v>0</v>
      </c>
      <c r="C150" s="127">
        <f t="shared" si="1"/>
        <v>0</v>
      </c>
      <c r="D150" s="127">
        <f t="shared" si="2"/>
        <v>0.64100000000000001</v>
      </c>
      <c r="E150" s="127">
        <f t="shared" si="13"/>
        <v>37.493000000000038</v>
      </c>
      <c r="F150" s="130">
        <f>Parameters!$B$32*'Pump Data'!$L$21^2+Parameters!$B$33*'Pump Data'!$L$21+Parameters!$B$34</f>
        <v>115.93397007999999</v>
      </c>
      <c r="G150" s="130">
        <f t="shared" si="3"/>
        <v>0</v>
      </c>
      <c r="H150" s="131">
        <f t="shared" si="4"/>
        <v>0</v>
      </c>
      <c r="I150" s="126">
        <f t="shared" si="5"/>
        <v>0</v>
      </c>
      <c r="J150" s="126">
        <f t="shared" si="6"/>
        <v>0</v>
      </c>
      <c r="K150" s="126">
        <f t="shared" si="7"/>
        <v>0</v>
      </c>
      <c r="L150" s="131">
        <f t="shared" si="8"/>
        <v>0</v>
      </c>
      <c r="M150" s="126">
        <f t="shared" si="9"/>
        <v>864</v>
      </c>
      <c r="N150" s="131">
        <f t="shared" si="10"/>
        <v>3.1103999999999998</v>
      </c>
      <c r="O150" s="131">
        <f t="shared" si="11"/>
        <v>3.1103999999999998</v>
      </c>
      <c r="P150" s="8">
        <f t="shared" si="12"/>
        <v>108797</v>
      </c>
      <c r="Q150" s="8">
        <f>IF(Parameters!$G$29="y",IF(INT($P150/Parameters!$K$29)&gt;INT($P149/Parameters!$K$29),1,0),0)</f>
        <v>0</v>
      </c>
      <c r="R150" s="8">
        <f>IF(Parameters!$G$30="y",IF(INT($P150/Parameters!$K$30)&gt;INT($P149/Parameters!$K$30),1,0),0)</f>
        <v>0</v>
      </c>
      <c r="S150" s="8">
        <f>IF(INT($P150/Parameters!$K$31)&gt;INT($P149/Parameters!$K$31),1,0)</f>
        <v>0</v>
      </c>
      <c r="T150" s="76">
        <f t="shared" si="0"/>
        <v>0</v>
      </c>
      <c r="U150" s="8">
        <f>C149/'Pump Data'!$L$21*1000/60</f>
        <v>0</v>
      </c>
      <c r="V150" s="8"/>
      <c r="W150" s="8"/>
    </row>
    <row r="151" spans="1:23" ht="14.25" x14ac:dyDescent="0.45">
      <c r="A151" s="125">
        <v>41779</v>
      </c>
      <c r="B151" s="126">
        <v>0</v>
      </c>
      <c r="C151" s="127">
        <f t="shared" si="1"/>
        <v>0</v>
      </c>
      <c r="D151" s="127">
        <f t="shared" si="2"/>
        <v>0.64100000000000001</v>
      </c>
      <c r="E151" s="127">
        <f t="shared" si="13"/>
        <v>36.852000000000039</v>
      </c>
      <c r="F151" s="130">
        <f>Parameters!$B$32*'Pump Data'!$L$21^2+Parameters!$B$33*'Pump Data'!$L$21+Parameters!$B$34</f>
        <v>115.93397007999999</v>
      </c>
      <c r="G151" s="130">
        <f t="shared" si="3"/>
        <v>0</v>
      </c>
      <c r="H151" s="131">
        <f t="shared" si="4"/>
        <v>0</v>
      </c>
      <c r="I151" s="126">
        <f t="shared" si="5"/>
        <v>0</v>
      </c>
      <c r="J151" s="126">
        <f t="shared" si="6"/>
        <v>0</v>
      </c>
      <c r="K151" s="126">
        <f t="shared" si="7"/>
        <v>0</v>
      </c>
      <c r="L151" s="131">
        <f t="shared" si="8"/>
        <v>0</v>
      </c>
      <c r="M151" s="126">
        <f t="shared" si="9"/>
        <v>864</v>
      </c>
      <c r="N151" s="131">
        <f t="shared" si="10"/>
        <v>3.1103999999999998</v>
      </c>
      <c r="O151" s="131">
        <f t="shared" si="11"/>
        <v>3.1103999999999998</v>
      </c>
      <c r="P151" s="8">
        <f t="shared" si="12"/>
        <v>108797</v>
      </c>
      <c r="Q151" s="8">
        <f>IF(Parameters!$G$29="y",IF(INT($P151/Parameters!$K$29)&gt;INT($P150/Parameters!$K$29),1,0),0)</f>
        <v>0</v>
      </c>
      <c r="R151" s="8">
        <f>IF(Parameters!$G$30="y",IF(INT($P151/Parameters!$K$30)&gt;INT($P150/Parameters!$K$30),1,0),0)</f>
        <v>0</v>
      </c>
      <c r="S151" s="8">
        <f>IF(INT($P151/Parameters!$K$31)&gt;INT($P150/Parameters!$K$31),1,0)</f>
        <v>0</v>
      </c>
      <c r="T151" s="76">
        <f t="shared" si="0"/>
        <v>0</v>
      </c>
      <c r="U151" s="8">
        <f>C150/'Pump Data'!$L$21*1000/60</f>
        <v>0</v>
      </c>
      <c r="V151" s="8"/>
      <c r="W151" s="8"/>
    </row>
    <row r="152" spans="1:23" ht="14.25" x14ac:dyDescent="0.45">
      <c r="A152" s="125">
        <v>41780</v>
      </c>
      <c r="B152" s="126">
        <v>8.1999999999999993</v>
      </c>
      <c r="C152" s="127">
        <f t="shared" si="1"/>
        <v>0.90199999999999991</v>
      </c>
      <c r="D152" s="127">
        <f t="shared" si="2"/>
        <v>0.64100000000000001</v>
      </c>
      <c r="E152" s="127">
        <f t="shared" si="13"/>
        <v>37.113000000000042</v>
      </c>
      <c r="F152" s="130">
        <f>Parameters!$B$32*'Pump Data'!$L$21^2+Parameters!$B$33*'Pump Data'!$L$21+Parameters!$B$34</f>
        <v>115.93397007999999</v>
      </c>
      <c r="G152" s="130">
        <f t="shared" si="3"/>
        <v>166.250088575208</v>
      </c>
      <c r="H152" s="131">
        <f t="shared" si="4"/>
        <v>0.16625008857520801</v>
      </c>
      <c r="I152" s="126">
        <f t="shared" si="5"/>
        <v>4509.9999999999991</v>
      </c>
      <c r="J152" s="126">
        <f t="shared" si="6"/>
        <v>4.5099999999999989</v>
      </c>
      <c r="K152" s="126">
        <f t="shared" si="7"/>
        <v>9019999.9999999981</v>
      </c>
      <c r="L152" s="131">
        <f t="shared" si="8"/>
        <v>9.0199999999999978</v>
      </c>
      <c r="M152" s="126">
        <f t="shared" si="9"/>
        <v>864</v>
      </c>
      <c r="N152" s="131">
        <f t="shared" si="10"/>
        <v>3.1103999999999998</v>
      </c>
      <c r="O152" s="131">
        <f t="shared" si="11"/>
        <v>12.296650088575205</v>
      </c>
      <c r="P152" s="8">
        <f t="shared" si="12"/>
        <v>109699</v>
      </c>
      <c r="Q152" s="8">
        <f>IF(Parameters!$G$29="y",IF(INT($P152/Parameters!$K$29)&gt;INT($P151/Parameters!$K$29),1,0),0)</f>
        <v>0</v>
      </c>
      <c r="R152" s="8">
        <f>IF(Parameters!$G$30="y",IF(INT($P152/Parameters!$K$30)&gt;INT($P151/Parameters!$K$30),1,0),0)</f>
        <v>0</v>
      </c>
      <c r="S152" s="8">
        <f>IF(INT($P152/Parameters!$K$31)&gt;INT($P151/Parameters!$K$31),1,0)</f>
        <v>0</v>
      </c>
      <c r="T152" s="76">
        <f t="shared" si="0"/>
        <v>0</v>
      </c>
      <c r="U152" s="8">
        <f>C151/'Pump Data'!$L$21*1000/60</f>
        <v>0</v>
      </c>
      <c r="V152" s="8"/>
      <c r="W152" s="8"/>
    </row>
    <row r="153" spans="1:23" ht="14.25" x14ac:dyDescent="0.45">
      <c r="A153" s="125">
        <v>41781</v>
      </c>
      <c r="B153" s="126">
        <v>29.6</v>
      </c>
      <c r="C153" s="127">
        <f t="shared" si="1"/>
        <v>2.5</v>
      </c>
      <c r="D153" s="127">
        <f t="shared" si="2"/>
        <v>0.64100000000000001</v>
      </c>
      <c r="E153" s="127">
        <f t="shared" si="13"/>
        <v>38.972000000000044</v>
      </c>
      <c r="F153" s="130">
        <f>Parameters!$B$32*'Pump Data'!$L$21^2+Parameters!$B$33*'Pump Data'!$L$21+Parameters!$B$34</f>
        <v>115.93397007999999</v>
      </c>
      <c r="G153" s="130">
        <f t="shared" si="3"/>
        <v>460.7818419490244</v>
      </c>
      <c r="H153" s="131">
        <f t="shared" si="4"/>
        <v>0.46078184194902438</v>
      </c>
      <c r="I153" s="126">
        <f t="shared" si="5"/>
        <v>12500</v>
      </c>
      <c r="J153" s="126">
        <f t="shared" si="6"/>
        <v>12.5</v>
      </c>
      <c r="K153" s="126">
        <f t="shared" si="7"/>
        <v>25000000</v>
      </c>
      <c r="L153" s="131">
        <f t="shared" si="8"/>
        <v>25</v>
      </c>
      <c r="M153" s="126">
        <f t="shared" si="9"/>
        <v>864</v>
      </c>
      <c r="N153" s="131">
        <f t="shared" si="10"/>
        <v>3.1103999999999998</v>
      </c>
      <c r="O153" s="131">
        <f t="shared" si="11"/>
        <v>28.571181841949024</v>
      </c>
      <c r="P153" s="8">
        <f t="shared" si="12"/>
        <v>112199</v>
      </c>
      <c r="Q153" s="8">
        <f>IF(Parameters!$G$29="y",IF(INT($P153/Parameters!$K$29)&gt;INT($P152/Parameters!$K$29),1,0),0)</f>
        <v>0</v>
      </c>
      <c r="R153" s="8">
        <f>IF(Parameters!$G$30="y",IF(INT($P153/Parameters!$K$30)&gt;INT($P152/Parameters!$K$30),1,0),0)</f>
        <v>0</v>
      </c>
      <c r="S153" s="8">
        <f>IF(INT($P153/Parameters!$K$31)&gt;INT($P152/Parameters!$K$31),1,0)</f>
        <v>0</v>
      </c>
      <c r="T153" s="76">
        <f t="shared" si="0"/>
        <v>0</v>
      </c>
      <c r="U153" s="8">
        <f>C152/'Pump Data'!$L$21*1000/60</f>
        <v>0.41980824723075483</v>
      </c>
      <c r="V153" s="8"/>
      <c r="W153" s="8"/>
    </row>
    <row r="154" spans="1:23" ht="14.25" x14ac:dyDescent="0.45">
      <c r="A154" s="125">
        <v>41782</v>
      </c>
      <c r="B154" s="126">
        <v>0.8</v>
      </c>
      <c r="C154" s="127">
        <f t="shared" si="1"/>
        <v>8.8000000000000009E-2</v>
      </c>
      <c r="D154" s="127">
        <f t="shared" si="2"/>
        <v>0.64100000000000001</v>
      </c>
      <c r="E154" s="127">
        <f t="shared" si="13"/>
        <v>38.419000000000047</v>
      </c>
      <c r="F154" s="130">
        <f>Parameters!$B$32*'Pump Data'!$L$21^2+Parameters!$B$33*'Pump Data'!$L$21+Parameters!$B$34</f>
        <v>115.93397007999999</v>
      </c>
      <c r="G154" s="130">
        <f t="shared" si="3"/>
        <v>16.21952083660566</v>
      </c>
      <c r="H154" s="131">
        <f t="shared" si="4"/>
        <v>1.6219520836605661E-2</v>
      </c>
      <c r="I154" s="126">
        <f t="shared" si="5"/>
        <v>440.00000000000011</v>
      </c>
      <c r="J154" s="126">
        <f t="shared" si="6"/>
        <v>0.44000000000000011</v>
      </c>
      <c r="K154" s="126">
        <f t="shared" si="7"/>
        <v>880000.00000000023</v>
      </c>
      <c r="L154" s="131">
        <f t="shared" si="8"/>
        <v>0.88000000000000023</v>
      </c>
      <c r="M154" s="126">
        <f t="shared" si="9"/>
        <v>864</v>
      </c>
      <c r="N154" s="131">
        <f t="shared" si="10"/>
        <v>3.1103999999999998</v>
      </c>
      <c r="O154" s="131">
        <f t="shared" si="11"/>
        <v>4.0066195208366056</v>
      </c>
      <c r="P154" s="8">
        <f t="shared" si="12"/>
        <v>112286.99999999999</v>
      </c>
      <c r="Q154" s="8">
        <f>IF(Parameters!$G$29="y",IF(INT($P154/Parameters!$K$29)&gt;INT($P153/Parameters!$K$29),1,0),0)</f>
        <v>0</v>
      </c>
      <c r="R154" s="8">
        <f>IF(Parameters!$G$30="y",IF(INT($P154/Parameters!$K$30)&gt;INT($P153/Parameters!$K$30),1,0),0)</f>
        <v>0</v>
      </c>
      <c r="S154" s="8">
        <f>IF(INT($P154/Parameters!$K$31)&gt;INT($P153/Parameters!$K$31),1,0)</f>
        <v>0</v>
      </c>
      <c r="T154" s="76">
        <f t="shared" si="0"/>
        <v>0</v>
      </c>
      <c r="U154" s="8">
        <f>C153/'Pump Data'!$L$21*1000/60</f>
        <v>1.1635483570697196</v>
      </c>
      <c r="V154" s="8"/>
      <c r="W154" s="8"/>
    </row>
    <row r="155" spans="1:23" ht="14.25" x14ac:dyDescent="0.45">
      <c r="A155" s="125">
        <v>41783</v>
      </c>
      <c r="B155" s="126">
        <v>5.2</v>
      </c>
      <c r="C155" s="127">
        <f t="shared" si="1"/>
        <v>0.57199999999999995</v>
      </c>
      <c r="D155" s="127">
        <f t="shared" si="2"/>
        <v>0.64100000000000001</v>
      </c>
      <c r="E155" s="127">
        <f t="shared" si="13"/>
        <v>38.350000000000051</v>
      </c>
      <c r="F155" s="130">
        <f>Parameters!$B$32*'Pump Data'!$L$21^2+Parameters!$B$33*'Pump Data'!$L$21+Parameters!$B$34</f>
        <v>115.93397007999999</v>
      </c>
      <c r="G155" s="130">
        <f t="shared" si="3"/>
        <v>105.42688543793679</v>
      </c>
      <c r="H155" s="131">
        <f t="shared" si="4"/>
        <v>0.1054268854379368</v>
      </c>
      <c r="I155" s="126">
        <f t="shared" si="5"/>
        <v>2860</v>
      </c>
      <c r="J155" s="126">
        <f t="shared" si="6"/>
        <v>2.86</v>
      </c>
      <c r="K155" s="126">
        <f t="shared" si="7"/>
        <v>5720000</v>
      </c>
      <c r="L155" s="131">
        <f t="shared" si="8"/>
        <v>5.72</v>
      </c>
      <c r="M155" s="126">
        <f t="shared" si="9"/>
        <v>864</v>
      </c>
      <c r="N155" s="131">
        <f t="shared" si="10"/>
        <v>3.1103999999999998</v>
      </c>
      <c r="O155" s="131">
        <f t="shared" si="11"/>
        <v>8.9358268854379368</v>
      </c>
      <c r="P155" s="8">
        <f t="shared" si="12"/>
        <v>112859</v>
      </c>
      <c r="Q155" s="8">
        <f>IF(Parameters!$G$29="y",IF(INT($P155/Parameters!$K$29)&gt;INT($P154/Parameters!$K$29),1,0),0)</f>
        <v>0</v>
      </c>
      <c r="R155" s="8">
        <f>IF(Parameters!$G$30="y",IF(INT($P155/Parameters!$K$30)&gt;INT($P154/Parameters!$K$30),1,0),0)</f>
        <v>0</v>
      </c>
      <c r="S155" s="8">
        <f>IF(INT($P155/Parameters!$K$31)&gt;INT($P154/Parameters!$K$31),1,0)</f>
        <v>0</v>
      </c>
      <c r="T155" s="76">
        <f t="shared" si="0"/>
        <v>0</v>
      </c>
      <c r="U155" s="8">
        <f>C154/'Pump Data'!$L$21*1000/60</f>
        <v>4.0956902168854142E-2</v>
      </c>
      <c r="V155" s="8"/>
      <c r="W155" s="8"/>
    </row>
    <row r="156" spans="1:23" ht="14.25" x14ac:dyDescent="0.45">
      <c r="A156" s="125">
        <v>41784</v>
      </c>
      <c r="B156" s="126">
        <v>23.4</v>
      </c>
      <c r="C156" s="127">
        <f t="shared" si="1"/>
        <v>2.5</v>
      </c>
      <c r="D156" s="127">
        <f t="shared" si="2"/>
        <v>0.64100000000000001</v>
      </c>
      <c r="E156" s="127">
        <f t="shared" si="13"/>
        <v>40.209000000000053</v>
      </c>
      <c r="F156" s="130">
        <f>Parameters!$B$32*'Pump Data'!$L$21^2+Parameters!$B$33*'Pump Data'!$L$21+Parameters!$B$34</f>
        <v>115.93397007999999</v>
      </c>
      <c r="G156" s="130">
        <f t="shared" si="3"/>
        <v>460.7818419490244</v>
      </c>
      <c r="H156" s="131">
        <f t="shared" si="4"/>
        <v>0.46078184194902438</v>
      </c>
      <c r="I156" s="126">
        <f t="shared" si="5"/>
        <v>12500</v>
      </c>
      <c r="J156" s="126">
        <f t="shared" si="6"/>
        <v>12.5</v>
      </c>
      <c r="K156" s="126">
        <f t="shared" si="7"/>
        <v>25000000</v>
      </c>
      <c r="L156" s="131">
        <f t="shared" si="8"/>
        <v>25</v>
      </c>
      <c r="M156" s="126">
        <f t="shared" si="9"/>
        <v>864</v>
      </c>
      <c r="N156" s="131">
        <f t="shared" si="10"/>
        <v>3.1103999999999998</v>
      </c>
      <c r="O156" s="131">
        <f t="shared" si="11"/>
        <v>28.571181841949024</v>
      </c>
      <c r="P156" s="8">
        <f t="shared" si="12"/>
        <v>115359</v>
      </c>
      <c r="Q156" s="8">
        <f>IF(Parameters!$G$29="y",IF(INT($P156/Parameters!$K$29)&gt;INT($P155/Parameters!$K$29),1,0),0)</f>
        <v>0</v>
      </c>
      <c r="R156" s="8">
        <f>IF(Parameters!$G$30="y",IF(INT($P156/Parameters!$K$30)&gt;INT($P155/Parameters!$K$30),1,0),0)</f>
        <v>0</v>
      </c>
      <c r="S156" s="8">
        <f>IF(INT($P156/Parameters!$K$31)&gt;INT($P155/Parameters!$K$31),1,0)</f>
        <v>0</v>
      </c>
      <c r="T156" s="76">
        <f t="shared" si="0"/>
        <v>0</v>
      </c>
      <c r="U156" s="8">
        <f>C155/'Pump Data'!$L$21*1000/60</f>
        <v>0.26621986409755183</v>
      </c>
      <c r="V156" s="8"/>
      <c r="W156" s="8"/>
    </row>
    <row r="157" spans="1:23" ht="14.25" x14ac:dyDescent="0.45">
      <c r="A157" s="125">
        <v>41785</v>
      </c>
      <c r="B157" s="126">
        <v>0</v>
      </c>
      <c r="C157" s="127">
        <f t="shared" si="1"/>
        <v>0</v>
      </c>
      <c r="D157" s="127">
        <f t="shared" si="2"/>
        <v>0.64100000000000001</v>
      </c>
      <c r="E157" s="127">
        <f t="shared" si="13"/>
        <v>39.568000000000055</v>
      </c>
      <c r="F157" s="130">
        <f>Parameters!$B$32*'Pump Data'!$L$21^2+Parameters!$B$33*'Pump Data'!$L$21+Parameters!$B$34</f>
        <v>115.93397007999999</v>
      </c>
      <c r="G157" s="130">
        <f t="shared" si="3"/>
        <v>0</v>
      </c>
      <c r="H157" s="131">
        <f t="shared" si="4"/>
        <v>0</v>
      </c>
      <c r="I157" s="126">
        <f t="shared" si="5"/>
        <v>0</v>
      </c>
      <c r="J157" s="126">
        <f t="shared" si="6"/>
        <v>0</v>
      </c>
      <c r="K157" s="126">
        <f t="shared" si="7"/>
        <v>0</v>
      </c>
      <c r="L157" s="131">
        <f t="shared" si="8"/>
        <v>0</v>
      </c>
      <c r="M157" s="126">
        <f t="shared" si="9"/>
        <v>864</v>
      </c>
      <c r="N157" s="131">
        <f t="shared" si="10"/>
        <v>3.1103999999999998</v>
      </c>
      <c r="O157" s="131">
        <f t="shared" si="11"/>
        <v>3.1103999999999998</v>
      </c>
      <c r="P157" s="8">
        <f t="shared" si="12"/>
        <v>115359</v>
      </c>
      <c r="Q157" s="8">
        <f>IF(Parameters!$G$29="y",IF(INT($P157/Parameters!$K$29)&gt;INT($P156/Parameters!$K$29),1,0),0)</f>
        <v>0</v>
      </c>
      <c r="R157" s="8">
        <f>IF(Parameters!$G$30="y",IF(INT($P157/Parameters!$K$30)&gt;INT($P156/Parameters!$K$30),1,0),0)</f>
        <v>0</v>
      </c>
      <c r="S157" s="8">
        <f>IF(INT($P157/Parameters!$K$31)&gt;INT($P156/Parameters!$K$31),1,0)</f>
        <v>0</v>
      </c>
      <c r="T157" s="76">
        <f t="shared" si="0"/>
        <v>0</v>
      </c>
      <c r="U157" s="8">
        <f>C156/'Pump Data'!$L$21*1000/60</f>
        <v>1.1635483570697196</v>
      </c>
      <c r="V157" s="8"/>
      <c r="W157" s="8"/>
    </row>
    <row r="158" spans="1:23" ht="14.25" x14ac:dyDescent="0.45">
      <c r="A158" s="125">
        <v>41786</v>
      </c>
      <c r="B158" s="126">
        <v>4.4000000000000004</v>
      </c>
      <c r="C158" s="127">
        <f t="shared" si="1"/>
        <v>0.48400000000000004</v>
      </c>
      <c r="D158" s="127">
        <f t="shared" si="2"/>
        <v>0.64100000000000001</v>
      </c>
      <c r="E158" s="127">
        <f t="shared" si="13"/>
        <v>39.411000000000058</v>
      </c>
      <c r="F158" s="130">
        <f>Parameters!$B$32*'Pump Data'!$L$21^2+Parameters!$B$33*'Pump Data'!$L$21+Parameters!$B$34</f>
        <v>115.93397007999999</v>
      </c>
      <c r="G158" s="130">
        <f t="shared" si="3"/>
        <v>89.207364601331136</v>
      </c>
      <c r="H158" s="131">
        <f t="shared" si="4"/>
        <v>8.9207364601331135E-2</v>
      </c>
      <c r="I158" s="126">
        <f t="shared" si="5"/>
        <v>2420.0000000000005</v>
      </c>
      <c r="J158" s="126">
        <f t="shared" si="6"/>
        <v>2.4200000000000004</v>
      </c>
      <c r="K158" s="126">
        <f t="shared" si="7"/>
        <v>4840000.0000000009</v>
      </c>
      <c r="L158" s="131">
        <f t="shared" si="8"/>
        <v>4.8400000000000007</v>
      </c>
      <c r="M158" s="126">
        <f t="shared" si="9"/>
        <v>864</v>
      </c>
      <c r="N158" s="131">
        <f t="shared" si="10"/>
        <v>3.1103999999999998</v>
      </c>
      <c r="O158" s="131">
        <f t="shared" si="11"/>
        <v>8.0396073646013324</v>
      </c>
      <c r="P158" s="8">
        <f t="shared" si="12"/>
        <v>115842.99999999999</v>
      </c>
      <c r="Q158" s="8">
        <f>IF(Parameters!$G$29="y",IF(INT($P158/Parameters!$K$29)&gt;INT($P157/Parameters!$K$29),1,0),0)</f>
        <v>0</v>
      </c>
      <c r="R158" s="8">
        <f>IF(Parameters!$G$30="y",IF(INT($P158/Parameters!$K$30)&gt;INT($P157/Parameters!$K$30),1,0),0)</f>
        <v>0</v>
      </c>
      <c r="S158" s="8">
        <f>IF(INT($P158/Parameters!$K$31)&gt;INT($P157/Parameters!$K$31),1,0)</f>
        <v>0</v>
      </c>
      <c r="T158" s="76">
        <f t="shared" si="0"/>
        <v>0</v>
      </c>
      <c r="U158" s="8">
        <f>C157/'Pump Data'!$L$21*1000/60</f>
        <v>0</v>
      </c>
      <c r="V158" s="8"/>
      <c r="W158" s="8"/>
    </row>
    <row r="159" spans="1:23" ht="14.25" x14ac:dyDescent="0.45">
      <c r="A159" s="125">
        <v>41787</v>
      </c>
      <c r="B159" s="126">
        <v>0</v>
      </c>
      <c r="C159" s="127">
        <f t="shared" si="1"/>
        <v>0</v>
      </c>
      <c r="D159" s="127">
        <f t="shared" si="2"/>
        <v>0.64100000000000001</v>
      </c>
      <c r="E159" s="127">
        <f t="shared" si="13"/>
        <v>38.77000000000006</v>
      </c>
      <c r="F159" s="130">
        <f>Parameters!$B$32*'Pump Data'!$L$21^2+Parameters!$B$33*'Pump Data'!$L$21+Parameters!$B$34</f>
        <v>115.93397007999999</v>
      </c>
      <c r="G159" s="130">
        <f t="shared" si="3"/>
        <v>0</v>
      </c>
      <c r="H159" s="131">
        <f t="shared" si="4"/>
        <v>0</v>
      </c>
      <c r="I159" s="126">
        <f t="shared" si="5"/>
        <v>0</v>
      </c>
      <c r="J159" s="126">
        <f t="shared" si="6"/>
        <v>0</v>
      </c>
      <c r="K159" s="126">
        <f t="shared" si="7"/>
        <v>0</v>
      </c>
      <c r="L159" s="131">
        <f t="shared" si="8"/>
        <v>0</v>
      </c>
      <c r="M159" s="126">
        <f t="shared" si="9"/>
        <v>864</v>
      </c>
      <c r="N159" s="131">
        <f t="shared" si="10"/>
        <v>3.1103999999999998</v>
      </c>
      <c r="O159" s="131">
        <f t="shared" si="11"/>
        <v>3.1103999999999998</v>
      </c>
      <c r="P159" s="8">
        <f t="shared" si="12"/>
        <v>115842.99999999999</v>
      </c>
      <c r="Q159" s="8">
        <f>IF(Parameters!$G$29="y",IF(INT($P159/Parameters!$K$29)&gt;INT($P158/Parameters!$K$29),1,0),0)</f>
        <v>0</v>
      </c>
      <c r="R159" s="8">
        <f>IF(Parameters!$G$30="y",IF(INT($P159/Parameters!$K$30)&gt;INT($P158/Parameters!$K$30),1,0),0)</f>
        <v>0</v>
      </c>
      <c r="S159" s="8">
        <f>IF(INT($P159/Parameters!$K$31)&gt;INT($P158/Parameters!$K$31),1,0)</f>
        <v>0</v>
      </c>
      <c r="T159" s="76">
        <f t="shared" si="0"/>
        <v>0</v>
      </c>
      <c r="U159" s="8">
        <f>C158/'Pump Data'!$L$21*1000/60</f>
        <v>0.22526296192869777</v>
      </c>
      <c r="V159" s="8"/>
      <c r="W159" s="8"/>
    </row>
    <row r="160" spans="1:23" ht="14.25" x14ac:dyDescent="0.45">
      <c r="A160" s="125">
        <v>41788</v>
      </c>
      <c r="B160" s="126">
        <v>0</v>
      </c>
      <c r="C160" s="127">
        <f t="shared" si="1"/>
        <v>0</v>
      </c>
      <c r="D160" s="127">
        <f t="shared" si="2"/>
        <v>0.64100000000000001</v>
      </c>
      <c r="E160" s="127">
        <f t="shared" si="13"/>
        <v>38.129000000000062</v>
      </c>
      <c r="F160" s="130">
        <f>Parameters!$B$32*'Pump Data'!$L$21^2+Parameters!$B$33*'Pump Data'!$L$21+Parameters!$B$34</f>
        <v>115.93397007999999</v>
      </c>
      <c r="G160" s="130">
        <f t="shared" si="3"/>
        <v>0</v>
      </c>
      <c r="H160" s="131">
        <f t="shared" si="4"/>
        <v>0</v>
      </c>
      <c r="I160" s="126">
        <f t="shared" si="5"/>
        <v>0</v>
      </c>
      <c r="J160" s="126">
        <f t="shared" si="6"/>
        <v>0</v>
      </c>
      <c r="K160" s="126">
        <f t="shared" si="7"/>
        <v>0</v>
      </c>
      <c r="L160" s="131">
        <f t="shared" si="8"/>
        <v>0</v>
      </c>
      <c r="M160" s="126">
        <f t="shared" si="9"/>
        <v>864</v>
      </c>
      <c r="N160" s="131">
        <f t="shared" si="10"/>
        <v>3.1103999999999998</v>
      </c>
      <c r="O160" s="131">
        <f t="shared" si="11"/>
        <v>3.1103999999999998</v>
      </c>
      <c r="P160" s="8">
        <f t="shared" si="12"/>
        <v>115842.99999999999</v>
      </c>
      <c r="Q160" s="8">
        <f>IF(Parameters!$G$29="y",IF(INT($P160/Parameters!$K$29)&gt;INT($P159/Parameters!$K$29),1,0),0)</f>
        <v>0</v>
      </c>
      <c r="R160" s="8">
        <f>IF(Parameters!$G$30="y",IF(INT($P160/Parameters!$K$30)&gt;INT($P159/Parameters!$K$30),1,0),0)</f>
        <v>0</v>
      </c>
      <c r="S160" s="8">
        <f>IF(INT($P160/Parameters!$K$31)&gt;INT($P159/Parameters!$K$31),1,0)</f>
        <v>0</v>
      </c>
      <c r="T160" s="76">
        <f t="shared" si="0"/>
        <v>0</v>
      </c>
      <c r="U160" s="8">
        <f>C159/'Pump Data'!$L$21*1000/60</f>
        <v>0</v>
      </c>
      <c r="V160" s="8"/>
      <c r="W160" s="8"/>
    </row>
    <row r="161" spans="1:23" ht="14.25" x14ac:dyDescent="0.45">
      <c r="A161" s="125">
        <v>41789</v>
      </c>
      <c r="B161" s="126">
        <v>0</v>
      </c>
      <c r="C161" s="127">
        <f t="shared" si="1"/>
        <v>0</v>
      </c>
      <c r="D161" s="127">
        <f t="shared" si="2"/>
        <v>0.64100000000000001</v>
      </c>
      <c r="E161" s="127">
        <f t="shared" si="13"/>
        <v>37.488000000000063</v>
      </c>
      <c r="F161" s="130">
        <f>Parameters!$B$32*'Pump Data'!$L$21^2+Parameters!$B$33*'Pump Data'!$L$21+Parameters!$B$34</f>
        <v>115.93397007999999</v>
      </c>
      <c r="G161" s="130">
        <f t="shared" si="3"/>
        <v>0</v>
      </c>
      <c r="H161" s="131">
        <f t="shared" si="4"/>
        <v>0</v>
      </c>
      <c r="I161" s="126">
        <f t="shared" si="5"/>
        <v>0</v>
      </c>
      <c r="J161" s="126">
        <f t="shared" si="6"/>
        <v>0</v>
      </c>
      <c r="K161" s="126">
        <f t="shared" si="7"/>
        <v>0</v>
      </c>
      <c r="L161" s="131">
        <f t="shared" si="8"/>
        <v>0</v>
      </c>
      <c r="M161" s="126">
        <f t="shared" si="9"/>
        <v>864</v>
      </c>
      <c r="N161" s="131">
        <f t="shared" si="10"/>
        <v>3.1103999999999998</v>
      </c>
      <c r="O161" s="131">
        <f t="shared" si="11"/>
        <v>3.1103999999999998</v>
      </c>
      <c r="P161" s="8">
        <f t="shared" si="12"/>
        <v>115842.99999999999</v>
      </c>
      <c r="Q161" s="8">
        <f>IF(Parameters!$G$29="y",IF(INT($P161/Parameters!$K$29)&gt;INT($P160/Parameters!$K$29),1,0),0)</f>
        <v>0</v>
      </c>
      <c r="R161" s="8">
        <f>IF(Parameters!$G$30="y",IF(INT($P161/Parameters!$K$30)&gt;INT($P160/Parameters!$K$30),1,0),0)</f>
        <v>0</v>
      </c>
      <c r="S161" s="8">
        <f>IF(INT($P161/Parameters!$K$31)&gt;INT($P160/Parameters!$K$31),1,0)</f>
        <v>0</v>
      </c>
      <c r="T161" s="76">
        <f t="shared" si="0"/>
        <v>0</v>
      </c>
      <c r="U161" s="8">
        <f>C160/'Pump Data'!$L$21*1000/60</f>
        <v>0</v>
      </c>
      <c r="V161" s="8"/>
      <c r="W161" s="8"/>
    </row>
    <row r="162" spans="1:23" ht="14.25" x14ac:dyDescent="0.45">
      <c r="A162" s="125">
        <v>41790</v>
      </c>
      <c r="B162" s="126">
        <v>0</v>
      </c>
      <c r="C162" s="127">
        <f t="shared" si="1"/>
        <v>0</v>
      </c>
      <c r="D162" s="127">
        <f t="shared" si="2"/>
        <v>0.64100000000000001</v>
      </c>
      <c r="E162" s="127">
        <f t="shared" si="13"/>
        <v>36.847000000000065</v>
      </c>
      <c r="F162" s="130">
        <f>Parameters!$B$32*'Pump Data'!$L$21^2+Parameters!$B$33*'Pump Data'!$L$21+Parameters!$B$34</f>
        <v>115.93397007999999</v>
      </c>
      <c r="G162" s="130">
        <f t="shared" si="3"/>
        <v>0</v>
      </c>
      <c r="H162" s="131">
        <f t="shared" si="4"/>
        <v>0</v>
      </c>
      <c r="I162" s="126">
        <f t="shared" si="5"/>
        <v>0</v>
      </c>
      <c r="J162" s="126">
        <f t="shared" si="6"/>
        <v>0</v>
      </c>
      <c r="K162" s="126">
        <f t="shared" si="7"/>
        <v>0</v>
      </c>
      <c r="L162" s="131">
        <f t="shared" si="8"/>
        <v>0</v>
      </c>
      <c r="M162" s="126">
        <f t="shared" si="9"/>
        <v>864</v>
      </c>
      <c r="N162" s="131">
        <f t="shared" si="10"/>
        <v>3.1103999999999998</v>
      </c>
      <c r="O162" s="131">
        <f t="shared" si="11"/>
        <v>3.1103999999999998</v>
      </c>
      <c r="P162" s="8">
        <f t="shared" si="12"/>
        <v>115842.99999999999</v>
      </c>
      <c r="Q162" s="8">
        <f>IF(Parameters!$G$29="y",IF(INT($P162/Parameters!$K$29)&gt;INT($P161/Parameters!$K$29),1,0),0)</f>
        <v>0</v>
      </c>
      <c r="R162" s="8">
        <f>IF(Parameters!$G$30="y",IF(INT($P162/Parameters!$K$30)&gt;INT($P161/Parameters!$K$30),1,0),0)</f>
        <v>0</v>
      </c>
      <c r="S162" s="8">
        <f>IF(INT($P162/Parameters!$K$31)&gt;INT($P161/Parameters!$K$31),1,0)</f>
        <v>0</v>
      </c>
      <c r="T162" s="76">
        <f t="shared" si="0"/>
        <v>0</v>
      </c>
      <c r="U162" s="8">
        <f>C161/'Pump Data'!$L$21*1000/60</f>
        <v>0</v>
      </c>
      <c r="V162" s="8"/>
      <c r="W162" s="8"/>
    </row>
    <row r="163" spans="1:23" ht="14.25" x14ac:dyDescent="0.45">
      <c r="A163" s="125">
        <v>41791</v>
      </c>
      <c r="B163" s="126">
        <v>0</v>
      </c>
      <c r="C163" s="127">
        <f t="shared" si="1"/>
        <v>0</v>
      </c>
      <c r="D163" s="127">
        <f t="shared" si="2"/>
        <v>0.64100000000000001</v>
      </c>
      <c r="E163" s="127">
        <f t="shared" si="13"/>
        <v>36.206000000000067</v>
      </c>
      <c r="F163" s="130">
        <f>Parameters!$B$32*'Pump Data'!$L$21^2+Parameters!$B$33*'Pump Data'!$L$21+Parameters!$B$34</f>
        <v>115.93397007999999</v>
      </c>
      <c r="G163" s="130">
        <f t="shared" si="3"/>
        <v>0</v>
      </c>
      <c r="H163" s="131">
        <f t="shared" si="4"/>
        <v>0</v>
      </c>
      <c r="I163" s="126">
        <f t="shared" si="5"/>
        <v>0</v>
      </c>
      <c r="J163" s="126">
        <f t="shared" si="6"/>
        <v>0</v>
      </c>
      <c r="K163" s="126">
        <f t="shared" si="7"/>
        <v>0</v>
      </c>
      <c r="L163" s="131">
        <f t="shared" si="8"/>
        <v>0</v>
      </c>
      <c r="M163" s="126">
        <f t="shared" si="9"/>
        <v>864</v>
      </c>
      <c r="N163" s="131">
        <f t="shared" si="10"/>
        <v>3.1103999999999998</v>
      </c>
      <c r="O163" s="131">
        <f t="shared" si="11"/>
        <v>3.1103999999999998</v>
      </c>
      <c r="P163" s="8">
        <f t="shared" si="12"/>
        <v>115842.99999999999</v>
      </c>
      <c r="Q163" s="8">
        <f>IF(Parameters!$G$29="y",IF(INT($P163/Parameters!$K$29)&gt;INT($P162/Parameters!$K$29),1,0),0)</f>
        <v>0</v>
      </c>
      <c r="R163" s="8">
        <f>IF(Parameters!$G$30="y",IF(INT($P163/Parameters!$K$30)&gt;INT($P162/Parameters!$K$30),1,0),0)</f>
        <v>0</v>
      </c>
      <c r="S163" s="8">
        <f>IF(INT($P163/Parameters!$K$31)&gt;INT($P162/Parameters!$K$31),1,0)</f>
        <v>0</v>
      </c>
      <c r="T163" s="76">
        <f t="shared" si="0"/>
        <v>0</v>
      </c>
      <c r="U163" s="8">
        <f>C162/'Pump Data'!$L$21*1000/60</f>
        <v>0</v>
      </c>
      <c r="V163" s="8"/>
      <c r="W163" s="8"/>
    </row>
    <row r="164" spans="1:23" ht="14.25" x14ac:dyDescent="0.45">
      <c r="A164" s="125">
        <v>41792</v>
      </c>
      <c r="B164" s="126">
        <v>0</v>
      </c>
      <c r="C164" s="127">
        <f t="shared" si="1"/>
        <v>0</v>
      </c>
      <c r="D164" s="127">
        <f t="shared" si="2"/>
        <v>0.64100000000000001</v>
      </c>
      <c r="E164" s="127">
        <f t="shared" si="13"/>
        <v>35.565000000000069</v>
      </c>
      <c r="F164" s="130">
        <f>Parameters!$B$32*'Pump Data'!$L$21^2+Parameters!$B$33*'Pump Data'!$L$21+Parameters!$B$34</f>
        <v>115.93397007999999</v>
      </c>
      <c r="G164" s="130">
        <f t="shared" si="3"/>
        <v>0</v>
      </c>
      <c r="H164" s="131">
        <f t="shared" si="4"/>
        <v>0</v>
      </c>
      <c r="I164" s="126">
        <f t="shared" si="5"/>
        <v>0</v>
      </c>
      <c r="J164" s="126">
        <f t="shared" si="6"/>
        <v>0</v>
      </c>
      <c r="K164" s="126">
        <f t="shared" si="7"/>
        <v>0</v>
      </c>
      <c r="L164" s="131">
        <f t="shared" si="8"/>
        <v>0</v>
      </c>
      <c r="M164" s="126">
        <f t="shared" si="9"/>
        <v>864</v>
      </c>
      <c r="N164" s="131">
        <f t="shared" si="10"/>
        <v>3.1103999999999998</v>
      </c>
      <c r="O164" s="131">
        <f t="shared" si="11"/>
        <v>3.1103999999999998</v>
      </c>
      <c r="P164" s="8">
        <f t="shared" si="12"/>
        <v>115842.99999999999</v>
      </c>
      <c r="Q164" s="8">
        <f>IF(Parameters!$G$29="y",IF(INT($P164/Parameters!$K$29)&gt;INT($P163/Parameters!$K$29),1,0),0)</f>
        <v>0</v>
      </c>
      <c r="R164" s="8">
        <f>IF(Parameters!$G$30="y",IF(INT($P164/Parameters!$K$30)&gt;INT($P163/Parameters!$K$30),1,0),0)</f>
        <v>0</v>
      </c>
      <c r="S164" s="8">
        <f>IF(INT($P164/Parameters!$K$31)&gt;INT($P163/Parameters!$K$31),1,0)</f>
        <v>0</v>
      </c>
      <c r="T164" s="76">
        <f t="shared" si="0"/>
        <v>0</v>
      </c>
      <c r="U164" s="8">
        <f>C163/'Pump Data'!$L$21*1000/60</f>
        <v>0</v>
      </c>
      <c r="V164" s="8"/>
      <c r="W164" s="8"/>
    </row>
    <row r="165" spans="1:23" ht="14.25" x14ac:dyDescent="0.45">
      <c r="A165" s="125">
        <v>41793</v>
      </c>
      <c r="B165" s="126">
        <v>0</v>
      </c>
      <c r="C165" s="127">
        <f t="shared" si="1"/>
        <v>0</v>
      </c>
      <c r="D165" s="127">
        <f t="shared" si="2"/>
        <v>0.64100000000000001</v>
      </c>
      <c r="E165" s="127">
        <f t="shared" si="13"/>
        <v>34.924000000000071</v>
      </c>
      <c r="F165" s="130">
        <f>Parameters!$B$32*'Pump Data'!$L$21^2+Parameters!$B$33*'Pump Data'!$L$21+Parameters!$B$34</f>
        <v>115.93397007999999</v>
      </c>
      <c r="G165" s="130">
        <f t="shared" si="3"/>
        <v>0</v>
      </c>
      <c r="H165" s="131">
        <f t="shared" si="4"/>
        <v>0</v>
      </c>
      <c r="I165" s="126">
        <f t="shared" si="5"/>
        <v>0</v>
      </c>
      <c r="J165" s="126">
        <f t="shared" si="6"/>
        <v>0</v>
      </c>
      <c r="K165" s="126">
        <f t="shared" si="7"/>
        <v>0</v>
      </c>
      <c r="L165" s="131">
        <f t="shared" si="8"/>
        <v>0</v>
      </c>
      <c r="M165" s="126">
        <f t="shared" si="9"/>
        <v>864</v>
      </c>
      <c r="N165" s="131">
        <f t="shared" si="10"/>
        <v>3.1103999999999998</v>
      </c>
      <c r="O165" s="131">
        <f t="shared" si="11"/>
        <v>3.1103999999999998</v>
      </c>
      <c r="P165" s="8">
        <f t="shared" si="12"/>
        <v>115842.99999999999</v>
      </c>
      <c r="Q165" s="8">
        <f>IF(Parameters!$G$29="y",IF(INT($P165/Parameters!$K$29)&gt;INT($P164/Parameters!$K$29),1,0),0)</f>
        <v>0</v>
      </c>
      <c r="R165" s="8">
        <f>IF(Parameters!$G$30="y",IF(INT($P165/Parameters!$K$30)&gt;INT($P164/Parameters!$K$30),1,0),0)</f>
        <v>0</v>
      </c>
      <c r="S165" s="8">
        <f>IF(INT($P165/Parameters!$K$31)&gt;INT($P164/Parameters!$K$31),1,0)</f>
        <v>0</v>
      </c>
      <c r="T165" s="76">
        <f t="shared" si="0"/>
        <v>0</v>
      </c>
      <c r="U165" s="8">
        <f>C164/'Pump Data'!$L$21*1000/60</f>
        <v>0</v>
      </c>
      <c r="V165" s="8"/>
      <c r="W165" s="8"/>
    </row>
    <row r="166" spans="1:23" ht="14.25" x14ac:dyDescent="0.45">
      <c r="A166" s="125">
        <v>41794</v>
      </c>
      <c r="B166" s="126">
        <v>0</v>
      </c>
      <c r="C166" s="127">
        <f t="shared" si="1"/>
        <v>0</v>
      </c>
      <c r="D166" s="127">
        <f t="shared" si="2"/>
        <v>0.64100000000000001</v>
      </c>
      <c r="E166" s="127">
        <f t="shared" si="13"/>
        <v>34.283000000000072</v>
      </c>
      <c r="F166" s="130">
        <f>Parameters!$B$32*'Pump Data'!$L$21^2+Parameters!$B$33*'Pump Data'!$L$21+Parameters!$B$34</f>
        <v>115.93397007999999</v>
      </c>
      <c r="G166" s="130">
        <f t="shared" si="3"/>
        <v>0</v>
      </c>
      <c r="H166" s="131">
        <f t="shared" si="4"/>
        <v>0</v>
      </c>
      <c r="I166" s="126">
        <f t="shared" si="5"/>
        <v>0</v>
      </c>
      <c r="J166" s="126">
        <f t="shared" si="6"/>
        <v>0</v>
      </c>
      <c r="K166" s="126">
        <f t="shared" si="7"/>
        <v>0</v>
      </c>
      <c r="L166" s="131">
        <f t="shared" si="8"/>
        <v>0</v>
      </c>
      <c r="M166" s="126">
        <f t="shared" si="9"/>
        <v>864</v>
      </c>
      <c r="N166" s="131">
        <f t="shared" si="10"/>
        <v>3.1103999999999998</v>
      </c>
      <c r="O166" s="131">
        <f t="shared" si="11"/>
        <v>3.1103999999999998</v>
      </c>
      <c r="P166" s="8">
        <f t="shared" si="12"/>
        <v>115842.99999999999</v>
      </c>
      <c r="Q166" s="8">
        <f>IF(Parameters!$G$29="y",IF(INT($P166/Parameters!$K$29)&gt;INT($P165/Parameters!$K$29),1,0),0)</f>
        <v>0</v>
      </c>
      <c r="R166" s="8">
        <f>IF(Parameters!$G$30="y",IF(INT($P166/Parameters!$K$30)&gt;INT($P165/Parameters!$K$30),1,0),0)</f>
        <v>0</v>
      </c>
      <c r="S166" s="8">
        <f>IF(INT($P166/Parameters!$K$31)&gt;INT($P165/Parameters!$K$31),1,0)</f>
        <v>0</v>
      </c>
      <c r="T166" s="76">
        <f t="shared" si="0"/>
        <v>0</v>
      </c>
      <c r="U166" s="8">
        <f>C165/'Pump Data'!$L$21*1000/60</f>
        <v>0</v>
      </c>
      <c r="V166" s="8"/>
      <c r="W166" s="8"/>
    </row>
    <row r="167" spans="1:23" ht="14.25" x14ac:dyDescent="0.45">
      <c r="A167" s="125">
        <v>41795</v>
      </c>
      <c r="B167" s="126">
        <v>0</v>
      </c>
      <c r="C167" s="127">
        <f t="shared" si="1"/>
        <v>0</v>
      </c>
      <c r="D167" s="127">
        <f t="shared" si="2"/>
        <v>0.64100000000000001</v>
      </c>
      <c r="E167" s="127">
        <f t="shared" si="13"/>
        <v>33.642000000000074</v>
      </c>
      <c r="F167" s="130">
        <f>Parameters!$B$32*'Pump Data'!$L$21^2+Parameters!$B$33*'Pump Data'!$L$21+Parameters!$B$34</f>
        <v>115.93397007999999</v>
      </c>
      <c r="G167" s="130">
        <f t="shared" si="3"/>
        <v>0</v>
      </c>
      <c r="H167" s="131">
        <f t="shared" si="4"/>
        <v>0</v>
      </c>
      <c r="I167" s="126">
        <f t="shared" si="5"/>
        <v>0</v>
      </c>
      <c r="J167" s="126">
        <f t="shared" si="6"/>
        <v>0</v>
      </c>
      <c r="K167" s="126">
        <f t="shared" si="7"/>
        <v>0</v>
      </c>
      <c r="L167" s="131">
        <f t="shared" si="8"/>
        <v>0</v>
      </c>
      <c r="M167" s="126">
        <f t="shared" si="9"/>
        <v>864</v>
      </c>
      <c r="N167" s="131">
        <f t="shared" si="10"/>
        <v>3.1103999999999998</v>
      </c>
      <c r="O167" s="131">
        <f t="shared" si="11"/>
        <v>3.1103999999999998</v>
      </c>
      <c r="P167" s="8">
        <f t="shared" si="12"/>
        <v>115842.99999999999</v>
      </c>
      <c r="Q167" s="8">
        <f>IF(Parameters!$G$29="y",IF(INT($P167/Parameters!$K$29)&gt;INT($P166/Parameters!$K$29),1,0),0)</f>
        <v>0</v>
      </c>
      <c r="R167" s="8">
        <f>IF(Parameters!$G$30="y",IF(INT($P167/Parameters!$K$30)&gt;INT($P166/Parameters!$K$30),1,0),0)</f>
        <v>0</v>
      </c>
      <c r="S167" s="8">
        <f>IF(INT($P167/Parameters!$K$31)&gt;INT($P166/Parameters!$K$31),1,0)</f>
        <v>0</v>
      </c>
      <c r="T167" s="76">
        <f t="shared" si="0"/>
        <v>0</v>
      </c>
      <c r="U167" s="8">
        <f>C166/'Pump Data'!$L$21*1000/60</f>
        <v>0</v>
      </c>
      <c r="V167" s="8"/>
      <c r="W167" s="8"/>
    </row>
    <row r="168" spans="1:23" ht="14.25" x14ac:dyDescent="0.45">
      <c r="A168" s="125">
        <v>41796</v>
      </c>
      <c r="B168" s="126">
        <v>0</v>
      </c>
      <c r="C168" s="127">
        <f t="shared" si="1"/>
        <v>0</v>
      </c>
      <c r="D168" s="127">
        <f t="shared" si="2"/>
        <v>0.64100000000000001</v>
      </c>
      <c r="E168" s="127">
        <f t="shared" si="13"/>
        <v>33.001000000000076</v>
      </c>
      <c r="F168" s="130">
        <f>Parameters!$B$32*'Pump Data'!$L$21^2+Parameters!$B$33*'Pump Data'!$L$21+Parameters!$B$34</f>
        <v>115.93397007999999</v>
      </c>
      <c r="G168" s="130">
        <f t="shared" si="3"/>
        <v>0</v>
      </c>
      <c r="H168" s="131">
        <f t="shared" si="4"/>
        <v>0</v>
      </c>
      <c r="I168" s="126">
        <f t="shared" si="5"/>
        <v>0</v>
      </c>
      <c r="J168" s="126">
        <f t="shared" si="6"/>
        <v>0</v>
      </c>
      <c r="K168" s="126">
        <f t="shared" si="7"/>
        <v>0</v>
      </c>
      <c r="L168" s="131">
        <f t="shared" si="8"/>
        <v>0</v>
      </c>
      <c r="M168" s="126">
        <f t="shared" si="9"/>
        <v>864</v>
      </c>
      <c r="N168" s="131">
        <f t="shared" si="10"/>
        <v>3.1103999999999998</v>
      </c>
      <c r="O168" s="131">
        <f t="shared" si="11"/>
        <v>3.1103999999999998</v>
      </c>
      <c r="P168" s="8">
        <f t="shared" si="12"/>
        <v>115842.99999999999</v>
      </c>
      <c r="Q168" s="8">
        <f>IF(Parameters!$G$29="y",IF(INT($P168/Parameters!$K$29)&gt;INT($P167/Parameters!$K$29),1,0),0)</f>
        <v>0</v>
      </c>
      <c r="R168" s="8">
        <f>IF(Parameters!$G$30="y",IF(INT($P168/Parameters!$K$30)&gt;INT($P167/Parameters!$K$30),1,0),0)</f>
        <v>0</v>
      </c>
      <c r="S168" s="8">
        <f>IF(INT($P168/Parameters!$K$31)&gt;INT($P167/Parameters!$K$31),1,0)</f>
        <v>0</v>
      </c>
      <c r="T168" s="76">
        <f t="shared" si="0"/>
        <v>0</v>
      </c>
      <c r="U168" s="8">
        <f>C167/'Pump Data'!$L$21*1000/60</f>
        <v>0</v>
      </c>
      <c r="V168" s="8"/>
      <c r="W168" s="8"/>
    </row>
    <row r="169" spans="1:23" ht="14.25" x14ac:dyDescent="0.45">
      <c r="A169" s="125">
        <v>41797</v>
      </c>
      <c r="B169" s="126">
        <v>0</v>
      </c>
      <c r="C169" s="127">
        <f t="shared" si="1"/>
        <v>0</v>
      </c>
      <c r="D169" s="127">
        <f t="shared" si="2"/>
        <v>0.64100000000000001</v>
      </c>
      <c r="E169" s="127">
        <f t="shared" si="13"/>
        <v>32.360000000000078</v>
      </c>
      <c r="F169" s="130">
        <f>Parameters!$B$32*'Pump Data'!$L$21^2+Parameters!$B$33*'Pump Data'!$L$21+Parameters!$B$34</f>
        <v>115.93397007999999</v>
      </c>
      <c r="G169" s="130">
        <f t="shared" si="3"/>
        <v>0</v>
      </c>
      <c r="H169" s="131">
        <f t="shared" si="4"/>
        <v>0</v>
      </c>
      <c r="I169" s="126">
        <f t="shared" si="5"/>
        <v>0</v>
      </c>
      <c r="J169" s="126">
        <f t="shared" si="6"/>
        <v>0</v>
      </c>
      <c r="K169" s="126">
        <f t="shared" si="7"/>
        <v>0</v>
      </c>
      <c r="L169" s="131">
        <f t="shared" si="8"/>
        <v>0</v>
      </c>
      <c r="M169" s="126">
        <f t="shared" si="9"/>
        <v>864</v>
      </c>
      <c r="N169" s="131">
        <f t="shared" si="10"/>
        <v>3.1103999999999998</v>
      </c>
      <c r="O169" s="131">
        <f t="shared" si="11"/>
        <v>3.1103999999999998</v>
      </c>
      <c r="P169" s="8">
        <f t="shared" si="12"/>
        <v>115842.99999999999</v>
      </c>
      <c r="Q169" s="8">
        <f>IF(Parameters!$G$29="y",IF(INT($P169/Parameters!$K$29)&gt;INT($P168/Parameters!$K$29),1,0),0)</f>
        <v>0</v>
      </c>
      <c r="R169" s="8">
        <f>IF(Parameters!$G$30="y",IF(INT($P169/Parameters!$K$30)&gt;INT($P168/Parameters!$K$30),1,0),0)</f>
        <v>0</v>
      </c>
      <c r="S169" s="8">
        <f>IF(INT($P169/Parameters!$K$31)&gt;INT($P168/Parameters!$K$31),1,0)</f>
        <v>0</v>
      </c>
      <c r="T169" s="76">
        <f t="shared" si="0"/>
        <v>0</v>
      </c>
      <c r="U169" s="8">
        <f>C168/'Pump Data'!$L$21*1000/60</f>
        <v>0</v>
      </c>
      <c r="V169" s="8"/>
      <c r="W169" s="8"/>
    </row>
    <row r="170" spans="1:23" ht="14.25" x14ac:dyDescent="0.45">
      <c r="A170" s="125">
        <v>41798</v>
      </c>
      <c r="B170" s="126">
        <v>0.2</v>
      </c>
      <c r="C170" s="127">
        <f t="shared" si="1"/>
        <v>2.2000000000000002E-2</v>
      </c>
      <c r="D170" s="127">
        <f t="shared" si="2"/>
        <v>0.64100000000000001</v>
      </c>
      <c r="E170" s="127">
        <f t="shared" si="13"/>
        <v>31.741000000000078</v>
      </c>
      <c r="F170" s="130">
        <f>Parameters!$B$32*'Pump Data'!$L$21^2+Parameters!$B$33*'Pump Data'!$L$21+Parameters!$B$34</f>
        <v>115.93397007999999</v>
      </c>
      <c r="G170" s="130">
        <f t="shared" si="3"/>
        <v>4.0548802091514151</v>
      </c>
      <c r="H170" s="131">
        <f t="shared" si="4"/>
        <v>4.0548802091514152E-3</v>
      </c>
      <c r="I170" s="126">
        <f t="shared" si="5"/>
        <v>110.00000000000003</v>
      </c>
      <c r="J170" s="126">
        <f t="shared" si="6"/>
        <v>0.11000000000000003</v>
      </c>
      <c r="K170" s="126">
        <f t="shared" si="7"/>
        <v>220000.00000000006</v>
      </c>
      <c r="L170" s="131">
        <f t="shared" si="8"/>
        <v>0.22000000000000006</v>
      </c>
      <c r="M170" s="126">
        <f t="shared" si="9"/>
        <v>864</v>
      </c>
      <c r="N170" s="131">
        <f t="shared" si="10"/>
        <v>3.1103999999999998</v>
      </c>
      <c r="O170" s="131">
        <f t="shared" si="11"/>
        <v>3.3344548802091514</v>
      </c>
      <c r="P170" s="8">
        <f t="shared" si="12"/>
        <v>115865</v>
      </c>
      <c r="Q170" s="8">
        <f>IF(Parameters!$G$29="y",IF(INT($P170/Parameters!$K$29)&gt;INT($P169/Parameters!$K$29),1,0),0)</f>
        <v>0</v>
      </c>
      <c r="R170" s="8">
        <f>IF(Parameters!$G$30="y",IF(INT($P170/Parameters!$K$30)&gt;INT($P169/Parameters!$K$30),1,0),0)</f>
        <v>0</v>
      </c>
      <c r="S170" s="8">
        <f>IF(INT($P170/Parameters!$K$31)&gt;INT($P169/Parameters!$K$31),1,0)</f>
        <v>0</v>
      </c>
      <c r="T170" s="76">
        <f t="shared" si="0"/>
        <v>0</v>
      </c>
      <c r="U170" s="8">
        <f>C169/'Pump Data'!$L$21*1000/60</f>
        <v>0</v>
      </c>
      <c r="V170" s="8"/>
      <c r="W170" s="8"/>
    </row>
    <row r="171" spans="1:23" ht="14.25" x14ac:dyDescent="0.45">
      <c r="A171" s="125">
        <v>41799</v>
      </c>
      <c r="B171" s="126">
        <v>0</v>
      </c>
      <c r="C171" s="127">
        <f t="shared" si="1"/>
        <v>0</v>
      </c>
      <c r="D171" s="127">
        <f t="shared" si="2"/>
        <v>0.64100000000000001</v>
      </c>
      <c r="E171" s="127">
        <f t="shared" si="13"/>
        <v>31.10000000000008</v>
      </c>
      <c r="F171" s="130">
        <f>Parameters!$B$32*'Pump Data'!$L$21^2+Parameters!$B$33*'Pump Data'!$L$21+Parameters!$B$34</f>
        <v>115.93397007999999</v>
      </c>
      <c r="G171" s="130">
        <f t="shared" si="3"/>
        <v>0</v>
      </c>
      <c r="H171" s="131">
        <f t="shared" si="4"/>
        <v>0</v>
      </c>
      <c r="I171" s="126">
        <f t="shared" si="5"/>
        <v>0</v>
      </c>
      <c r="J171" s="126">
        <f t="shared" si="6"/>
        <v>0</v>
      </c>
      <c r="K171" s="126">
        <f t="shared" si="7"/>
        <v>0</v>
      </c>
      <c r="L171" s="131">
        <f t="shared" si="8"/>
        <v>0</v>
      </c>
      <c r="M171" s="126">
        <f t="shared" si="9"/>
        <v>864</v>
      </c>
      <c r="N171" s="131">
        <f t="shared" si="10"/>
        <v>3.1103999999999998</v>
      </c>
      <c r="O171" s="131">
        <f t="shared" si="11"/>
        <v>3.1103999999999998</v>
      </c>
      <c r="P171" s="8">
        <f t="shared" si="12"/>
        <v>115865</v>
      </c>
      <c r="Q171" s="8">
        <f>IF(Parameters!$G$29="y",IF(INT($P171/Parameters!$K$29)&gt;INT($P170/Parameters!$K$29),1,0),0)</f>
        <v>0</v>
      </c>
      <c r="R171" s="8">
        <f>IF(Parameters!$G$30="y",IF(INT($P171/Parameters!$K$30)&gt;INT($P170/Parameters!$K$30),1,0),0)</f>
        <v>0</v>
      </c>
      <c r="S171" s="8">
        <f>IF(INT($P171/Parameters!$K$31)&gt;INT($P170/Parameters!$K$31),1,0)</f>
        <v>0</v>
      </c>
      <c r="T171" s="76">
        <f t="shared" si="0"/>
        <v>0</v>
      </c>
      <c r="U171" s="8">
        <f>C170/'Pump Data'!$L$21*1000/60</f>
        <v>1.0239225542213536E-2</v>
      </c>
      <c r="V171" s="8"/>
      <c r="W171" s="8"/>
    </row>
    <row r="172" spans="1:23" ht="14.25" x14ac:dyDescent="0.45">
      <c r="A172" s="125">
        <v>41800</v>
      </c>
      <c r="B172" s="126">
        <v>0</v>
      </c>
      <c r="C172" s="127">
        <f t="shared" si="1"/>
        <v>0</v>
      </c>
      <c r="D172" s="127">
        <f t="shared" si="2"/>
        <v>0.64100000000000001</v>
      </c>
      <c r="E172" s="127">
        <f t="shared" si="13"/>
        <v>30.459000000000081</v>
      </c>
      <c r="F172" s="130">
        <f>Parameters!$B$32*'Pump Data'!$L$21^2+Parameters!$B$33*'Pump Data'!$L$21+Parameters!$B$34</f>
        <v>115.93397007999999</v>
      </c>
      <c r="G172" s="130">
        <f t="shared" si="3"/>
        <v>0</v>
      </c>
      <c r="H172" s="131">
        <f t="shared" si="4"/>
        <v>0</v>
      </c>
      <c r="I172" s="126">
        <f t="shared" si="5"/>
        <v>0</v>
      </c>
      <c r="J172" s="126">
        <f t="shared" si="6"/>
        <v>0</v>
      </c>
      <c r="K172" s="126">
        <f t="shared" si="7"/>
        <v>0</v>
      </c>
      <c r="L172" s="131">
        <f t="shared" si="8"/>
        <v>0</v>
      </c>
      <c r="M172" s="126">
        <f t="shared" si="9"/>
        <v>864</v>
      </c>
      <c r="N172" s="131">
        <f t="shared" si="10"/>
        <v>3.1103999999999998</v>
      </c>
      <c r="O172" s="131">
        <f t="shared" si="11"/>
        <v>3.1103999999999998</v>
      </c>
      <c r="P172" s="8">
        <f t="shared" si="12"/>
        <v>115865</v>
      </c>
      <c r="Q172" s="8">
        <f>IF(Parameters!$G$29="y",IF(INT($P172/Parameters!$K$29)&gt;INT($P171/Parameters!$K$29),1,0),0)</f>
        <v>0</v>
      </c>
      <c r="R172" s="8">
        <f>IF(Parameters!$G$30="y",IF(INT($P172/Parameters!$K$30)&gt;INT($P171/Parameters!$K$30),1,0),0)</f>
        <v>0</v>
      </c>
      <c r="S172" s="8">
        <f>IF(INT($P172/Parameters!$K$31)&gt;INT($P171/Parameters!$K$31),1,0)</f>
        <v>0</v>
      </c>
      <c r="T172" s="76">
        <f t="shared" si="0"/>
        <v>0</v>
      </c>
      <c r="U172" s="8">
        <f>C171/'Pump Data'!$L$21*1000/60</f>
        <v>0</v>
      </c>
      <c r="V172" s="8"/>
      <c r="W172" s="8"/>
    </row>
    <row r="173" spans="1:23" ht="14.25" x14ac:dyDescent="0.45">
      <c r="A173" s="125">
        <v>41801</v>
      </c>
      <c r="B173" s="126">
        <v>0</v>
      </c>
      <c r="C173" s="127">
        <f t="shared" si="1"/>
        <v>0</v>
      </c>
      <c r="D173" s="127">
        <f t="shared" si="2"/>
        <v>0.64100000000000001</v>
      </c>
      <c r="E173" s="127">
        <f t="shared" si="13"/>
        <v>29.818000000000083</v>
      </c>
      <c r="F173" s="130">
        <f>Parameters!$B$32*'Pump Data'!$L$21^2+Parameters!$B$33*'Pump Data'!$L$21+Parameters!$B$34</f>
        <v>115.93397007999999</v>
      </c>
      <c r="G173" s="130">
        <f t="shared" si="3"/>
        <v>0</v>
      </c>
      <c r="H173" s="131">
        <f t="shared" si="4"/>
        <v>0</v>
      </c>
      <c r="I173" s="126">
        <f t="shared" si="5"/>
        <v>0</v>
      </c>
      <c r="J173" s="126">
        <f t="shared" si="6"/>
        <v>0</v>
      </c>
      <c r="K173" s="126">
        <f t="shared" si="7"/>
        <v>0</v>
      </c>
      <c r="L173" s="131">
        <f t="shared" si="8"/>
        <v>0</v>
      </c>
      <c r="M173" s="126">
        <f t="shared" si="9"/>
        <v>864</v>
      </c>
      <c r="N173" s="131">
        <f t="shared" si="10"/>
        <v>3.1103999999999998</v>
      </c>
      <c r="O173" s="131">
        <f t="shared" si="11"/>
        <v>3.1103999999999998</v>
      </c>
      <c r="P173" s="8">
        <f t="shared" si="12"/>
        <v>115865</v>
      </c>
      <c r="Q173" s="8">
        <f>IF(Parameters!$G$29="y",IF(INT($P173/Parameters!$K$29)&gt;INT($P172/Parameters!$K$29),1,0),0)</f>
        <v>0</v>
      </c>
      <c r="R173" s="8">
        <f>IF(Parameters!$G$30="y",IF(INT($P173/Parameters!$K$30)&gt;INT($P172/Parameters!$K$30),1,0),0)</f>
        <v>0</v>
      </c>
      <c r="S173" s="8">
        <f>IF(INT($P173/Parameters!$K$31)&gt;INT($P172/Parameters!$K$31),1,0)</f>
        <v>0</v>
      </c>
      <c r="T173" s="76">
        <f t="shared" si="0"/>
        <v>0</v>
      </c>
      <c r="U173" s="8">
        <f>C172/'Pump Data'!$L$21*1000/60</f>
        <v>0</v>
      </c>
      <c r="V173" s="8"/>
      <c r="W173" s="8"/>
    </row>
    <row r="174" spans="1:23" ht="14.25" x14ac:dyDescent="0.45">
      <c r="A174" s="125">
        <v>41802</v>
      </c>
      <c r="B174" s="126">
        <v>0</v>
      </c>
      <c r="C174" s="127">
        <f t="shared" si="1"/>
        <v>0</v>
      </c>
      <c r="D174" s="127">
        <f t="shared" si="2"/>
        <v>0.64100000000000001</v>
      </c>
      <c r="E174" s="127">
        <f t="shared" si="13"/>
        <v>29.177000000000085</v>
      </c>
      <c r="F174" s="130">
        <f>Parameters!$B$32*'Pump Data'!$L$21^2+Parameters!$B$33*'Pump Data'!$L$21+Parameters!$B$34</f>
        <v>115.93397007999999</v>
      </c>
      <c r="G174" s="130">
        <f t="shared" si="3"/>
        <v>0</v>
      </c>
      <c r="H174" s="131">
        <f t="shared" si="4"/>
        <v>0</v>
      </c>
      <c r="I174" s="126">
        <f t="shared" si="5"/>
        <v>0</v>
      </c>
      <c r="J174" s="126">
        <f t="shared" si="6"/>
        <v>0</v>
      </c>
      <c r="K174" s="126">
        <f t="shared" si="7"/>
        <v>0</v>
      </c>
      <c r="L174" s="131">
        <f t="shared" si="8"/>
        <v>0</v>
      </c>
      <c r="M174" s="126">
        <f t="shared" si="9"/>
        <v>864</v>
      </c>
      <c r="N174" s="131">
        <f t="shared" si="10"/>
        <v>3.1103999999999998</v>
      </c>
      <c r="O174" s="131">
        <f t="shared" si="11"/>
        <v>3.1103999999999998</v>
      </c>
      <c r="P174" s="8">
        <f t="shared" si="12"/>
        <v>115865</v>
      </c>
      <c r="Q174" s="8">
        <f>IF(Parameters!$G$29="y",IF(INT($P174/Parameters!$K$29)&gt;INT($P173/Parameters!$K$29),1,0),0)</f>
        <v>0</v>
      </c>
      <c r="R174" s="8">
        <f>IF(Parameters!$G$30="y",IF(INT($P174/Parameters!$K$30)&gt;INT($P173/Parameters!$K$30),1,0),0)</f>
        <v>0</v>
      </c>
      <c r="S174" s="8">
        <f>IF(INT($P174/Parameters!$K$31)&gt;INT($P173/Parameters!$K$31),1,0)</f>
        <v>0</v>
      </c>
      <c r="T174" s="76">
        <f t="shared" si="0"/>
        <v>0</v>
      </c>
      <c r="U174" s="8">
        <f>C173/'Pump Data'!$L$21*1000/60</f>
        <v>0</v>
      </c>
      <c r="V174" s="8"/>
      <c r="W174" s="8"/>
    </row>
    <row r="175" spans="1:23" ht="14.25" x14ac:dyDescent="0.45">
      <c r="A175" s="125">
        <v>41803</v>
      </c>
      <c r="B175" s="126">
        <v>0</v>
      </c>
      <c r="C175" s="127">
        <f t="shared" si="1"/>
        <v>0</v>
      </c>
      <c r="D175" s="127">
        <f t="shared" si="2"/>
        <v>0.64100000000000001</v>
      </c>
      <c r="E175" s="127">
        <f t="shared" si="13"/>
        <v>28.536000000000087</v>
      </c>
      <c r="F175" s="130">
        <f>Parameters!$B$32*'Pump Data'!$L$21^2+Parameters!$B$33*'Pump Data'!$L$21+Parameters!$B$34</f>
        <v>115.93397007999999</v>
      </c>
      <c r="G175" s="130">
        <f t="shared" si="3"/>
        <v>0</v>
      </c>
      <c r="H175" s="131">
        <f t="shared" si="4"/>
        <v>0</v>
      </c>
      <c r="I175" s="126">
        <f t="shared" si="5"/>
        <v>0</v>
      </c>
      <c r="J175" s="126">
        <f t="shared" si="6"/>
        <v>0</v>
      </c>
      <c r="K175" s="126">
        <f t="shared" si="7"/>
        <v>0</v>
      </c>
      <c r="L175" s="131">
        <f t="shared" si="8"/>
        <v>0</v>
      </c>
      <c r="M175" s="126">
        <f t="shared" si="9"/>
        <v>864</v>
      </c>
      <c r="N175" s="131">
        <f t="shared" si="10"/>
        <v>3.1103999999999998</v>
      </c>
      <c r="O175" s="131">
        <f t="shared" si="11"/>
        <v>3.1103999999999998</v>
      </c>
      <c r="P175" s="8">
        <f t="shared" si="12"/>
        <v>115865</v>
      </c>
      <c r="Q175" s="8">
        <f>IF(Parameters!$G$29="y",IF(INT($P175/Parameters!$K$29)&gt;INT($P174/Parameters!$K$29),1,0),0)</f>
        <v>0</v>
      </c>
      <c r="R175" s="8">
        <f>IF(Parameters!$G$30="y",IF(INT($P175/Parameters!$K$30)&gt;INT($P174/Parameters!$K$30),1,0),0)</f>
        <v>0</v>
      </c>
      <c r="S175" s="8">
        <f>IF(INT($P175/Parameters!$K$31)&gt;INT($P174/Parameters!$K$31),1,0)</f>
        <v>0</v>
      </c>
      <c r="T175" s="76">
        <f t="shared" si="0"/>
        <v>0</v>
      </c>
      <c r="U175" s="8">
        <f>C174/'Pump Data'!$L$21*1000/60</f>
        <v>0</v>
      </c>
      <c r="V175" s="8"/>
      <c r="W175" s="8"/>
    </row>
    <row r="176" spans="1:23" ht="14.25" x14ac:dyDescent="0.45">
      <c r="A176" s="125">
        <v>41804</v>
      </c>
      <c r="B176" s="126">
        <v>3.6</v>
      </c>
      <c r="C176" s="127">
        <f t="shared" si="1"/>
        <v>0.39599999999999996</v>
      </c>
      <c r="D176" s="127">
        <f t="shared" si="2"/>
        <v>0.64100000000000001</v>
      </c>
      <c r="E176" s="127">
        <f t="shared" si="13"/>
        <v>28.291000000000089</v>
      </c>
      <c r="F176" s="130">
        <f>Parameters!$B$32*'Pump Data'!$L$21^2+Parameters!$B$33*'Pump Data'!$L$21+Parameters!$B$34</f>
        <v>115.93397007999999</v>
      </c>
      <c r="G176" s="130">
        <f t="shared" si="3"/>
        <v>72.987843764725454</v>
      </c>
      <c r="H176" s="131">
        <f t="shared" si="4"/>
        <v>7.298784376472546E-2</v>
      </c>
      <c r="I176" s="126">
        <f t="shared" si="5"/>
        <v>1979.9999999999995</v>
      </c>
      <c r="J176" s="126">
        <f t="shared" si="6"/>
        <v>1.9799999999999995</v>
      </c>
      <c r="K176" s="126">
        <f t="shared" si="7"/>
        <v>3959999.9999999991</v>
      </c>
      <c r="L176" s="131">
        <f t="shared" si="8"/>
        <v>3.9599999999999991</v>
      </c>
      <c r="M176" s="126">
        <f t="shared" si="9"/>
        <v>864</v>
      </c>
      <c r="N176" s="131">
        <f t="shared" si="10"/>
        <v>3.1103999999999998</v>
      </c>
      <c r="O176" s="131">
        <f t="shared" si="11"/>
        <v>7.1433878437647245</v>
      </c>
      <c r="P176" s="8">
        <f t="shared" si="12"/>
        <v>116261</v>
      </c>
      <c r="Q176" s="8">
        <f>IF(Parameters!$G$29="y",IF(INT($P176/Parameters!$K$29)&gt;INT($P175/Parameters!$K$29),1,0),0)</f>
        <v>0</v>
      </c>
      <c r="R176" s="8">
        <f>IF(Parameters!$G$30="y",IF(INT($P176/Parameters!$K$30)&gt;INT($P175/Parameters!$K$30),1,0),0)</f>
        <v>0</v>
      </c>
      <c r="S176" s="8">
        <f>IF(INT($P176/Parameters!$K$31)&gt;INT($P175/Parameters!$K$31),1,0)</f>
        <v>0</v>
      </c>
      <c r="T176" s="76">
        <f t="shared" si="0"/>
        <v>0</v>
      </c>
      <c r="U176" s="8">
        <f>C175/'Pump Data'!$L$21*1000/60</f>
        <v>0</v>
      </c>
      <c r="V176" s="8"/>
      <c r="W176" s="8"/>
    </row>
    <row r="177" spans="1:23" ht="14.25" x14ac:dyDescent="0.45">
      <c r="A177" s="125">
        <v>41805</v>
      </c>
      <c r="B177" s="126">
        <v>0</v>
      </c>
      <c r="C177" s="127">
        <f t="shared" si="1"/>
        <v>0</v>
      </c>
      <c r="D177" s="127">
        <f t="shared" si="2"/>
        <v>0.64100000000000001</v>
      </c>
      <c r="E177" s="127">
        <f t="shared" si="13"/>
        <v>27.650000000000091</v>
      </c>
      <c r="F177" s="130">
        <f>Parameters!$B$32*'Pump Data'!$L$21^2+Parameters!$B$33*'Pump Data'!$L$21+Parameters!$B$34</f>
        <v>115.93397007999999</v>
      </c>
      <c r="G177" s="130">
        <f t="shared" si="3"/>
        <v>0</v>
      </c>
      <c r="H177" s="131">
        <f t="shared" si="4"/>
        <v>0</v>
      </c>
      <c r="I177" s="126">
        <f t="shared" si="5"/>
        <v>0</v>
      </c>
      <c r="J177" s="126">
        <f t="shared" si="6"/>
        <v>0</v>
      </c>
      <c r="K177" s="126">
        <f t="shared" si="7"/>
        <v>0</v>
      </c>
      <c r="L177" s="131">
        <f t="shared" si="8"/>
        <v>0</v>
      </c>
      <c r="M177" s="126">
        <f t="shared" si="9"/>
        <v>864</v>
      </c>
      <c r="N177" s="131">
        <f t="shared" si="10"/>
        <v>3.1103999999999998</v>
      </c>
      <c r="O177" s="131">
        <f t="shared" si="11"/>
        <v>3.1103999999999998</v>
      </c>
      <c r="P177" s="8">
        <f t="shared" si="12"/>
        <v>116261</v>
      </c>
      <c r="Q177" s="8">
        <f>IF(Parameters!$G$29="y",IF(INT($P177/Parameters!$K$29)&gt;INT($P176/Parameters!$K$29),1,0),0)</f>
        <v>0</v>
      </c>
      <c r="R177" s="8">
        <f>IF(Parameters!$G$30="y",IF(INT($P177/Parameters!$K$30)&gt;INT($P176/Parameters!$K$30),1,0),0)</f>
        <v>0</v>
      </c>
      <c r="S177" s="8">
        <f>IF(INT($P177/Parameters!$K$31)&gt;INT($P176/Parameters!$K$31),1,0)</f>
        <v>0</v>
      </c>
      <c r="T177" s="76">
        <f t="shared" si="0"/>
        <v>0</v>
      </c>
      <c r="U177" s="8">
        <f>C176/'Pump Data'!$L$21*1000/60</f>
        <v>0.1843060597598436</v>
      </c>
      <c r="V177" s="8"/>
      <c r="W177" s="8"/>
    </row>
    <row r="178" spans="1:23" ht="14.25" x14ac:dyDescent="0.45">
      <c r="A178" s="125">
        <v>41806</v>
      </c>
      <c r="B178" s="126">
        <v>0</v>
      </c>
      <c r="C178" s="127">
        <f t="shared" si="1"/>
        <v>0</v>
      </c>
      <c r="D178" s="127">
        <f t="shared" si="2"/>
        <v>0.64100000000000001</v>
      </c>
      <c r="E178" s="127">
        <f t="shared" si="13"/>
        <v>27.009000000000093</v>
      </c>
      <c r="F178" s="130">
        <f>Parameters!$B$32*'Pump Data'!$L$21^2+Parameters!$B$33*'Pump Data'!$L$21+Parameters!$B$34</f>
        <v>115.93397007999999</v>
      </c>
      <c r="G178" s="130">
        <f t="shared" si="3"/>
        <v>0</v>
      </c>
      <c r="H178" s="131">
        <f t="shared" si="4"/>
        <v>0</v>
      </c>
      <c r="I178" s="126">
        <f t="shared" si="5"/>
        <v>0</v>
      </c>
      <c r="J178" s="126">
        <f t="shared" si="6"/>
        <v>0</v>
      </c>
      <c r="K178" s="126">
        <f t="shared" si="7"/>
        <v>0</v>
      </c>
      <c r="L178" s="131">
        <f t="shared" si="8"/>
        <v>0</v>
      </c>
      <c r="M178" s="126">
        <f t="shared" si="9"/>
        <v>864</v>
      </c>
      <c r="N178" s="131">
        <f t="shared" si="10"/>
        <v>3.1103999999999998</v>
      </c>
      <c r="O178" s="131">
        <f t="shared" si="11"/>
        <v>3.1103999999999998</v>
      </c>
      <c r="P178" s="8">
        <f t="shared" si="12"/>
        <v>116261</v>
      </c>
      <c r="Q178" s="8">
        <f>IF(Parameters!$G$29="y",IF(INT($P178/Parameters!$K$29)&gt;INT($P177/Parameters!$K$29),1,0),0)</f>
        <v>0</v>
      </c>
      <c r="R178" s="8">
        <f>IF(Parameters!$G$30="y",IF(INT($P178/Parameters!$K$30)&gt;INT($P177/Parameters!$K$30),1,0),0)</f>
        <v>0</v>
      </c>
      <c r="S178" s="8">
        <f>IF(INT($P178/Parameters!$K$31)&gt;INT($P177/Parameters!$K$31),1,0)</f>
        <v>0</v>
      </c>
      <c r="T178" s="76">
        <f t="shared" si="0"/>
        <v>0</v>
      </c>
      <c r="U178" s="8">
        <f>C177/'Pump Data'!$L$21*1000/60</f>
        <v>0</v>
      </c>
      <c r="V178" s="8"/>
      <c r="W178" s="8"/>
    </row>
    <row r="179" spans="1:23" ht="14.25" x14ac:dyDescent="0.45">
      <c r="A179" s="125">
        <v>41807</v>
      </c>
      <c r="B179" s="126">
        <v>0</v>
      </c>
      <c r="C179" s="127">
        <f t="shared" si="1"/>
        <v>0</v>
      </c>
      <c r="D179" s="127">
        <f t="shared" si="2"/>
        <v>0.64100000000000001</v>
      </c>
      <c r="E179" s="127">
        <f t="shared" si="13"/>
        <v>26.368000000000094</v>
      </c>
      <c r="F179" s="130">
        <f>Parameters!$B$32*'Pump Data'!$L$21^2+Parameters!$B$33*'Pump Data'!$L$21+Parameters!$B$34</f>
        <v>115.93397007999999</v>
      </c>
      <c r="G179" s="130">
        <f t="shared" si="3"/>
        <v>0</v>
      </c>
      <c r="H179" s="131">
        <f t="shared" si="4"/>
        <v>0</v>
      </c>
      <c r="I179" s="126">
        <f t="shared" si="5"/>
        <v>0</v>
      </c>
      <c r="J179" s="126">
        <f t="shared" si="6"/>
        <v>0</v>
      </c>
      <c r="K179" s="126">
        <f t="shared" si="7"/>
        <v>0</v>
      </c>
      <c r="L179" s="131">
        <f t="shared" si="8"/>
        <v>0</v>
      </c>
      <c r="M179" s="126">
        <f t="shared" si="9"/>
        <v>864</v>
      </c>
      <c r="N179" s="131">
        <f t="shared" si="10"/>
        <v>3.1103999999999998</v>
      </c>
      <c r="O179" s="131">
        <f t="shared" si="11"/>
        <v>3.1103999999999998</v>
      </c>
      <c r="P179" s="8">
        <f t="shared" si="12"/>
        <v>116261</v>
      </c>
      <c r="Q179" s="8">
        <f>IF(Parameters!$G$29="y",IF(INT($P179/Parameters!$K$29)&gt;INT($P178/Parameters!$K$29),1,0),0)</f>
        <v>0</v>
      </c>
      <c r="R179" s="8">
        <f>IF(Parameters!$G$30="y",IF(INT($P179/Parameters!$K$30)&gt;INT($P178/Parameters!$K$30),1,0),0)</f>
        <v>0</v>
      </c>
      <c r="S179" s="8">
        <f>IF(INT($P179/Parameters!$K$31)&gt;INT($P178/Parameters!$K$31),1,0)</f>
        <v>0</v>
      </c>
      <c r="T179" s="76">
        <f t="shared" si="0"/>
        <v>0</v>
      </c>
      <c r="U179" s="8">
        <f>C178/'Pump Data'!$L$21*1000/60</f>
        <v>0</v>
      </c>
      <c r="V179" s="8"/>
      <c r="W179" s="8"/>
    </row>
    <row r="180" spans="1:23" ht="14.25" x14ac:dyDescent="0.45">
      <c r="A180" s="125">
        <v>41808</v>
      </c>
      <c r="B180" s="126">
        <v>1.6</v>
      </c>
      <c r="C180" s="127">
        <f t="shared" si="1"/>
        <v>0.17600000000000002</v>
      </c>
      <c r="D180" s="127">
        <f t="shared" si="2"/>
        <v>0.64100000000000001</v>
      </c>
      <c r="E180" s="127">
        <f t="shared" si="13"/>
        <v>25.903000000000091</v>
      </c>
      <c r="F180" s="130">
        <f>Parameters!$B$32*'Pump Data'!$L$21^2+Parameters!$B$33*'Pump Data'!$L$21+Parameters!$B$34</f>
        <v>115.93397007999999</v>
      </c>
      <c r="G180" s="130">
        <f t="shared" si="3"/>
        <v>32.439041673211321</v>
      </c>
      <c r="H180" s="131">
        <f t="shared" si="4"/>
        <v>3.2439041673211322E-2</v>
      </c>
      <c r="I180" s="126">
        <f t="shared" si="5"/>
        <v>880.00000000000023</v>
      </c>
      <c r="J180" s="126">
        <f t="shared" si="6"/>
        <v>0.88000000000000023</v>
      </c>
      <c r="K180" s="126">
        <f t="shared" si="7"/>
        <v>1760000.0000000005</v>
      </c>
      <c r="L180" s="131">
        <f t="shared" si="8"/>
        <v>1.7600000000000005</v>
      </c>
      <c r="M180" s="126">
        <f t="shared" si="9"/>
        <v>864</v>
      </c>
      <c r="N180" s="131">
        <f t="shared" si="10"/>
        <v>3.1103999999999998</v>
      </c>
      <c r="O180" s="131">
        <f t="shared" si="11"/>
        <v>4.9028390416732117</v>
      </c>
      <c r="P180" s="8">
        <f t="shared" si="12"/>
        <v>116437</v>
      </c>
      <c r="Q180" s="8">
        <f>IF(Parameters!$G$29="y",IF(INT($P180/Parameters!$K$29)&gt;INT($P179/Parameters!$K$29),1,0),0)</f>
        <v>0</v>
      </c>
      <c r="R180" s="8">
        <f>IF(Parameters!$G$30="y",IF(INT($P180/Parameters!$K$30)&gt;INT($P179/Parameters!$K$30),1,0),0)</f>
        <v>0</v>
      </c>
      <c r="S180" s="8">
        <f>IF(INT($P180/Parameters!$K$31)&gt;INT($P179/Parameters!$K$31),1,0)</f>
        <v>0</v>
      </c>
      <c r="T180" s="76">
        <f t="shared" si="0"/>
        <v>0</v>
      </c>
      <c r="U180" s="8">
        <f>C179/'Pump Data'!$L$21*1000/60</f>
        <v>0</v>
      </c>
      <c r="V180" s="8"/>
      <c r="W180" s="8"/>
    </row>
    <row r="181" spans="1:23" ht="14.25" x14ac:dyDescent="0.45">
      <c r="A181" s="125">
        <v>41809</v>
      </c>
      <c r="B181" s="126">
        <v>20.8</v>
      </c>
      <c r="C181" s="127">
        <f t="shared" si="1"/>
        <v>2.2879999999999998</v>
      </c>
      <c r="D181" s="127">
        <f t="shared" si="2"/>
        <v>0.64100000000000001</v>
      </c>
      <c r="E181" s="127">
        <f t="shared" si="13"/>
        <v>27.55000000000009</v>
      </c>
      <c r="F181" s="130">
        <f>Parameters!$B$32*'Pump Data'!$L$21^2+Parameters!$B$33*'Pump Data'!$L$21+Parameters!$B$34</f>
        <v>115.93397007999999</v>
      </c>
      <c r="G181" s="130">
        <f t="shared" si="3"/>
        <v>421.70754175174716</v>
      </c>
      <c r="H181" s="131">
        <f t="shared" si="4"/>
        <v>0.42170754175174718</v>
      </c>
      <c r="I181" s="126">
        <f t="shared" si="5"/>
        <v>11440</v>
      </c>
      <c r="J181" s="126">
        <f t="shared" si="6"/>
        <v>11.44</v>
      </c>
      <c r="K181" s="126">
        <f t="shared" si="7"/>
        <v>22880000</v>
      </c>
      <c r="L181" s="131">
        <f t="shared" si="8"/>
        <v>22.88</v>
      </c>
      <c r="M181" s="126">
        <f t="shared" si="9"/>
        <v>864</v>
      </c>
      <c r="N181" s="131">
        <f t="shared" si="10"/>
        <v>3.1103999999999998</v>
      </c>
      <c r="O181" s="131">
        <f t="shared" si="11"/>
        <v>26.412107541751745</v>
      </c>
      <c r="P181" s="8">
        <f t="shared" si="12"/>
        <v>118725</v>
      </c>
      <c r="Q181" s="8">
        <f>IF(Parameters!$G$29="y",IF(INT($P181/Parameters!$K$29)&gt;INT($P180/Parameters!$K$29),1,0),0)</f>
        <v>0</v>
      </c>
      <c r="R181" s="8">
        <f>IF(Parameters!$G$30="y",IF(INT($P181/Parameters!$K$30)&gt;INT($P180/Parameters!$K$30),1,0),0)</f>
        <v>0</v>
      </c>
      <c r="S181" s="8">
        <f>IF(INT($P181/Parameters!$K$31)&gt;INT($P180/Parameters!$K$31),1,0)</f>
        <v>0</v>
      </c>
      <c r="T181" s="76">
        <f t="shared" si="0"/>
        <v>0</v>
      </c>
      <c r="U181" s="8">
        <f>C180/'Pump Data'!$L$21*1000/60</f>
        <v>8.1913804337708285E-2</v>
      </c>
      <c r="V181" s="8"/>
      <c r="W181" s="8"/>
    </row>
    <row r="182" spans="1:23" ht="14.25" x14ac:dyDescent="0.45">
      <c r="A182" s="125">
        <v>41810</v>
      </c>
      <c r="B182" s="126">
        <v>3.2</v>
      </c>
      <c r="C182" s="127">
        <f t="shared" si="1"/>
        <v>0.35200000000000004</v>
      </c>
      <c r="D182" s="127">
        <f t="shared" si="2"/>
        <v>0.64100000000000001</v>
      </c>
      <c r="E182" s="127">
        <f t="shared" si="13"/>
        <v>27.261000000000088</v>
      </c>
      <c r="F182" s="130">
        <f>Parameters!$B$32*'Pump Data'!$L$21^2+Parameters!$B$33*'Pump Data'!$L$21+Parameters!$B$34</f>
        <v>115.93397007999999</v>
      </c>
      <c r="G182" s="130">
        <f t="shared" si="3"/>
        <v>64.878083346422642</v>
      </c>
      <c r="H182" s="131">
        <f t="shared" si="4"/>
        <v>6.4878083346422644E-2</v>
      </c>
      <c r="I182" s="126">
        <f t="shared" si="5"/>
        <v>1760.0000000000005</v>
      </c>
      <c r="J182" s="126">
        <f t="shared" si="6"/>
        <v>1.7600000000000005</v>
      </c>
      <c r="K182" s="126">
        <f t="shared" si="7"/>
        <v>3520000.0000000009</v>
      </c>
      <c r="L182" s="131">
        <f t="shared" si="8"/>
        <v>3.5200000000000009</v>
      </c>
      <c r="M182" s="126">
        <f t="shared" si="9"/>
        <v>864</v>
      </c>
      <c r="N182" s="131">
        <f t="shared" si="10"/>
        <v>3.1103999999999998</v>
      </c>
      <c r="O182" s="131">
        <f t="shared" si="11"/>
        <v>6.6952780833464232</v>
      </c>
      <c r="P182" s="8">
        <f t="shared" si="12"/>
        <v>119077</v>
      </c>
      <c r="Q182" s="8">
        <f>IF(Parameters!$G$29="y",IF(INT($P182/Parameters!$K$29)&gt;INT($P181/Parameters!$K$29),1,0),0)</f>
        <v>0</v>
      </c>
      <c r="R182" s="8">
        <f>IF(Parameters!$G$30="y",IF(INT($P182/Parameters!$K$30)&gt;INT($P181/Parameters!$K$30),1,0),0)</f>
        <v>0</v>
      </c>
      <c r="S182" s="8">
        <f>IF(INT($P182/Parameters!$K$31)&gt;INT($P181/Parameters!$K$31),1,0)</f>
        <v>0</v>
      </c>
      <c r="T182" s="76">
        <f t="shared" si="0"/>
        <v>0</v>
      </c>
      <c r="U182" s="8">
        <f>C181/'Pump Data'!$L$21*1000/60</f>
        <v>1.0648794563902073</v>
      </c>
      <c r="V182" s="8"/>
      <c r="W182" s="8"/>
    </row>
    <row r="183" spans="1:23" ht="14.25" x14ac:dyDescent="0.45">
      <c r="A183" s="125">
        <v>41811</v>
      </c>
      <c r="B183" s="126">
        <v>1.2</v>
      </c>
      <c r="C183" s="127">
        <f t="shared" si="1"/>
        <v>0.13199999999999998</v>
      </c>
      <c r="D183" s="127">
        <f t="shared" si="2"/>
        <v>0.64100000000000001</v>
      </c>
      <c r="E183" s="127">
        <f t="shared" si="13"/>
        <v>26.752000000000088</v>
      </c>
      <c r="F183" s="130">
        <f>Parameters!$B$32*'Pump Data'!$L$21^2+Parameters!$B$33*'Pump Data'!$L$21+Parameters!$B$34</f>
        <v>115.93397007999999</v>
      </c>
      <c r="G183" s="130">
        <f t="shared" si="3"/>
        <v>24.329281254908484</v>
      </c>
      <c r="H183" s="131">
        <f t="shared" si="4"/>
        <v>2.4329281254908484E-2</v>
      </c>
      <c r="I183" s="126">
        <f t="shared" si="5"/>
        <v>659.99999999999977</v>
      </c>
      <c r="J183" s="126">
        <f t="shared" si="6"/>
        <v>0.65999999999999981</v>
      </c>
      <c r="K183" s="126">
        <f t="shared" si="7"/>
        <v>1319999.9999999995</v>
      </c>
      <c r="L183" s="131">
        <f t="shared" si="8"/>
        <v>1.3199999999999996</v>
      </c>
      <c r="M183" s="126">
        <f t="shared" si="9"/>
        <v>864</v>
      </c>
      <c r="N183" s="131">
        <f t="shared" si="10"/>
        <v>3.1103999999999998</v>
      </c>
      <c r="O183" s="131">
        <f t="shared" si="11"/>
        <v>4.4547292812549077</v>
      </c>
      <c r="P183" s="8">
        <f t="shared" si="12"/>
        <v>119209</v>
      </c>
      <c r="Q183" s="8">
        <f>IF(Parameters!$G$29="y",IF(INT($P183/Parameters!$K$29)&gt;INT($P182/Parameters!$K$29),1,0),0)</f>
        <v>0</v>
      </c>
      <c r="R183" s="8">
        <f>IF(Parameters!$G$30="y",IF(INT($P183/Parameters!$K$30)&gt;INT($P182/Parameters!$K$30),1,0),0)</f>
        <v>0</v>
      </c>
      <c r="S183" s="8">
        <f>IF(INT($P183/Parameters!$K$31)&gt;INT($P182/Parameters!$K$31),1,0)</f>
        <v>0</v>
      </c>
      <c r="T183" s="76">
        <f t="shared" si="0"/>
        <v>0</v>
      </c>
      <c r="U183" s="8">
        <f>C182/'Pump Data'!$L$21*1000/60</f>
        <v>0.16382760867541657</v>
      </c>
      <c r="V183" s="8"/>
      <c r="W183" s="8"/>
    </row>
    <row r="184" spans="1:23" ht="14.25" x14ac:dyDescent="0.45">
      <c r="A184" s="125">
        <v>41812</v>
      </c>
      <c r="B184" s="126">
        <v>0</v>
      </c>
      <c r="C184" s="127">
        <f t="shared" si="1"/>
        <v>0</v>
      </c>
      <c r="D184" s="127">
        <f t="shared" si="2"/>
        <v>0.64100000000000001</v>
      </c>
      <c r="E184" s="127">
        <f t="shared" si="13"/>
        <v>26.111000000000089</v>
      </c>
      <c r="F184" s="130">
        <f>Parameters!$B$32*'Pump Data'!$L$21^2+Parameters!$B$33*'Pump Data'!$L$21+Parameters!$B$34</f>
        <v>115.93397007999999</v>
      </c>
      <c r="G184" s="130">
        <f t="shared" si="3"/>
        <v>0</v>
      </c>
      <c r="H184" s="131">
        <f t="shared" si="4"/>
        <v>0</v>
      </c>
      <c r="I184" s="126">
        <f t="shared" si="5"/>
        <v>0</v>
      </c>
      <c r="J184" s="126">
        <f t="shared" si="6"/>
        <v>0</v>
      </c>
      <c r="K184" s="126">
        <f t="shared" si="7"/>
        <v>0</v>
      </c>
      <c r="L184" s="131">
        <f t="shared" si="8"/>
        <v>0</v>
      </c>
      <c r="M184" s="126">
        <f t="shared" si="9"/>
        <v>864</v>
      </c>
      <c r="N184" s="131">
        <f t="shared" si="10"/>
        <v>3.1103999999999998</v>
      </c>
      <c r="O184" s="131">
        <f t="shared" si="11"/>
        <v>3.1103999999999998</v>
      </c>
      <c r="P184" s="8">
        <f t="shared" si="12"/>
        <v>119209</v>
      </c>
      <c r="Q184" s="8">
        <f>IF(Parameters!$G$29="y",IF(INT($P184/Parameters!$K$29)&gt;INT($P183/Parameters!$K$29),1,0),0)</f>
        <v>0</v>
      </c>
      <c r="R184" s="8">
        <f>IF(Parameters!$G$30="y",IF(INT($P184/Parameters!$K$30)&gt;INT($P183/Parameters!$K$30),1,0),0)</f>
        <v>0</v>
      </c>
      <c r="S184" s="8">
        <f>IF(INT($P184/Parameters!$K$31)&gt;INT($P183/Parameters!$K$31),1,0)</f>
        <v>0</v>
      </c>
      <c r="T184" s="76">
        <f t="shared" si="0"/>
        <v>0</v>
      </c>
      <c r="U184" s="8">
        <f>C183/'Pump Data'!$L$21*1000/60</f>
        <v>6.1435353253281193E-2</v>
      </c>
      <c r="V184" s="8"/>
      <c r="W184" s="8"/>
    </row>
    <row r="185" spans="1:23" ht="14.25" x14ac:dyDescent="0.45">
      <c r="A185" s="125">
        <v>41813</v>
      </c>
      <c r="B185" s="126">
        <v>15.4</v>
      </c>
      <c r="C185" s="127">
        <f t="shared" si="1"/>
        <v>1.694</v>
      </c>
      <c r="D185" s="127">
        <f t="shared" si="2"/>
        <v>0.64100000000000001</v>
      </c>
      <c r="E185" s="127">
        <f t="shared" si="13"/>
        <v>27.164000000000087</v>
      </c>
      <c r="F185" s="130">
        <f>Parameters!$B$32*'Pump Data'!$L$21^2+Parameters!$B$33*'Pump Data'!$L$21+Parameters!$B$34</f>
        <v>115.93397007999999</v>
      </c>
      <c r="G185" s="130">
        <f t="shared" si="3"/>
        <v>312.22577610465896</v>
      </c>
      <c r="H185" s="131">
        <f t="shared" si="4"/>
        <v>0.31222577610465896</v>
      </c>
      <c r="I185" s="126">
        <f t="shared" si="5"/>
        <v>8470</v>
      </c>
      <c r="J185" s="126">
        <f t="shared" si="6"/>
        <v>8.4700000000000006</v>
      </c>
      <c r="K185" s="126">
        <f t="shared" si="7"/>
        <v>16940000</v>
      </c>
      <c r="L185" s="131">
        <f t="shared" si="8"/>
        <v>16.940000000000001</v>
      </c>
      <c r="M185" s="126">
        <f t="shared" si="9"/>
        <v>864</v>
      </c>
      <c r="N185" s="131">
        <f t="shared" si="10"/>
        <v>3.1103999999999998</v>
      </c>
      <c r="O185" s="131">
        <f t="shared" si="11"/>
        <v>20.362625776104657</v>
      </c>
      <c r="P185" s="8">
        <f t="shared" si="12"/>
        <v>120903</v>
      </c>
      <c r="Q185" s="8">
        <f>IF(Parameters!$G$29="y",IF(INT($P185/Parameters!$K$29)&gt;INT($P184/Parameters!$K$29),1,0),0)</f>
        <v>0</v>
      </c>
      <c r="R185" s="8">
        <f>IF(Parameters!$G$30="y",IF(INT($P185/Parameters!$K$30)&gt;INT($P184/Parameters!$K$30),1,0),0)</f>
        <v>1</v>
      </c>
      <c r="S185" s="8">
        <f>IF(INT($P185/Parameters!$K$31)&gt;INT($P184/Parameters!$K$31),1,0)</f>
        <v>1</v>
      </c>
      <c r="T185" s="76">
        <f t="shared" si="0"/>
        <v>1</v>
      </c>
      <c r="U185" s="8">
        <f>C184/'Pump Data'!$L$21*1000/60</f>
        <v>0</v>
      </c>
      <c r="V185" s="8"/>
      <c r="W185" s="8"/>
    </row>
    <row r="186" spans="1:23" ht="14.25" x14ac:dyDescent="0.45">
      <c r="A186" s="125">
        <v>41814</v>
      </c>
      <c r="B186" s="126">
        <v>1.2</v>
      </c>
      <c r="C186" s="127">
        <f t="shared" si="1"/>
        <v>0.13199999999999998</v>
      </c>
      <c r="D186" s="127">
        <f t="shared" si="2"/>
        <v>0.64100000000000001</v>
      </c>
      <c r="E186" s="127">
        <f t="shared" si="13"/>
        <v>26.655000000000086</v>
      </c>
      <c r="F186" s="130">
        <f>Parameters!$B$32*'Pump Data'!$L$21^2+Parameters!$B$33*'Pump Data'!$L$21+Parameters!$B$34</f>
        <v>115.93397007999999</v>
      </c>
      <c r="G186" s="130">
        <f t="shared" si="3"/>
        <v>24.329281254908484</v>
      </c>
      <c r="H186" s="131">
        <f t="shared" si="4"/>
        <v>2.4329281254908484E-2</v>
      </c>
      <c r="I186" s="126">
        <f t="shared" si="5"/>
        <v>659.99999999999977</v>
      </c>
      <c r="J186" s="126">
        <f t="shared" si="6"/>
        <v>0.65999999999999981</v>
      </c>
      <c r="K186" s="126">
        <f t="shared" si="7"/>
        <v>1319999.9999999995</v>
      </c>
      <c r="L186" s="131">
        <f t="shared" si="8"/>
        <v>1.3199999999999996</v>
      </c>
      <c r="M186" s="126">
        <f t="shared" si="9"/>
        <v>864</v>
      </c>
      <c r="N186" s="131">
        <f t="shared" si="10"/>
        <v>3.1103999999999998</v>
      </c>
      <c r="O186" s="131">
        <f t="shared" si="11"/>
        <v>4.4547292812549077</v>
      </c>
      <c r="P186" s="8">
        <f t="shared" si="12"/>
        <v>121035.00000000001</v>
      </c>
      <c r="Q186" s="8">
        <f>IF(Parameters!$G$29="y",IF(INT($P186/Parameters!$K$29)&gt;INT($P185/Parameters!$K$29),1,0),0)</f>
        <v>0</v>
      </c>
      <c r="R186" s="8">
        <f>IF(Parameters!$G$30="y",IF(INT($P186/Parameters!$K$30)&gt;INT($P185/Parameters!$K$30),1,0),0)</f>
        <v>0</v>
      </c>
      <c r="S186" s="8">
        <f>IF(INT($P186/Parameters!$K$31)&gt;INT($P185/Parameters!$K$31),1,0)</f>
        <v>0</v>
      </c>
      <c r="T186" s="76">
        <f t="shared" si="0"/>
        <v>0</v>
      </c>
      <c r="U186" s="8">
        <f>C185/'Pump Data'!$L$21*1000/60</f>
        <v>0.78842036675044203</v>
      </c>
      <c r="V186" s="8"/>
      <c r="W186" s="8"/>
    </row>
    <row r="187" spans="1:23" ht="14.25" x14ac:dyDescent="0.45">
      <c r="A187" s="125">
        <v>41815</v>
      </c>
      <c r="B187" s="126">
        <v>0</v>
      </c>
      <c r="C187" s="127">
        <f t="shared" si="1"/>
        <v>0</v>
      </c>
      <c r="D187" s="127">
        <f t="shared" si="2"/>
        <v>0.64100000000000001</v>
      </c>
      <c r="E187" s="127">
        <f t="shared" si="13"/>
        <v>26.014000000000088</v>
      </c>
      <c r="F187" s="130">
        <f>Parameters!$B$32*'Pump Data'!$L$21^2+Parameters!$B$33*'Pump Data'!$L$21+Parameters!$B$34</f>
        <v>115.93397007999999</v>
      </c>
      <c r="G187" s="130">
        <f t="shared" si="3"/>
        <v>0</v>
      </c>
      <c r="H187" s="131">
        <f t="shared" si="4"/>
        <v>0</v>
      </c>
      <c r="I187" s="126">
        <f t="shared" si="5"/>
        <v>0</v>
      </c>
      <c r="J187" s="126">
        <f t="shared" si="6"/>
        <v>0</v>
      </c>
      <c r="K187" s="126">
        <f t="shared" si="7"/>
        <v>0</v>
      </c>
      <c r="L187" s="131">
        <f t="shared" si="8"/>
        <v>0</v>
      </c>
      <c r="M187" s="126">
        <f t="shared" si="9"/>
        <v>864</v>
      </c>
      <c r="N187" s="131">
        <f t="shared" si="10"/>
        <v>3.1103999999999998</v>
      </c>
      <c r="O187" s="131">
        <f t="shared" si="11"/>
        <v>3.1103999999999998</v>
      </c>
      <c r="P187" s="8">
        <f t="shared" si="12"/>
        <v>121035.00000000001</v>
      </c>
      <c r="Q187" s="8">
        <f>IF(Parameters!$G$29="y",IF(INT($P187/Parameters!$K$29)&gt;INT($P186/Parameters!$K$29),1,0),0)</f>
        <v>0</v>
      </c>
      <c r="R187" s="8">
        <f>IF(Parameters!$G$30="y",IF(INT($P187/Parameters!$K$30)&gt;INT($P186/Parameters!$K$30),1,0),0)</f>
        <v>0</v>
      </c>
      <c r="S187" s="8">
        <f>IF(INT($P187/Parameters!$K$31)&gt;INT($P186/Parameters!$K$31),1,0)</f>
        <v>0</v>
      </c>
      <c r="T187" s="76">
        <f t="shared" si="0"/>
        <v>0</v>
      </c>
      <c r="U187" s="8">
        <f>C186/'Pump Data'!$L$21*1000/60</f>
        <v>6.1435353253281193E-2</v>
      </c>
      <c r="V187" s="8"/>
      <c r="W187" s="8"/>
    </row>
    <row r="188" spans="1:23" ht="14.25" x14ac:dyDescent="0.45">
      <c r="A188" s="125">
        <v>41816</v>
      </c>
      <c r="B188" s="126">
        <v>5.8</v>
      </c>
      <c r="C188" s="127">
        <f t="shared" si="1"/>
        <v>0.6379999999999999</v>
      </c>
      <c r="D188" s="127">
        <f t="shared" si="2"/>
        <v>0.64100000000000001</v>
      </c>
      <c r="E188" s="127">
        <f t="shared" si="13"/>
        <v>26.011000000000088</v>
      </c>
      <c r="F188" s="130">
        <f>Parameters!$B$32*'Pump Data'!$L$21^2+Parameters!$B$33*'Pump Data'!$L$21+Parameters!$B$34</f>
        <v>115.93397007999999</v>
      </c>
      <c r="G188" s="130">
        <f t="shared" si="3"/>
        <v>117.59152606539101</v>
      </c>
      <c r="H188" s="131">
        <f t="shared" si="4"/>
        <v>0.11759152606539101</v>
      </c>
      <c r="I188" s="126">
        <f t="shared" si="5"/>
        <v>3189.9999999999991</v>
      </c>
      <c r="J188" s="126">
        <f t="shared" si="6"/>
        <v>3.1899999999999991</v>
      </c>
      <c r="K188" s="126">
        <f t="shared" si="7"/>
        <v>6379999.9999999981</v>
      </c>
      <c r="L188" s="131">
        <f t="shared" si="8"/>
        <v>6.3799999999999981</v>
      </c>
      <c r="M188" s="126">
        <f t="shared" si="9"/>
        <v>864</v>
      </c>
      <c r="N188" s="131">
        <f t="shared" si="10"/>
        <v>3.1103999999999998</v>
      </c>
      <c r="O188" s="131">
        <f t="shared" si="11"/>
        <v>9.6079915260653888</v>
      </c>
      <c r="P188" s="8">
        <f t="shared" si="12"/>
        <v>121673.00000000001</v>
      </c>
      <c r="Q188" s="8">
        <f>IF(Parameters!$G$29="y",IF(INT($P188/Parameters!$K$29)&gt;INT($P187/Parameters!$K$29),1,0),0)</f>
        <v>0</v>
      </c>
      <c r="R188" s="8">
        <f>IF(Parameters!$G$30="y",IF(INT($P188/Parameters!$K$30)&gt;INT($P187/Parameters!$K$30),1,0),0)</f>
        <v>0</v>
      </c>
      <c r="S188" s="8">
        <f>IF(INT($P188/Parameters!$K$31)&gt;INT($P187/Parameters!$K$31),1,0)</f>
        <v>0</v>
      </c>
      <c r="T188" s="76">
        <f t="shared" si="0"/>
        <v>0</v>
      </c>
      <c r="U188" s="8">
        <f>C187/'Pump Data'!$L$21*1000/60</f>
        <v>0</v>
      </c>
      <c r="V188" s="8"/>
      <c r="W188" s="8"/>
    </row>
    <row r="189" spans="1:23" ht="14.25" x14ac:dyDescent="0.45">
      <c r="A189" s="125">
        <v>41817</v>
      </c>
      <c r="B189" s="126">
        <v>20.399999999999999</v>
      </c>
      <c r="C189" s="127">
        <f t="shared" si="1"/>
        <v>2.2439999999999998</v>
      </c>
      <c r="D189" s="127">
        <f t="shared" si="2"/>
        <v>0.64100000000000001</v>
      </c>
      <c r="E189" s="127">
        <f t="shared" si="13"/>
        <v>27.61400000000009</v>
      </c>
      <c r="F189" s="130">
        <f>Parameters!$B$32*'Pump Data'!$L$21^2+Parameters!$B$33*'Pump Data'!$L$21+Parameters!$B$34</f>
        <v>115.93397007999999</v>
      </c>
      <c r="G189" s="130">
        <f t="shared" si="3"/>
        <v>413.59778133344423</v>
      </c>
      <c r="H189" s="131">
        <f t="shared" si="4"/>
        <v>0.41359778133344421</v>
      </c>
      <c r="I189" s="126">
        <f t="shared" si="5"/>
        <v>11220</v>
      </c>
      <c r="J189" s="126">
        <f t="shared" si="6"/>
        <v>11.22</v>
      </c>
      <c r="K189" s="126">
        <f t="shared" si="7"/>
        <v>22440000</v>
      </c>
      <c r="L189" s="131">
        <f t="shared" si="8"/>
        <v>22.44</v>
      </c>
      <c r="M189" s="126">
        <f t="shared" si="9"/>
        <v>864</v>
      </c>
      <c r="N189" s="131">
        <f t="shared" si="10"/>
        <v>3.1103999999999998</v>
      </c>
      <c r="O189" s="131">
        <f t="shared" si="11"/>
        <v>25.963997781333443</v>
      </c>
      <c r="P189" s="8">
        <f t="shared" si="12"/>
        <v>123917.00000000001</v>
      </c>
      <c r="Q189" s="8">
        <f>IF(Parameters!$G$29="y",IF(INT($P189/Parameters!$K$29)&gt;INT($P188/Parameters!$K$29),1,0),0)</f>
        <v>0</v>
      </c>
      <c r="R189" s="8">
        <f>IF(Parameters!$G$30="y",IF(INT($P189/Parameters!$K$30)&gt;INT($P188/Parameters!$K$30),1,0),0)</f>
        <v>0</v>
      </c>
      <c r="S189" s="8">
        <f>IF(INT($P189/Parameters!$K$31)&gt;INT($P188/Parameters!$K$31),1,0)</f>
        <v>0</v>
      </c>
      <c r="T189" s="76">
        <f t="shared" si="0"/>
        <v>0</v>
      </c>
      <c r="U189" s="8">
        <f>C188/'Pump Data'!$L$21*1000/60</f>
        <v>0.29693754072419243</v>
      </c>
      <c r="V189" s="8"/>
      <c r="W189" s="8"/>
    </row>
    <row r="190" spans="1:23" ht="14.25" x14ac:dyDescent="0.45">
      <c r="A190" s="125">
        <v>41818</v>
      </c>
      <c r="B190" s="126">
        <v>20.399999999999999</v>
      </c>
      <c r="C190" s="127">
        <f t="shared" si="1"/>
        <v>2.2439999999999998</v>
      </c>
      <c r="D190" s="127">
        <f t="shared" si="2"/>
        <v>0.64100000000000001</v>
      </c>
      <c r="E190" s="127">
        <f t="shared" si="13"/>
        <v>29.217000000000091</v>
      </c>
      <c r="F190" s="130">
        <f>Parameters!$B$32*'Pump Data'!$L$21^2+Parameters!$B$33*'Pump Data'!$L$21+Parameters!$B$34</f>
        <v>115.93397007999999</v>
      </c>
      <c r="G190" s="130">
        <f t="shared" si="3"/>
        <v>413.59778133344423</v>
      </c>
      <c r="H190" s="131">
        <f t="shared" si="4"/>
        <v>0.41359778133344421</v>
      </c>
      <c r="I190" s="126">
        <f t="shared" si="5"/>
        <v>11220</v>
      </c>
      <c r="J190" s="126">
        <f t="shared" si="6"/>
        <v>11.22</v>
      </c>
      <c r="K190" s="126">
        <f t="shared" si="7"/>
        <v>22440000</v>
      </c>
      <c r="L190" s="131">
        <f t="shared" si="8"/>
        <v>22.44</v>
      </c>
      <c r="M190" s="126">
        <f t="shared" si="9"/>
        <v>864</v>
      </c>
      <c r="N190" s="131">
        <f t="shared" si="10"/>
        <v>3.1103999999999998</v>
      </c>
      <c r="O190" s="131">
        <f t="shared" si="11"/>
        <v>25.963997781333443</v>
      </c>
      <c r="P190" s="8">
        <f t="shared" si="12"/>
        <v>126161.00000000001</v>
      </c>
      <c r="Q190" s="8">
        <f>IF(Parameters!$G$29="y",IF(INT($P190/Parameters!$K$29)&gt;INT($P189/Parameters!$K$29),1,0),0)</f>
        <v>1</v>
      </c>
      <c r="R190" s="8">
        <f>IF(Parameters!$G$30="y",IF(INT($P190/Parameters!$K$30)&gt;INT($P189/Parameters!$K$30),1,0),0)</f>
        <v>0</v>
      </c>
      <c r="S190" s="8">
        <f>IF(INT($P190/Parameters!$K$31)&gt;INT($P189/Parameters!$K$31),1,0)</f>
        <v>0</v>
      </c>
      <c r="T190" s="76">
        <f t="shared" si="0"/>
        <v>1</v>
      </c>
      <c r="U190" s="8">
        <f>C189/'Pump Data'!$L$21*1000/60</f>
        <v>1.0444010053057802</v>
      </c>
      <c r="V190" s="8"/>
      <c r="W190" s="8"/>
    </row>
    <row r="191" spans="1:23" ht="14.25" x14ac:dyDescent="0.45">
      <c r="A191" s="125">
        <v>41819</v>
      </c>
      <c r="B191" s="126">
        <v>0.6</v>
      </c>
      <c r="C191" s="127">
        <f t="shared" si="1"/>
        <v>6.5999999999999989E-2</v>
      </c>
      <c r="D191" s="127">
        <f t="shared" si="2"/>
        <v>0.64100000000000001</v>
      </c>
      <c r="E191" s="127">
        <f t="shared" si="13"/>
        <v>28.642000000000088</v>
      </c>
      <c r="F191" s="130">
        <f>Parameters!$B$32*'Pump Data'!$L$21^2+Parameters!$B$33*'Pump Data'!$L$21+Parameters!$B$34</f>
        <v>115.93397007999999</v>
      </c>
      <c r="G191" s="130">
        <f t="shared" si="3"/>
        <v>12.164640627454242</v>
      </c>
      <c r="H191" s="131">
        <f t="shared" si="4"/>
        <v>1.2164640627454242E-2</v>
      </c>
      <c r="I191" s="126">
        <f t="shared" si="5"/>
        <v>329.99999999999989</v>
      </c>
      <c r="J191" s="126">
        <f t="shared" si="6"/>
        <v>0.3299999999999999</v>
      </c>
      <c r="K191" s="126">
        <f t="shared" si="7"/>
        <v>659999.99999999977</v>
      </c>
      <c r="L191" s="131">
        <f t="shared" si="8"/>
        <v>0.65999999999999981</v>
      </c>
      <c r="M191" s="126">
        <f t="shared" si="9"/>
        <v>864</v>
      </c>
      <c r="N191" s="131">
        <f t="shared" si="10"/>
        <v>3.1103999999999998</v>
      </c>
      <c r="O191" s="131">
        <f t="shared" si="11"/>
        <v>3.782564640627454</v>
      </c>
      <c r="P191" s="8">
        <f t="shared" si="12"/>
        <v>126227.00000000001</v>
      </c>
      <c r="Q191" s="8">
        <f>IF(Parameters!$G$29="y",IF(INT($P191/Parameters!$K$29)&gt;INT($P190/Parameters!$K$29),1,0),0)</f>
        <v>0</v>
      </c>
      <c r="R191" s="8">
        <f>IF(Parameters!$G$30="y",IF(INT($P191/Parameters!$K$30)&gt;INT($P190/Parameters!$K$30),1,0),0)</f>
        <v>0</v>
      </c>
      <c r="S191" s="8">
        <f>IF(INT($P191/Parameters!$K$31)&gt;INT($P190/Parameters!$K$31),1,0)</f>
        <v>0</v>
      </c>
      <c r="T191" s="76">
        <f t="shared" si="0"/>
        <v>0</v>
      </c>
      <c r="U191" s="8">
        <f>C190/'Pump Data'!$L$21*1000/60</f>
        <v>1.0444010053057802</v>
      </c>
      <c r="V191" s="8"/>
      <c r="W191" s="8"/>
    </row>
    <row r="192" spans="1:23" ht="14.25" x14ac:dyDescent="0.45">
      <c r="A192" s="125">
        <v>41820</v>
      </c>
      <c r="B192" s="126">
        <v>0</v>
      </c>
      <c r="C192" s="127">
        <f t="shared" si="1"/>
        <v>0</v>
      </c>
      <c r="D192" s="127">
        <f t="shared" si="2"/>
        <v>0.64100000000000001</v>
      </c>
      <c r="E192" s="127">
        <f t="shared" si="13"/>
        <v>28.00100000000009</v>
      </c>
      <c r="F192" s="130">
        <f>Parameters!$B$32*'Pump Data'!$L$21^2+Parameters!$B$33*'Pump Data'!$L$21+Parameters!$B$34</f>
        <v>115.93397007999999</v>
      </c>
      <c r="G192" s="130">
        <f t="shared" si="3"/>
        <v>0</v>
      </c>
      <c r="H192" s="131">
        <f t="shared" si="4"/>
        <v>0</v>
      </c>
      <c r="I192" s="126">
        <f t="shared" si="5"/>
        <v>0</v>
      </c>
      <c r="J192" s="126">
        <f t="shared" si="6"/>
        <v>0</v>
      </c>
      <c r="K192" s="126">
        <f t="shared" si="7"/>
        <v>0</v>
      </c>
      <c r="L192" s="131">
        <f t="shared" si="8"/>
        <v>0</v>
      </c>
      <c r="M192" s="126">
        <f t="shared" si="9"/>
        <v>864</v>
      </c>
      <c r="N192" s="131">
        <f t="shared" si="10"/>
        <v>3.1103999999999998</v>
      </c>
      <c r="O192" s="131">
        <f t="shared" si="11"/>
        <v>3.1103999999999998</v>
      </c>
      <c r="P192" s="8">
        <f t="shared" si="12"/>
        <v>126227.00000000001</v>
      </c>
      <c r="Q192" s="8">
        <f>IF(Parameters!$G$29="y",IF(INT($P192/Parameters!$K$29)&gt;INT($P191/Parameters!$K$29),1,0),0)</f>
        <v>0</v>
      </c>
      <c r="R192" s="8">
        <f>IF(Parameters!$G$30="y",IF(INT($P192/Parameters!$K$30)&gt;INT($P191/Parameters!$K$30),1,0),0)</f>
        <v>0</v>
      </c>
      <c r="S192" s="8">
        <f>IF(INT($P192/Parameters!$K$31)&gt;INT($P191/Parameters!$K$31),1,0)</f>
        <v>0</v>
      </c>
      <c r="T192" s="76">
        <f t="shared" si="0"/>
        <v>0</v>
      </c>
      <c r="U192" s="8">
        <f>C191/'Pump Data'!$L$21*1000/60</f>
        <v>3.0717676626640596E-2</v>
      </c>
      <c r="V192" s="8"/>
      <c r="W192" s="8"/>
    </row>
    <row r="193" spans="1:23" ht="14.25" x14ac:dyDescent="0.45">
      <c r="A193" s="125">
        <v>41821</v>
      </c>
      <c r="B193" s="126">
        <v>0</v>
      </c>
      <c r="C193" s="127">
        <f t="shared" si="1"/>
        <v>0</v>
      </c>
      <c r="D193" s="127">
        <f t="shared" si="2"/>
        <v>0.64100000000000001</v>
      </c>
      <c r="E193" s="127">
        <f t="shared" si="13"/>
        <v>27.360000000000092</v>
      </c>
      <c r="F193" s="130">
        <f>Parameters!$B$32*'Pump Data'!$L$21^2+Parameters!$B$33*'Pump Data'!$L$21+Parameters!$B$34</f>
        <v>115.93397007999999</v>
      </c>
      <c r="G193" s="130">
        <f t="shared" si="3"/>
        <v>0</v>
      </c>
      <c r="H193" s="131">
        <f t="shared" si="4"/>
        <v>0</v>
      </c>
      <c r="I193" s="126">
        <f t="shared" si="5"/>
        <v>0</v>
      </c>
      <c r="J193" s="126">
        <f t="shared" si="6"/>
        <v>0</v>
      </c>
      <c r="K193" s="126">
        <f t="shared" si="7"/>
        <v>0</v>
      </c>
      <c r="L193" s="131">
        <f t="shared" si="8"/>
        <v>0</v>
      </c>
      <c r="M193" s="126">
        <f t="shared" si="9"/>
        <v>864</v>
      </c>
      <c r="N193" s="131">
        <f t="shared" si="10"/>
        <v>3.1103999999999998</v>
      </c>
      <c r="O193" s="131">
        <f t="shared" si="11"/>
        <v>3.1103999999999998</v>
      </c>
      <c r="P193" s="8">
        <f t="shared" si="12"/>
        <v>126227.00000000001</v>
      </c>
      <c r="Q193" s="8">
        <f>IF(Parameters!$G$29="y",IF(INT($P193/Parameters!$K$29)&gt;INT($P192/Parameters!$K$29),1,0),0)</f>
        <v>0</v>
      </c>
      <c r="R193" s="8">
        <f>IF(Parameters!$G$30="y",IF(INT($P193/Parameters!$K$30)&gt;INT($P192/Parameters!$K$30),1,0),0)</f>
        <v>0</v>
      </c>
      <c r="S193" s="8">
        <f>IF(INT($P193/Parameters!$K$31)&gt;INT($P192/Parameters!$K$31),1,0)</f>
        <v>0</v>
      </c>
      <c r="T193" s="76">
        <f t="shared" si="0"/>
        <v>0</v>
      </c>
      <c r="U193" s="8">
        <f>C192/'Pump Data'!$L$21*1000/60</f>
        <v>0</v>
      </c>
      <c r="V193" s="8"/>
      <c r="W193" s="8"/>
    </row>
    <row r="194" spans="1:23" ht="14.25" x14ac:dyDescent="0.45">
      <c r="A194" s="125">
        <v>41822</v>
      </c>
      <c r="B194" s="126">
        <v>1.8</v>
      </c>
      <c r="C194" s="127">
        <f t="shared" si="1"/>
        <v>0.19799999999999998</v>
      </c>
      <c r="D194" s="127">
        <f t="shared" si="2"/>
        <v>0.64100000000000001</v>
      </c>
      <c r="E194" s="127">
        <f t="shared" si="13"/>
        <v>26.917000000000094</v>
      </c>
      <c r="F194" s="130">
        <f>Parameters!$B$32*'Pump Data'!$L$21^2+Parameters!$B$33*'Pump Data'!$L$21+Parameters!$B$34</f>
        <v>115.93397007999999</v>
      </c>
      <c r="G194" s="130">
        <f t="shared" si="3"/>
        <v>36.493921882362727</v>
      </c>
      <c r="H194" s="131">
        <f t="shared" si="4"/>
        <v>3.649392188236273E-2</v>
      </c>
      <c r="I194" s="126">
        <f t="shared" si="5"/>
        <v>989.99999999999977</v>
      </c>
      <c r="J194" s="126">
        <f t="shared" si="6"/>
        <v>0.98999999999999977</v>
      </c>
      <c r="K194" s="126">
        <f t="shared" si="7"/>
        <v>1979999.9999999995</v>
      </c>
      <c r="L194" s="131">
        <f t="shared" si="8"/>
        <v>1.9799999999999995</v>
      </c>
      <c r="M194" s="126">
        <f t="shared" si="9"/>
        <v>864</v>
      </c>
      <c r="N194" s="131">
        <f t="shared" si="10"/>
        <v>3.1103999999999998</v>
      </c>
      <c r="O194" s="131">
        <f t="shared" si="11"/>
        <v>5.1268939218823615</v>
      </c>
      <c r="P194" s="8">
        <f t="shared" si="12"/>
        <v>126425.00000000001</v>
      </c>
      <c r="Q194" s="8">
        <f>IF(Parameters!$G$29="y",IF(INT($P194/Parameters!$K$29)&gt;INT($P193/Parameters!$K$29),1,0),0)</f>
        <v>0</v>
      </c>
      <c r="R194" s="8">
        <f>IF(Parameters!$G$30="y",IF(INT($P194/Parameters!$K$30)&gt;INT($P193/Parameters!$K$30),1,0),0)</f>
        <v>0</v>
      </c>
      <c r="S194" s="8">
        <f>IF(INT($P194/Parameters!$K$31)&gt;INT($P193/Parameters!$K$31),1,0)</f>
        <v>0</v>
      </c>
      <c r="T194" s="76">
        <f t="shared" si="0"/>
        <v>0</v>
      </c>
      <c r="U194" s="8">
        <f>C193/'Pump Data'!$L$21*1000/60</f>
        <v>0</v>
      </c>
      <c r="V194" s="8"/>
      <c r="W194" s="8"/>
    </row>
    <row r="195" spans="1:23" ht="14.25" x14ac:dyDescent="0.45">
      <c r="A195" s="125">
        <v>41823</v>
      </c>
      <c r="B195" s="126">
        <v>6.2</v>
      </c>
      <c r="C195" s="127">
        <f t="shared" si="1"/>
        <v>0.68199999999999994</v>
      </c>
      <c r="D195" s="127">
        <f t="shared" si="2"/>
        <v>0.64100000000000001</v>
      </c>
      <c r="E195" s="127">
        <f t="shared" si="13"/>
        <v>26.958000000000091</v>
      </c>
      <c r="F195" s="130">
        <f>Parameters!$B$32*'Pump Data'!$L$21^2+Parameters!$B$33*'Pump Data'!$L$21+Parameters!$B$34</f>
        <v>115.93397007999999</v>
      </c>
      <c r="G195" s="130">
        <f t="shared" si="3"/>
        <v>125.70128648369383</v>
      </c>
      <c r="H195" s="131">
        <f t="shared" si="4"/>
        <v>0.12570128648369383</v>
      </c>
      <c r="I195" s="126">
        <f t="shared" si="5"/>
        <v>3409.9999999999991</v>
      </c>
      <c r="J195" s="126">
        <f t="shared" si="6"/>
        <v>3.4099999999999993</v>
      </c>
      <c r="K195" s="126">
        <f t="shared" si="7"/>
        <v>6819999.9999999981</v>
      </c>
      <c r="L195" s="131">
        <f t="shared" si="8"/>
        <v>6.8199999999999985</v>
      </c>
      <c r="M195" s="126">
        <f t="shared" si="9"/>
        <v>864</v>
      </c>
      <c r="N195" s="131">
        <f t="shared" si="10"/>
        <v>3.1103999999999998</v>
      </c>
      <c r="O195" s="131">
        <f t="shared" si="11"/>
        <v>10.056101286483692</v>
      </c>
      <c r="P195" s="8">
        <f t="shared" si="12"/>
        <v>127107.00000000001</v>
      </c>
      <c r="Q195" s="8">
        <f>IF(Parameters!$G$29="y",IF(INT($P195/Parameters!$K$29)&gt;INT($P194/Parameters!$K$29),1,0),0)</f>
        <v>0</v>
      </c>
      <c r="R195" s="8">
        <f>IF(Parameters!$G$30="y",IF(INT($P195/Parameters!$K$30)&gt;INT($P194/Parameters!$K$30),1,0),0)</f>
        <v>0</v>
      </c>
      <c r="S195" s="8">
        <f>IF(INT($P195/Parameters!$K$31)&gt;INT($P194/Parameters!$K$31),1,0)</f>
        <v>0</v>
      </c>
      <c r="T195" s="76">
        <f t="shared" si="0"/>
        <v>0</v>
      </c>
      <c r="U195" s="8">
        <f>C194/'Pump Data'!$L$21*1000/60</f>
        <v>9.21530298799218E-2</v>
      </c>
      <c r="V195" s="8"/>
      <c r="W195" s="8"/>
    </row>
    <row r="196" spans="1:23" ht="14.25" x14ac:dyDescent="0.45">
      <c r="A196" s="125">
        <v>41824</v>
      </c>
      <c r="B196" s="126">
        <v>9.4</v>
      </c>
      <c r="C196" s="127">
        <f t="shared" si="1"/>
        <v>1.034</v>
      </c>
      <c r="D196" s="127">
        <f t="shared" si="2"/>
        <v>0.64100000000000001</v>
      </c>
      <c r="E196" s="127">
        <f t="shared" si="13"/>
        <v>27.351000000000091</v>
      </c>
      <c r="F196" s="130">
        <f>Parameters!$B$32*'Pump Data'!$L$21^2+Parameters!$B$33*'Pump Data'!$L$21+Parameters!$B$34</f>
        <v>115.93397007999999</v>
      </c>
      <c r="G196" s="130">
        <f t="shared" si="3"/>
        <v>190.57936983011649</v>
      </c>
      <c r="H196" s="131">
        <f t="shared" si="4"/>
        <v>0.1905793698301165</v>
      </c>
      <c r="I196" s="126">
        <f t="shared" si="5"/>
        <v>5170</v>
      </c>
      <c r="J196" s="126">
        <f t="shared" si="6"/>
        <v>5.17</v>
      </c>
      <c r="K196" s="126">
        <f t="shared" si="7"/>
        <v>10340000</v>
      </c>
      <c r="L196" s="131">
        <f t="shared" si="8"/>
        <v>10.34</v>
      </c>
      <c r="M196" s="126">
        <f t="shared" si="9"/>
        <v>864</v>
      </c>
      <c r="N196" s="131">
        <f t="shared" si="10"/>
        <v>3.1103999999999998</v>
      </c>
      <c r="O196" s="131">
        <f t="shared" si="11"/>
        <v>13.640979369830116</v>
      </c>
      <c r="P196" s="8">
        <f t="shared" si="12"/>
        <v>128141.00000000001</v>
      </c>
      <c r="Q196" s="8">
        <f>IF(Parameters!$G$29="y",IF(INT($P196/Parameters!$K$29)&gt;INT($P195/Parameters!$K$29),1,0),0)</f>
        <v>0</v>
      </c>
      <c r="R196" s="8">
        <f>IF(Parameters!$G$30="y",IF(INT($P196/Parameters!$K$30)&gt;INT($P195/Parameters!$K$30),1,0),0)</f>
        <v>0</v>
      </c>
      <c r="S196" s="8">
        <f>IF(INT($P196/Parameters!$K$31)&gt;INT($P195/Parameters!$K$31),1,0)</f>
        <v>0</v>
      </c>
      <c r="T196" s="76">
        <f t="shared" si="0"/>
        <v>0</v>
      </c>
      <c r="U196" s="8">
        <f>C195/'Pump Data'!$L$21*1000/60</f>
        <v>0.31741599180861951</v>
      </c>
      <c r="V196" s="8"/>
      <c r="W196" s="8"/>
    </row>
    <row r="197" spans="1:23" ht="14.25" x14ac:dyDescent="0.45">
      <c r="A197" s="125">
        <v>41825</v>
      </c>
      <c r="B197" s="126">
        <v>26.6</v>
      </c>
      <c r="C197" s="127">
        <f t="shared" si="1"/>
        <v>2.5</v>
      </c>
      <c r="D197" s="127">
        <f t="shared" si="2"/>
        <v>0.64100000000000001</v>
      </c>
      <c r="E197" s="127">
        <f t="shared" si="13"/>
        <v>29.210000000000093</v>
      </c>
      <c r="F197" s="130">
        <f>Parameters!$B$32*'Pump Data'!$L$21^2+Parameters!$B$33*'Pump Data'!$L$21+Parameters!$B$34</f>
        <v>115.93397007999999</v>
      </c>
      <c r="G197" s="130">
        <f t="shared" si="3"/>
        <v>460.7818419490244</v>
      </c>
      <c r="H197" s="131">
        <f t="shared" si="4"/>
        <v>0.46078184194902438</v>
      </c>
      <c r="I197" s="126">
        <f t="shared" si="5"/>
        <v>12500</v>
      </c>
      <c r="J197" s="126">
        <f t="shared" si="6"/>
        <v>12.5</v>
      </c>
      <c r="K197" s="126">
        <f t="shared" si="7"/>
        <v>25000000</v>
      </c>
      <c r="L197" s="131">
        <f t="shared" si="8"/>
        <v>25</v>
      </c>
      <c r="M197" s="126">
        <f t="shared" si="9"/>
        <v>864</v>
      </c>
      <c r="N197" s="131">
        <f t="shared" si="10"/>
        <v>3.1103999999999998</v>
      </c>
      <c r="O197" s="131">
        <f t="shared" si="11"/>
        <v>28.571181841949024</v>
      </c>
      <c r="P197" s="8">
        <f t="shared" si="12"/>
        <v>130641.00000000001</v>
      </c>
      <c r="Q197" s="8">
        <f>IF(Parameters!$G$29="y",IF(INT($P197/Parameters!$K$29)&gt;INT($P196/Parameters!$K$29),1,0),0)</f>
        <v>0</v>
      </c>
      <c r="R197" s="8">
        <f>IF(Parameters!$G$30="y",IF(INT($P197/Parameters!$K$30)&gt;INT($P196/Parameters!$K$30),1,0),0)</f>
        <v>0</v>
      </c>
      <c r="S197" s="8">
        <f>IF(INT($P197/Parameters!$K$31)&gt;INT($P196/Parameters!$K$31),1,0)</f>
        <v>0</v>
      </c>
      <c r="T197" s="76">
        <f t="shared" si="0"/>
        <v>0</v>
      </c>
      <c r="U197" s="8">
        <f>C196/'Pump Data'!$L$21*1000/60</f>
        <v>0.48124360048403608</v>
      </c>
      <c r="V197" s="8"/>
      <c r="W197" s="8"/>
    </row>
    <row r="198" spans="1:23" ht="14.25" x14ac:dyDescent="0.45">
      <c r="A198" s="125">
        <v>41826</v>
      </c>
      <c r="B198" s="126">
        <v>13.6</v>
      </c>
      <c r="C198" s="127">
        <f t="shared" si="1"/>
        <v>1.496</v>
      </c>
      <c r="D198" s="127">
        <f t="shared" si="2"/>
        <v>0.64100000000000001</v>
      </c>
      <c r="E198" s="127">
        <f t="shared" si="13"/>
        <v>30.06500000000009</v>
      </c>
      <c r="F198" s="130">
        <f>Parameters!$B$32*'Pump Data'!$L$21^2+Parameters!$B$33*'Pump Data'!$L$21+Parameters!$B$34</f>
        <v>115.93397007999999</v>
      </c>
      <c r="G198" s="130">
        <f t="shared" si="3"/>
        <v>275.73185422229619</v>
      </c>
      <c r="H198" s="131">
        <f t="shared" si="4"/>
        <v>0.27573185422229618</v>
      </c>
      <c r="I198" s="126">
        <f t="shared" si="5"/>
        <v>7480</v>
      </c>
      <c r="J198" s="126">
        <f t="shared" si="6"/>
        <v>7.48</v>
      </c>
      <c r="K198" s="126">
        <f t="shared" si="7"/>
        <v>14960000</v>
      </c>
      <c r="L198" s="131">
        <f t="shared" si="8"/>
        <v>14.96</v>
      </c>
      <c r="M198" s="126">
        <f t="shared" si="9"/>
        <v>864</v>
      </c>
      <c r="N198" s="131">
        <f t="shared" si="10"/>
        <v>3.1103999999999998</v>
      </c>
      <c r="O198" s="131">
        <f t="shared" si="11"/>
        <v>18.346131854222296</v>
      </c>
      <c r="P198" s="8">
        <f t="shared" si="12"/>
        <v>132137.00000000003</v>
      </c>
      <c r="Q198" s="8">
        <f>IF(Parameters!$G$29="y",IF(INT($P198/Parameters!$K$29)&gt;INT($P197/Parameters!$K$29),1,0),0)</f>
        <v>0</v>
      </c>
      <c r="R198" s="8">
        <f>IF(Parameters!$G$30="y",IF(INT($P198/Parameters!$K$30)&gt;INT($P197/Parameters!$K$30),1,0),0)</f>
        <v>0</v>
      </c>
      <c r="S198" s="8">
        <f>IF(INT($P198/Parameters!$K$31)&gt;INT($P197/Parameters!$K$31),1,0)</f>
        <v>0</v>
      </c>
      <c r="T198" s="76">
        <f t="shared" si="0"/>
        <v>0</v>
      </c>
      <c r="U198" s="8">
        <f>C197/'Pump Data'!$L$21*1000/60</f>
        <v>1.1635483570697196</v>
      </c>
      <c r="V198" s="8"/>
      <c r="W198" s="8"/>
    </row>
    <row r="199" spans="1:23" ht="14.25" x14ac:dyDescent="0.45">
      <c r="A199" s="125">
        <v>41827</v>
      </c>
      <c r="B199" s="126">
        <v>0</v>
      </c>
      <c r="C199" s="127">
        <f t="shared" si="1"/>
        <v>0</v>
      </c>
      <c r="D199" s="127">
        <f t="shared" si="2"/>
        <v>0.64100000000000001</v>
      </c>
      <c r="E199" s="127">
        <f t="shared" si="13"/>
        <v>29.424000000000092</v>
      </c>
      <c r="F199" s="130">
        <f>Parameters!$B$32*'Pump Data'!$L$21^2+Parameters!$B$33*'Pump Data'!$L$21+Parameters!$B$34</f>
        <v>115.93397007999999</v>
      </c>
      <c r="G199" s="130">
        <f t="shared" si="3"/>
        <v>0</v>
      </c>
      <c r="H199" s="131">
        <f t="shared" si="4"/>
        <v>0</v>
      </c>
      <c r="I199" s="126">
        <f t="shared" si="5"/>
        <v>0</v>
      </c>
      <c r="J199" s="126">
        <f t="shared" si="6"/>
        <v>0</v>
      </c>
      <c r="K199" s="126">
        <f t="shared" si="7"/>
        <v>0</v>
      </c>
      <c r="L199" s="131">
        <f t="shared" si="8"/>
        <v>0</v>
      </c>
      <c r="M199" s="126">
        <f t="shared" si="9"/>
        <v>864</v>
      </c>
      <c r="N199" s="131">
        <f t="shared" si="10"/>
        <v>3.1103999999999998</v>
      </c>
      <c r="O199" s="131">
        <f t="shared" si="11"/>
        <v>3.1103999999999998</v>
      </c>
      <c r="P199" s="8">
        <f t="shared" si="12"/>
        <v>132137.00000000003</v>
      </c>
      <c r="Q199" s="8">
        <f>IF(Parameters!$G$29="y",IF(INT($P199/Parameters!$K$29)&gt;INT($P198/Parameters!$K$29),1,0),0)</f>
        <v>0</v>
      </c>
      <c r="R199" s="8">
        <f>IF(Parameters!$G$30="y",IF(INT($P199/Parameters!$K$30)&gt;INT($P198/Parameters!$K$30),1,0),0)</f>
        <v>0</v>
      </c>
      <c r="S199" s="8">
        <f>IF(INT($P199/Parameters!$K$31)&gt;INT($P198/Parameters!$K$31),1,0)</f>
        <v>0</v>
      </c>
      <c r="T199" s="76">
        <f t="shared" si="0"/>
        <v>0</v>
      </c>
      <c r="U199" s="8">
        <f>C198/'Pump Data'!$L$21*1000/60</f>
        <v>0.69626733687052023</v>
      </c>
      <c r="V199" s="8"/>
      <c r="W199" s="8"/>
    </row>
    <row r="200" spans="1:23" ht="14.25" x14ac:dyDescent="0.45">
      <c r="A200" s="125">
        <v>41828</v>
      </c>
      <c r="B200" s="126">
        <v>0</v>
      </c>
      <c r="C200" s="127">
        <f t="shared" si="1"/>
        <v>0</v>
      </c>
      <c r="D200" s="127">
        <f t="shared" si="2"/>
        <v>0.64100000000000001</v>
      </c>
      <c r="E200" s="127">
        <f t="shared" si="13"/>
        <v>28.783000000000094</v>
      </c>
      <c r="F200" s="130">
        <f>Parameters!$B$32*'Pump Data'!$L$21^2+Parameters!$B$33*'Pump Data'!$L$21+Parameters!$B$34</f>
        <v>115.93397007999999</v>
      </c>
      <c r="G200" s="130">
        <f t="shared" si="3"/>
        <v>0</v>
      </c>
      <c r="H200" s="131">
        <f t="shared" si="4"/>
        <v>0</v>
      </c>
      <c r="I200" s="126">
        <f t="shared" si="5"/>
        <v>0</v>
      </c>
      <c r="J200" s="126">
        <f t="shared" si="6"/>
        <v>0</v>
      </c>
      <c r="K200" s="126">
        <f t="shared" si="7"/>
        <v>0</v>
      </c>
      <c r="L200" s="131">
        <f t="shared" si="8"/>
        <v>0</v>
      </c>
      <c r="M200" s="126">
        <f t="shared" si="9"/>
        <v>864</v>
      </c>
      <c r="N200" s="131">
        <f t="shared" si="10"/>
        <v>3.1103999999999998</v>
      </c>
      <c r="O200" s="131">
        <f t="shared" si="11"/>
        <v>3.1103999999999998</v>
      </c>
      <c r="P200" s="8">
        <f t="shared" si="12"/>
        <v>132137.00000000003</v>
      </c>
      <c r="Q200" s="8">
        <f>IF(Parameters!$G$29="y",IF(INT($P200/Parameters!$K$29)&gt;INT($P199/Parameters!$K$29),1,0),0)</f>
        <v>0</v>
      </c>
      <c r="R200" s="8">
        <f>IF(Parameters!$G$30="y",IF(INT($P200/Parameters!$K$30)&gt;INT($P199/Parameters!$K$30),1,0),0)</f>
        <v>0</v>
      </c>
      <c r="S200" s="8">
        <f>IF(INT($P200/Parameters!$K$31)&gt;INT($P199/Parameters!$K$31),1,0)</f>
        <v>0</v>
      </c>
      <c r="T200" s="76">
        <f t="shared" si="0"/>
        <v>0</v>
      </c>
      <c r="U200" s="8">
        <f>C199/'Pump Data'!$L$21*1000/60</f>
        <v>0</v>
      </c>
      <c r="V200" s="8"/>
      <c r="W200" s="8"/>
    </row>
    <row r="201" spans="1:23" ht="14.25" x14ac:dyDescent="0.45">
      <c r="A201" s="125">
        <v>41829</v>
      </c>
      <c r="B201" s="126">
        <v>0</v>
      </c>
      <c r="C201" s="127">
        <f t="shared" si="1"/>
        <v>0</v>
      </c>
      <c r="D201" s="127">
        <f t="shared" si="2"/>
        <v>0.64100000000000001</v>
      </c>
      <c r="E201" s="127">
        <f t="shared" si="13"/>
        <v>28.142000000000095</v>
      </c>
      <c r="F201" s="130">
        <f>Parameters!$B$32*'Pump Data'!$L$21^2+Parameters!$B$33*'Pump Data'!$L$21+Parameters!$B$34</f>
        <v>115.93397007999999</v>
      </c>
      <c r="G201" s="130">
        <f t="shared" si="3"/>
        <v>0</v>
      </c>
      <c r="H201" s="131">
        <f t="shared" si="4"/>
        <v>0</v>
      </c>
      <c r="I201" s="126">
        <f t="shared" si="5"/>
        <v>0</v>
      </c>
      <c r="J201" s="126">
        <f t="shared" si="6"/>
        <v>0</v>
      </c>
      <c r="K201" s="126">
        <f t="shared" si="7"/>
        <v>0</v>
      </c>
      <c r="L201" s="131">
        <f t="shared" si="8"/>
        <v>0</v>
      </c>
      <c r="M201" s="126">
        <f t="shared" si="9"/>
        <v>864</v>
      </c>
      <c r="N201" s="131">
        <f t="shared" si="10"/>
        <v>3.1103999999999998</v>
      </c>
      <c r="O201" s="131">
        <f t="shared" si="11"/>
        <v>3.1103999999999998</v>
      </c>
      <c r="P201" s="8">
        <f t="shared" si="12"/>
        <v>132137.00000000003</v>
      </c>
      <c r="Q201" s="8">
        <f>IF(Parameters!$G$29="y",IF(INT($P201/Parameters!$K$29)&gt;INT($P200/Parameters!$K$29),1,0),0)</f>
        <v>0</v>
      </c>
      <c r="R201" s="8">
        <f>IF(Parameters!$G$30="y",IF(INT($P201/Parameters!$K$30)&gt;INT($P200/Parameters!$K$30),1,0),0)</f>
        <v>0</v>
      </c>
      <c r="S201" s="8">
        <f>IF(INT($P201/Parameters!$K$31)&gt;INT($P200/Parameters!$K$31),1,0)</f>
        <v>0</v>
      </c>
      <c r="T201" s="76">
        <f t="shared" si="0"/>
        <v>0</v>
      </c>
      <c r="U201" s="8">
        <f>C200/'Pump Data'!$L$21*1000/60</f>
        <v>0</v>
      </c>
      <c r="V201" s="8"/>
      <c r="W201" s="8"/>
    </row>
    <row r="202" spans="1:23" ht="14.25" x14ac:dyDescent="0.45">
      <c r="A202" s="125">
        <v>41830</v>
      </c>
      <c r="B202" s="126">
        <v>0</v>
      </c>
      <c r="C202" s="127">
        <f t="shared" si="1"/>
        <v>0</v>
      </c>
      <c r="D202" s="127">
        <f t="shared" si="2"/>
        <v>0.64100000000000001</v>
      </c>
      <c r="E202" s="127">
        <f t="shared" si="13"/>
        <v>27.501000000000097</v>
      </c>
      <c r="F202" s="130">
        <f>Parameters!$B$32*'Pump Data'!$L$21^2+Parameters!$B$33*'Pump Data'!$L$21+Parameters!$B$34</f>
        <v>115.93397007999999</v>
      </c>
      <c r="G202" s="130">
        <f t="shared" si="3"/>
        <v>0</v>
      </c>
      <c r="H202" s="131">
        <f t="shared" si="4"/>
        <v>0</v>
      </c>
      <c r="I202" s="126">
        <f t="shared" si="5"/>
        <v>0</v>
      </c>
      <c r="J202" s="126">
        <f t="shared" si="6"/>
        <v>0</v>
      </c>
      <c r="K202" s="126">
        <f t="shared" si="7"/>
        <v>0</v>
      </c>
      <c r="L202" s="131">
        <f t="shared" si="8"/>
        <v>0</v>
      </c>
      <c r="M202" s="126">
        <f t="shared" si="9"/>
        <v>864</v>
      </c>
      <c r="N202" s="131">
        <f t="shared" si="10"/>
        <v>3.1103999999999998</v>
      </c>
      <c r="O202" s="131">
        <f t="shared" si="11"/>
        <v>3.1103999999999998</v>
      </c>
      <c r="P202" s="8">
        <f t="shared" si="12"/>
        <v>132137.00000000003</v>
      </c>
      <c r="Q202" s="8">
        <f>IF(Parameters!$G$29="y",IF(INT($P202/Parameters!$K$29)&gt;INT($P201/Parameters!$K$29),1,0),0)</f>
        <v>0</v>
      </c>
      <c r="R202" s="8">
        <f>IF(Parameters!$G$30="y",IF(INT($P202/Parameters!$K$30)&gt;INT($P201/Parameters!$K$30),1,0),0)</f>
        <v>0</v>
      </c>
      <c r="S202" s="8">
        <f>IF(INT($P202/Parameters!$K$31)&gt;INT($P201/Parameters!$K$31),1,0)</f>
        <v>0</v>
      </c>
      <c r="T202" s="76">
        <f t="shared" si="0"/>
        <v>0</v>
      </c>
      <c r="U202" s="8">
        <f>C201/'Pump Data'!$L$21*1000/60</f>
        <v>0</v>
      </c>
      <c r="V202" s="8"/>
      <c r="W202" s="8"/>
    </row>
    <row r="203" spans="1:23" ht="14.25" x14ac:dyDescent="0.45">
      <c r="A203" s="125">
        <v>41831</v>
      </c>
      <c r="B203" s="126">
        <v>0</v>
      </c>
      <c r="C203" s="127">
        <f t="shared" si="1"/>
        <v>0</v>
      </c>
      <c r="D203" s="127">
        <f t="shared" si="2"/>
        <v>0.64100000000000001</v>
      </c>
      <c r="E203" s="127">
        <f t="shared" si="13"/>
        <v>26.860000000000099</v>
      </c>
      <c r="F203" s="130">
        <f>Parameters!$B$32*'Pump Data'!$L$21^2+Parameters!$B$33*'Pump Data'!$L$21+Parameters!$B$34</f>
        <v>115.93397007999999</v>
      </c>
      <c r="G203" s="130">
        <f t="shared" si="3"/>
        <v>0</v>
      </c>
      <c r="H203" s="131">
        <f t="shared" si="4"/>
        <v>0</v>
      </c>
      <c r="I203" s="126">
        <f t="shared" si="5"/>
        <v>0</v>
      </c>
      <c r="J203" s="126">
        <f t="shared" si="6"/>
        <v>0</v>
      </c>
      <c r="K203" s="126">
        <f t="shared" si="7"/>
        <v>0</v>
      </c>
      <c r="L203" s="131">
        <f t="shared" si="8"/>
        <v>0</v>
      </c>
      <c r="M203" s="126">
        <f t="shared" si="9"/>
        <v>864</v>
      </c>
      <c r="N203" s="131">
        <f t="shared" si="10"/>
        <v>3.1103999999999998</v>
      </c>
      <c r="O203" s="131">
        <f t="shared" si="11"/>
        <v>3.1103999999999998</v>
      </c>
      <c r="P203" s="8">
        <f t="shared" si="12"/>
        <v>132137.00000000003</v>
      </c>
      <c r="Q203" s="8">
        <f>IF(Parameters!$G$29="y",IF(INT($P203/Parameters!$K$29)&gt;INT($P202/Parameters!$K$29),1,0),0)</f>
        <v>0</v>
      </c>
      <c r="R203" s="8">
        <f>IF(Parameters!$G$30="y",IF(INT($P203/Parameters!$K$30)&gt;INT($P202/Parameters!$K$30),1,0),0)</f>
        <v>0</v>
      </c>
      <c r="S203" s="8">
        <f>IF(INT($P203/Parameters!$K$31)&gt;INT($P202/Parameters!$K$31),1,0)</f>
        <v>0</v>
      </c>
      <c r="T203" s="76">
        <f t="shared" si="0"/>
        <v>0</v>
      </c>
      <c r="U203" s="8">
        <f>C202/'Pump Data'!$L$21*1000/60</f>
        <v>0</v>
      </c>
      <c r="V203" s="8"/>
      <c r="W203" s="8"/>
    </row>
    <row r="204" spans="1:23" ht="14.25" x14ac:dyDescent="0.45">
      <c r="A204" s="125">
        <v>41832</v>
      </c>
      <c r="B204" s="126">
        <v>0</v>
      </c>
      <c r="C204" s="127">
        <f t="shared" si="1"/>
        <v>0</v>
      </c>
      <c r="D204" s="127">
        <f t="shared" si="2"/>
        <v>0.64100000000000001</v>
      </c>
      <c r="E204" s="127">
        <f t="shared" si="13"/>
        <v>26.219000000000101</v>
      </c>
      <c r="F204" s="130">
        <f>Parameters!$B$32*'Pump Data'!$L$21^2+Parameters!$B$33*'Pump Data'!$L$21+Parameters!$B$34</f>
        <v>115.93397007999999</v>
      </c>
      <c r="G204" s="130">
        <f t="shared" si="3"/>
        <v>0</v>
      </c>
      <c r="H204" s="131">
        <f t="shared" si="4"/>
        <v>0</v>
      </c>
      <c r="I204" s="126">
        <f t="shared" si="5"/>
        <v>0</v>
      </c>
      <c r="J204" s="126">
        <f t="shared" si="6"/>
        <v>0</v>
      </c>
      <c r="K204" s="126">
        <f t="shared" si="7"/>
        <v>0</v>
      </c>
      <c r="L204" s="131">
        <f t="shared" si="8"/>
        <v>0</v>
      </c>
      <c r="M204" s="126">
        <f t="shared" si="9"/>
        <v>864</v>
      </c>
      <c r="N204" s="131">
        <f t="shared" si="10"/>
        <v>3.1103999999999998</v>
      </c>
      <c r="O204" s="131">
        <f t="shared" si="11"/>
        <v>3.1103999999999998</v>
      </c>
      <c r="P204" s="8">
        <f t="shared" si="12"/>
        <v>132137.00000000003</v>
      </c>
      <c r="Q204" s="8">
        <f>IF(Parameters!$G$29="y",IF(INT($P204/Parameters!$K$29)&gt;INT($P203/Parameters!$K$29),1,0),0)</f>
        <v>0</v>
      </c>
      <c r="R204" s="8">
        <f>IF(Parameters!$G$30="y",IF(INT($P204/Parameters!$K$30)&gt;INT($P203/Parameters!$K$30),1,0),0)</f>
        <v>0</v>
      </c>
      <c r="S204" s="8">
        <f>IF(INT($P204/Parameters!$K$31)&gt;INT($P203/Parameters!$K$31),1,0)</f>
        <v>0</v>
      </c>
      <c r="T204" s="76">
        <f t="shared" si="0"/>
        <v>0</v>
      </c>
      <c r="U204" s="8">
        <f>C203/'Pump Data'!$L$21*1000/60</f>
        <v>0</v>
      </c>
      <c r="V204" s="8"/>
      <c r="W204" s="8"/>
    </row>
    <row r="205" spans="1:23" ht="14.25" x14ac:dyDescent="0.45">
      <c r="A205" s="125">
        <v>41833</v>
      </c>
      <c r="B205" s="126">
        <v>0</v>
      </c>
      <c r="C205" s="127">
        <f t="shared" si="1"/>
        <v>0</v>
      </c>
      <c r="D205" s="127">
        <f t="shared" si="2"/>
        <v>0.64100000000000001</v>
      </c>
      <c r="E205" s="127">
        <f t="shared" si="13"/>
        <v>25.578000000000102</v>
      </c>
      <c r="F205" s="130">
        <f>Parameters!$B$32*'Pump Data'!$L$21^2+Parameters!$B$33*'Pump Data'!$L$21+Parameters!$B$34</f>
        <v>115.93397007999999</v>
      </c>
      <c r="G205" s="130">
        <f t="shared" si="3"/>
        <v>0</v>
      </c>
      <c r="H205" s="131">
        <f t="shared" si="4"/>
        <v>0</v>
      </c>
      <c r="I205" s="126">
        <f t="shared" si="5"/>
        <v>0</v>
      </c>
      <c r="J205" s="126">
        <f t="shared" si="6"/>
        <v>0</v>
      </c>
      <c r="K205" s="126">
        <f t="shared" si="7"/>
        <v>0</v>
      </c>
      <c r="L205" s="131">
        <f t="shared" si="8"/>
        <v>0</v>
      </c>
      <c r="M205" s="126">
        <f t="shared" si="9"/>
        <v>864</v>
      </c>
      <c r="N205" s="131">
        <f t="shared" si="10"/>
        <v>3.1103999999999998</v>
      </c>
      <c r="O205" s="131">
        <f t="shared" si="11"/>
        <v>3.1103999999999998</v>
      </c>
      <c r="P205" s="8">
        <f t="shared" si="12"/>
        <v>132137.00000000003</v>
      </c>
      <c r="Q205" s="8">
        <f>IF(Parameters!$G$29="y",IF(INT($P205/Parameters!$K$29)&gt;INT($P204/Parameters!$K$29),1,0),0)</f>
        <v>0</v>
      </c>
      <c r="R205" s="8">
        <f>IF(Parameters!$G$30="y",IF(INT($P205/Parameters!$K$30)&gt;INT($P204/Parameters!$K$30),1,0),0)</f>
        <v>0</v>
      </c>
      <c r="S205" s="8">
        <f>IF(INT($P205/Parameters!$K$31)&gt;INT($P204/Parameters!$K$31),1,0)</f>
        <v>0</v>
      </c>
      <c r="T205" s="76">
        <f t="shared" si="0"/>
        <v>0</v>
      </c>
      <c r="U205" s="8">
        <f>C204/'Pump Data'!$L$21*1000/60</f>
        <v>0</v>
      </c>
      <c r="V205" s="8"/>
      <c r="W205" s="8"/>
    </row>
    <row r="206" spans="1:23" ht="14.25" x14ac:dyDescent="0.45">
      <c r="A206" s="125">
        <v>41834</v>
      </c>
      <c r="B206" s="126">
        <v>0</v>
      </c>
      <c r="C206" s="127">
        <f t="shared" si="1"/>
        <v>0</v>
      </c>
      <c r="D206" s="127">
        <f t="shared" si="2"/>
        <v>0.64100000000000001</v>
      </c>
      <c r="E206" s="127">
        <f t="shared" si="13"/>
        <v>24.937000000000104</v>
      </c>
      <c r="F206" s="130">
        <f>Parameters!$B$32*'Pump Data'!$L$21^2+Parameters!$B$33*'Pump Data'!$L$21+Parameters!$B$34</f>
        <v>115.93397007999999</v>
      </c>
      <c r="G206" s="130">
        <f t="shared" si="3"/>
        <v>0</v>
      </c>
      <c r="H206" s="131">
        <f t="shared" si="4"/>
        <v>0</v>
      </c>
      <c r="I206" s="126">
        <f t="shared" si="5"/>
        <v>0</v>
      </c>
      <c r="J206" s="126">
        <f t="shared" si="6"/>
        <v>0</v>
      </c>
      <c r="K206" s="126">
        <f t="shared" si="7"/>
        <v>0</v>
      </c>
      <c r="L206" s="131">
        <f t="shared" si="8"/>
        <v>0</v>
      </c>
      <c r="M206" s="126">
        <f t="shared" si="9"/>
        <v>864</v>
      </c>
      <c r="N206" s="131">
        <f t="shared" si="10"/>
        <v>3.1103999999999998</v>
      </c>
      <c r="O206" s="131">
        <f t="shared" si="11"/>
        <v>3.1103999999999998</v>
      </c>
      <c r="P206" s="8">
        <f t="shared" si="12"/>
        <v>132137.00000000003</v>
      </c>
      <c r="Q206" s="8">
        <f>IF(Parameters!$G$29="y",IF(INT($P206/Parameters!$K$29)&gt;INT($P205/Parameters!$K$29),1,0),0)</f>
        <v>0</v>
      </c>
      <c r="R206" s="8">
        <f>IF(Parameters!$G$30="y",IF(INT($P206/Parameters!$K$30)&gt;INT($P205/Parameters!$K$30),1,0),0)</f>
        <v>0</v>
      </c>
      <c r="S206" s="8">
        <f>IF(INT($P206/Parameters!$K$31)&gt;INT($P205/Parameters!$K$31),1,0)</f>
        <v>0</v>
      </c>
      <c r="T206" s="76">
        <f t="shared" si="0"/>
        <v>0</v>
      </c>
      <c r="U206" s="8">
        <f>C205/'Pump Data'!$L$21*1000/60</f>
        <v>0</v>
      </c>
      <c r="V206" s="8"/>
      <c r="W206" s="8"/>
    </row>
    <row r="207" spans="1:23" ht="14.25" x14ac:dyDescent="0.45">
      <c r="A207" s="125">
        <v>41835</v>
      </c>
      <c r="B207" s="126">
        <v>0</v>
      </c>
      <c r="C207" s="127">
        <f t="shared" si="1"/>
        <v>0</v>
      </c>
      <c r="D207" s="127">
        <f t="shared" si="2"/>
        <v>0.64100000000000001</v>
      </c>
      <c r="E207" s="127">
        <f t="shared" si="13"/>
        <v>24.296000000000106</v>
      </c>
      <c r="F207" s="130">
        <f>Parameters!$B$32*'Pump Data'!$L$21^2+Parameters!$B$33*'Pump Data'!$L$21+Parameters!$B$34</f>
        <v>115.93397007999999</v>
      </c>
      <c r="G207" s="130">
        <f t="shared" si="3"/>
        <v>0</v>
      </c>
      <c r="H207" s="131">
        <f t="shared" si="4"/>
        <v>0</v>
      </c>
      <c r="I207" s="126">
        <f t="shared" si="5"/>
        <v>0</v>
      </c>
      <c r="J207" s="126">
        <f t="shared" si="6"/>
        <v>0</v>
      </c>
      <c r="K207" s="126">
        <f t="shared" si="7"/>
        <v>0</v>
      </c>
      <c r="L207" s="131">
        <f t="shared" si="8"/>
        <v>0</v>
      </c>
      <c r="M207" s="126">
        <f t="shared" si="9"/>
        <v>864</v>
      </c>
      <c r="N207" s="131">
        <f t="shared" si="10"/>
        <v>3.1103999999999998</v>
      </c>
      <c r="O207" s="131">
        <f t="shared" si="11"/>
        <v>3.1103999999999998</v>
      </c>
      <c r="P207" s="8">
        <f t="shared" si="12"/>
        <v>132137.00000000003</v>
      </c>
      <c r="Q207" s="8">
        <f>IF(Parameters!$G$29="y",IF(INT($P207/Parameters!$K$29)&gt;INT($P206/Parameters!$K$29),1,0),0)</f>
        <v>0</v>
      </c>
      <c r="R207" s="8">
        <f>IF(Parameters!$G$30="y",IF(INT($P207/Parameters!$K$30)&gt;INT($P206/Parameters!$K$30),1,0),0)</f>
        <v>0</v>
      </c>
      <c r="S207" s="8">
        <f>IF(INT($P207/Parameters!$K$31)&gt;INT($P206/Parameters!$K$31),1,0)</f>
        <v>0</v>
      </c>
      <c r="T207" s="76">
        <f t="shared" si="0"/>
        <v>0</v>
      </c>
      <c r="U207" s="8">
        <f>C206/'Pump Data'!$L$21*1000/60</f>
        <v>0</v>
      </c>
      <c r="V207" s="8"/>
      <c r="W207" s="8"/>
    </row>
    <row r="208" spans="1:23" ht="14.25" x14ac:dyDescent="0.45">
      <c r="A208" s="125">
        <v>41836</v>
      </c>
      <c r="B208" s="126">
        <v>0</v>
      </c>
      <c r="C208" s="127">
        <f t="shared" si="1"/>
        <v>0</v>
      </c>
      <c r="D208" s="127">
        <f t="shared" si="2"/>
        <v>0.64100000000000001</v>
      </c>
      <c r="E208" s="127">
        <f t="shared" si="13"/>
        <v>23.655000000000108</v>
      </c>
      <c r="F208" s="130">
        <f>Parameters!$B$32*'Pump Data'!$L$21^2+Parameters!$B$33*'Pump Data'!$L$21+Parameters!$B$34</f>
        <v>115.93397007999999</v>
      </c>
      <c r="G208" s="130">
        <f t="shared" si="3"/>
        <v>0</v>
      </c>
      <c r="H208" s="131">
        <f t="shared" si="4"/>
        <v>0</v>
      </c>
      <c r="I208" s="126">
        <f t="shared" si="5"/>
        <v>0</v>
      </c>
      <c r="J208" s="126">
        <f t="shared" si="6"/>
        <v>0</v>
      </c>
      <c r="K208" s="126">
        <f t="shared" si="7"/>
        <v>0</v>
      </c>
      <c r="L208" s="131">
        <f t="shared" si="8"/>
        <v>0</v>
      </c>
      <c r="M208" s="126">
        <f t="shared" si="9"/>
        <v>864</v>
      </c>
      <c r="N208" s="131">
        <f t="shared" si="10"/>
        <v>3.1103999999999998</v>
      </c>
      <c r="O208" s="131">
        <f t="shared" si="11"/>
        <v>3.1103999999999998</v>
      </c>
      <c r="P208" s="8">
        <f t="shared" si="12"/>
        <v>132137.00000000003</v>
      </c>
      <c r="Q208" s="8">
        <f>IF(Parameters!$G$29="y",IF(INT($P208/Parameters!$K$29)&gt;INT($P207/Parameters!$K$29),1,0),0)</f>
        <v>0</v>
      </c>
      <c r="R208" s="8">
        <f>IF(Parameters!$G$30="y",IF(INT($P208/Parameters!$K$30)&gt;INT($P207/Parameters!$K$30),1,0),0)</f>
        <v>0</v>
      </c>
      <c r="S208" s="8">
        <f>IF(INT($P208/Parameters!$K$31)&gt;INT($P207/Parameters!$K$31),1,0)</f>
        <v>0</v>
      </c>
      <c r="T208" s="76">
        <f t="shared" si="0"/>
        <v>0</v>
      </c>
      <c r="U208" s="8">
        <f>C207/'Pump Data'!$L$21*1000/60</f>
        <v>0</v>
      </c>
      <c r="V208" s="8"/>
      <c r="W208" s="8"/>
    </row>
    <row r="209" spans="1:23" ht="14.25" x14ac:dyDescent="0.45">
      <c r="A209" s="125">
        <v>41837</v>
      </c>
      <c r="B209" s="126">
        <v>0</v>
      </c>
      <c r="C209" s="127">
        <f t="shared" si="1"/>
        <v>0</v>
      </c>
      <c r="D209" s="127">
        <f t="shared" si="2"/>
        <v>0.64100000000000001</v>
      </c>
      <c r="E209" s="127">
        <f t="shared" si="13"/>
        <v>23.014000000000109</v>
      </c>
      <c r="F209" s="130">
        <f>Parameters!$B$32*'Pump Data'!$L$21^2+Parameters!$B$33*'Pump Data'!$L$21+Parameters!$B$34</f>
        <v>115.93397007999999</v>
      </c>
      <c r="G209" s="130">
        <f t="shared" si="3"/>
        <v>0</v>
      </c>
      <c r="H209" s="131">
        <f t="shared" si="4"/>
        <v>0</v>
      </c>
      <c r="I209" s="126">
        <f t="shared" si="5"/>
        <v>0</v>
      </c>
      <c r="J209" s="126">
        <f t="shared" si="6"/>
        <v>0</v>
      </c>
      <c r="K209" s="126">
        <f t="shared" si="7"/>
        <v>0</v>
      </c>
      <c r="L209" s="131">
        <f t="shared" si="8"/>
        <v>0</v>
      </c>
      <c r="M209" s="126">
        <f t="shared" si="9"/>
        <v>864</v>
      </c>
      <c r="N209" s="131">
        <f t="shared" si="10"/>
        <v>3.1103999999999998</v>
      </c>
      <c r="O209" s="131">
        <f t="shared" si="11"/>
        <v>3.1103999999999998</v>
      </c>
      <c r="P209" s="8">
        <f t="shared" si="12"/>
        <v>132137.00000000003</v>
      </c>
      <c r="Q209" s="8">
        <f>IF(Parameters!$G$29="y",IF(INT($P209/Parameters!$K$29)&gt;INT($P208/Parameters!$K$29),1,0),0)</f>
        <v>0</v>
      </c>
      <c r="R209" s="8">
        <f>IF(Parameters!$G$30="y",IF(INT($P209/Parameters!$K$30)&gt;INT($P208/Parameters!$K$30),1,0),0)</f>
        <v>0</v>
      </c>
      <c r="S209" s="8">
        <f>IF(INT($P209/Parameters!$K$31)&gt;INT($P208/Parameters!$K$31),1,0)</f>
        <v>0</v>
      </c>
      <c r="T209" s="76">
        <f t="shared" si="0"/>
        <v>0</v>
      </c>
      <c r="U209" s="8">
        <f>C208/'Pump Data'!$L$21*1000/60</f>
        <v>0</v>
      </c>
      <c r="V209" s="8"/>
      <c r="W209" s="8"/>
    </row>
    <row r="210" spans="1:23" ht="14.25" x14ac:dyDescent="0.45">
      <c r="A210" s="125">
        <v>41838</v>
      </c>
      <c r="B210" s="126">
        <v>37</v>
      </c>
      <c r="C210" s="127">
        <f t="shared" si="1"/>
        <v>2.5</v>
      </c>
      <c r="D210" s="127">
        <f t="shared" si="2"/>
        <v>0.64100000000000001</v>
      </c>
      <c r="E210" s="127">
        <f t="shared" si="13"/>
        <v>24.873000000000111</v>
      </c>
      <c r="F210" s="130">
        <f>Parameters!$B$32*'Pump Data'!$L$21^2+Parameters!$B$33*'Pump Data'!$L$21+Parameters!$B$34</f>
        <v>115.93397007999999</v>
      </c>
      <c r="G210" s="130">
        <f t="shared" si="3"/>
        <v>460.7818419490244</v>
      </c>
      <c r="H210" s="131">
        <f t="shared" si="4"/>
        <v>0.46078184194902438</v>
      </c>
      <c r="I210" s="126">
        <f t="shared" si="5"/>
        <v>12500</v>
      </c>
      <c r="J210" s="126">
        <f t="shared" si="6"/>
        <v>12.5</v>
      </c>
      <c r="K210" s="126">
        <f t="shared" si="7"/>
        <v>25000000</v>
      </c>
      <c r="L210" s="131">
        <f t="shared" si="8"/>
        <v>25</v>
      </c>
      <c r="M210" s="126">
        <f t="shared" si="9"/>
        <v>864</v>
      </c>
      <c r="N210" s="131">
        <f t="shared" si="10"/>
        <v>3.1103999999999998</v>
      </c>
      <c r="O210" s="131">
        <f t="shared" si="11"/>
        <v>28.571181841949024</v>
      </c>
      <c r="P210" s="8">
        <f t="shared" si="12"/>
        <v>134637.00000000003</v>
      </c>
      <c r="Q210" s="8">
        <f>IF(Parameters!$G$29="y",IF(INT($P210/Parameters!$K$29)&gt;INT($P209/Parameters!$K$29),1,0),0)</f>
        <v>0</v>
      </c>
      <c r="R210" s="8">
        <f>IF(Parameters!$G$30="y",IF(INT($P210/Parameters!$K$30)&gt;INT($P209/Parameters!$K$30),1,0),0)</f>
        <v>0</v>
      </c>
      <c r="S210" s="8">
        <f>IF(INT($P210/Parameters!$K$31)&gt;INT($P209/Parameters!$K$31),1,0)</f>
        <v>0</v>
      </c>
      <c r="T210" s="76">
        <f t="shared" si="0"/>
        <v>0</v>
      </c>
      <c r="U210" s="8">
        <f>C209/'Pump Data'!$L$21*1000/60</f>
        <v>0</v>
      </c>
      <c r="V210" s="8"/>
      <c r="W210" s="8"/>
    </row>
    <row r="211" spans="1:23" ht="14.25" x14ac:dyDescent="0.45">
      <c r="A211" s="125">
        <v>41839</v>
      </c>
      <c r="B211" s="126">
        <v>1.8</v>
      </c>
      <c r="C211" s="127">
        <f t="shared" si="1"/>
        <v>0.19799999999999998</v>
      </c>
      <c r="D211" s="127">
        <f t="shared" si="2"/>
        <v>0.64100000000000001</v>
      </c>
      <c r="E211" s="127">
        <f t="shared" si="13"/>
        <v>24.430000000000113</v>
      </c>
      <c r="F211" s="130">
        <f>Parameters!$B$32*'Pump Data'!$L$21^2+Parameters!$B$33*'Pump Data'!$L$21+Parameters!$B$34</f>
        <v>115.93397007999999</v>
      </c>
      <c r="G211" s="130">
        <f t="shared" si="3"/>
        <v>36.493921882362727</v>
      </c>
      <c r="H211" s="131">
        <f t="shared" si="4"/>
        <v>3.649392188236273E-2</v>
      </c>
      <c r="I211" s="126">
        <f t="shared" si="5"/>
        <v>989.99999999999977</v>
      </c>
      <c r="J211" s="126">
        <f t="shared" si="6"/>
        <v>0.98999999999999977</v>
      </c>
      <c r="K211" s="126">
        <f t="shared" si="7"/>
        <v>1979999.9999999995</v>
      </c>
      <c r="L211" s="131">
        <f t="shared" si="8"/>
        <v>1.9799999999999995</v>
      </c>
      <c r="M211" s="126">
        <f t="shared" si="9"/>
        <v>864</v>
      </c>
      <c r="N211" s="131">
        <f t="shared" si="10"/>
        <v>3.1103999999999998</v>
      </c>
      <c r="O211" s="131">
        <f t="shared" si="11"/>
        <v>5.1268939218823615</v>
      </c>
      <c r="P211" s="8">
        <f t="shared" si="12"/>
        <v>134835.00000000003</v>
      </c>
      <c r="Q211" s="8">
        <f>IF(Parameters!$G$29="y",IF(INT($P211/Parameters!$K$29)&gt;INT($P210/Parameters!$K$29),1,0),0)</f>
        <v>0</v>
      </c>
      <c r="R211" s="8">
        <f>IF(Parameters!$G$30="y",IF(INT($P211/Parameters!$K$30)&gt;INT($P210/Parameters!$K$30),1,0),0)</f>
        <v>0</v>
      </c>
      <c r="S211" s="8">
        <f>IF(INT($P211/Parameters!$K$31)&gt;INT($P210/Parameters!$K$31),1,0)</f>
        <v>0</v>
      </c>
      <c r="T211" s="76">
        <f t="shared" si="0"/>
        <v>0</v>
      </c>
      <c r="U211" s="8">
        <f>C210/'Pump Data'!$L$21*1000/60</f>
        <v>1.1635483570697196</v>
      </c>
      <c r="V211" s="8"/>
      <c r="W211" s="8"/>
    </row>
    <row r="212" spans="1:23" ht="14.25" x14ac:dyDescent="0.45">
      <c r="A212" s="125">
        <v>41840</v>
      </c>
      <c r="B212" s="126">
        <v>0</v>
      </c>
      <c r="C212" s="127">
        <f t="shared" si="1"/>
        <v>0</v>
      </c>
      <c r="D212" s="127">
        <f t="shared" si="2"/>
        <v>0.64100000000000001</v>
      </c>
      <c r="E212" s="127">
        <f t="shared" si="13"/>
        <v>23.789000000000115</v>
      </c>
      <c r="F212" s="130">
        <f>Parameters!$B$32*'Pump Data'!$L$21^2+Parameters!$B$33*'Pump Data'!$L$21+Parameters!$B$34</f>
        <v>115.93397007999999</v>
      </c>
      <c r="G212" s="130">
        <f t="shared" si="3"/>
        <v>0</v>
      </c>
      <c r="H212" s="131">
        <f t="shared" si="4"/>
        <v>0</v>
      </c>
      <c r="I212" s="126">
        <f t="shared" si="5"/>
        <v>0</v>
      </c>
      <c r="J212" s="126">
        <f t="shared" si="6"/>
        <v>0</v>
      </c>
      <c r="K212" s="126">
        <f t="shared" si="7"/>
        <v>0</v>
      </c>
      <c r="L212" s="131">
        <f t="shared" si="8"/>
        <v>0</v>
      </c>
      <c r="M212" s="126">
        <f t="shared" si="9"/>
        <v>864</v>
      </c>
      <c r="N212" s="131">
        <f t="shared" si="10"/>
        <v>3.1103999999999998</v>
      </c>
      <c r="O212" s="131">
        <f t="shared" si="11"/>
        <v>3.1103999999999998</v>
      </c>
      <c r="P212" s="8">
        <f t="shared" si="12"/>
        <v>134835.00000000003</v>
      </c>
      <c r="Q212" s="8">
        <f>IF(Parameters!$G$29="y",IF(INT($P212/Parameters!$K$29)&gt;INT($P211/Parameters!$K$29),1,0),0)</f>
        <v>0</v>
      </c>
      <c r="R212" s="8">
        <f>IF(Parameters!$G$30="y",IF(INT($P212/Parameters!$K$30)&gt;INT($P211/Parameters!$K$30),1,0),0)</f>
        <v>0</v>
      </c>
      <c r="S212" s="8">
        <f>IF(INT($P212/Parameters!$K$31)&gt;INT($P211/Parameters!$K$31),1,0)</f>
        <v>0</v>
      </c>
      <c r="T212" s="76">
        <f t="shared" si="0"/>
        <v>0</v>
      </c>
      <c r="U212" s="8">
        <f>C211/'Pump Data'!$L$21*1000/60</f>
        <v>9.21530298799218E-2</v>
      </c>
      <c r="V212" s="8"/>
      <c r="W212" s="8"/>
    </row>
    <row r="213" spans="1:23" ht="14.25" x14ac:dyDescent="0.45">
      <c r="A213" s="125">
        <v>41841</v>
      </c>
      <c r="B213" s="126">
        <v>0</v>
      </c>
      <c r="C213" s="127">
        <f t="shared" si="1"/>
        <v>0</v>
      </c>
      <c r="D213" s="127">
        <f t="shared" si="2"/>
        <v>0.64100000000000001</v>
      </c>
      <c r="E213" s="127">
        <f t="shared" si="13"/>
        <v>23.148000000000117</v>
      </c>
      <c r="F213" s="130">
        <f>Parameters!$B$32*'Pump Data'!$L$21^2+Parameters!$B$33*'Pump Data'!$L$21+Parameters!$B$34</f>
        <v>115.93397007999999</v>
      </c>
      <c r="G213" s="130">
        <f t="shared" si="3"/>
        <v>0</v>
      </c>
      <c r="H213" s="131">
        <f t="shared" si="4"/>
        <v>0</v>
      </c>
      <c r="I213" s="126">
        <f t="shared" si="5"/>
        <v>0</v>
      </c>
      <c r="J213" s="126">
        <f t="shared" si="6"/>
        <v>0</v>
      </c>
      <c r="K213" s="126">
        <f t="shared" si="7"/>
        <v>0</v>
      </c>
      <c r="L213" s="131">
        <f t="shared" si="8"/>
        <v>0</v>
      </c>
      <c r="M213" s="126">
        <f t="shared" si="9"/>
        <v>864</v>
      </c>
      <c r="N213" s="131">
        <f t="shared" si="10"/>
        <v>3.1103999999999998</v>
      </c>
      <c r="O213" s="131">
        <f t="shared" si="11"/>
        <v>3.1103999999999998</v>
      </c>
      <c r="P213" s="8">
        <f t="shared" si="12"/>
        <v>134835.00000000003</v>
      </c>
      <c r="Q213" s="8">
        <f>IF(Parameters!$G$29="y",IF(INT($P213/Parameters!$K$29)&gt;INT($P212/Parameters!$K$29),1,0),0)</f>
        <v>0</v>
      </c>
      <c r="R213" s="8">
        <f>IF(Parameters!$G$30="y",IF(INT($P213/Parameters!$K$30)&gt;INT($P212/Parameters!$K$30),1,0),0)</f>
        <v>0</v>
      </c>
      <c r="S213" s="8">
        <f>IF(INT($P213/Parameters!$K$31)&gt;INT($P212/Parameters!$K$31),1,0)</f>
        <v>0</v>
      </c>
      <c r="T213" s="76">
        <f t="shared" si="0"/>
        <v>0</v>
      </c>
      <c r="U213" s="8">
        <f>C212/'Pump Data'!$L$21*1000/60</f>
        <v>0</v>
      </c>
      <c r="V213" s="8"/>
      <c r="W213" s="8"/>
    </row>
    <row r="214" spans="1:23" ht="14.25" x14ac:dyDescent="0.45">
      <c r="A214" s="125">
        <v>41842</v>
      </c>
      <c r="B214" s="126">
        <v>8</v>
      </c>
      <c r="C214" s="127">
        <f t="shared" si="1"/>
        <v>0.88</v>
      </c>
      <c r="D214" s="127">
        <f t="shared" si="2"/>
        <v>0.64100000000000001</v>
      </c>
      <c r="E214" s="127">
        <f t="shared" si="13"/>
        <v>23.387000000000114</v>
      </c>
      <c r="F214" s="130">
        <f>Parameters!$B$32*'Pump Data'!$L$21^2+Parameters!$B$33*'Pump Data'!$L$21+Parameters!$B$34</f>
        <v>115.93397007999999</v>
      </c>
      <c r="G214" s="130">
        <f t="shared" si="3"/>
        <v>162.19520836605659</v>
      </c>
      <c r="H214" s="131">
        <f t="shared" si="4"/>
        <v>0.16219520836605658</v>
      </c>
      <c r="I214" s="126">
        <f t="shared" si="5"/>
        <v>4400</v>
      </c>
      <c r="J214" s="126">
        <f t="shared" si="6"/>
        <v>4.4000000000000004</v>
      </c>
      <c r="K214" s="126">
        <f t="shared" si="7"/>
        <v>8800000</v>
      </c>
      <c r="L214" s="131">
        <f t="shared" si="8"/>
        <v>8.8000000000000007</v>
      </c>
      <c r="M214" s="126">
        <f t="shared" si="9"/>
        <v>864</v>
      </c>
      <c r="N214" s="131">
        <f t="shared" si="10"/>
        <v>3.1103999999999998</v>
      </c>
      <c r="O214" s="131">
        <f t="shared" si="11"/>
        <v>12.072595208366058</v>
      </c>
      <c r="P214" s="8">
        <f t="shared" si="12"/>
        <v>135715.00000000003</v>
      </c>
      <c r="Q214" s="8">
        <f>IF(Parameters!$G$29="y",IF(INT($P214/Parameters!$K$29)&gt;INT($P213/Parameters!$K$29),1,0),0)</f>
        <v>0</v>
      </c>
      <c r="R214" s="8">
        <f>IF(Parameters!$G$30="y",IF(INT($P214/Parameters!$K$30)&gt;INT($P213/Parameters!$K$30),1,0),0)</f>
        <v>0</v>
      </c>
      <c r="S214" s="8">
        <f>IF(INT($P214/Parameters!$K$31)&gt;INT($P213/Parameters!$K$31),1,0)</f>
        <v>0</v>
      </c>
      <c r="T214" s="76">
        <f t="shared" si="0"/>
        <v>0</v>
      </c>
      <c r="U214" s="8">
        <f>C213/'Pump Data'!$L$21*1000/60</f>
        <v>0</v>
      </c>
      <c r="V214" s="8"/>
      <c r="W214" s="8"/>
    </row>
    <row r="215" spans="1:23" ht="14.25" x14ac:dyDescent="0.45">
      <c r="A215" s="125">
        <v>41843</v>
      </c>
      <c r="B215" s="126">
        <v>18.2</v>
      </c>
      <c r="C215" s="127">
        <f t="shared" si="1"/>
        <v>2.0020000000000002</v>
      </c>
      <c r="D215" s="127">
        <f t="shared" si="2"/>
        <v>0.64100000000000001</v>
      </c>
      <c r="E215" s="127">
        <f t="shared" si="13"/>
        <v>24.748000000000111</v>
      </c>
      <c r="F215" s="130">
        <f>Parameters!$B$32*'Pump Data'!$L$21^2+Parameters!$B$33*'Pump Data'!$L$21+Parameters!$B$34</f>
        <v>115.93397007999999</v>
      </c>
      <c r="G215" s="130">
        <f t="shared" si="3"/>
        <v>368.99409903277876</v>
      </c>
      <c r="H215" s="131">
        <f t="shared" si="4"/>
        <v>0.36899409903277874</v>
      </c>
      <c r="I215" s="126">
        <f t="shared" si="5"/>
        <v>10010.000000000002</v>
      </c>
      <c r="J215" s="126">
        <f t="shared" si="6"/>
        <v>10.010000000000002</v>
      </c>
      <c r="K215" s="126">
        <f t="shared" si="7"/>
        <v>20020000.000000004</v>
      </c>
      <c r="L215" s="131">
        <f t="shared" si="8"/>
        <v>20.020000000000003</v>
      </c>
      <c r="M215" s="126">
        <f t="shared" si="9"/>
        <v>864</v>
      </c>
      <c r="N215" s="131">
        <f t="shared" si="10"/>
        <v>3.1103999999999998</v>
      </c>
      <c r="O215" s="131">
        <f t="shared" si="11"/>
        <v>23.499394099032781</v>
      </c>
      <c r="P215" s="8">
        <f t="shared" si="12"/>
        <v>137717.00000000003</v>
      </c>
      <c r="Q215" s="8">
        <f>IF(Parameters!$G$29="y",IF(INT($P215/Parameters!$K$29)&gt;INT($P214/Parameters!$K$29),1,0),0)</f>
        <v>0</v>
      </c>
      <c r="R215" s="8">
        <f>IF(Parameters!$G$30="y",IF(INT($P215/Parameters!$K$30)&gt;INT($P214/Parameters!$K$30),1,0),0)</f>
        <v>0</v>
      </c>
      <c r="S215" s="8">
        <f>IF(INT($P215/Parameters!$K$31)&gt;INT($P214/Parameters!$K$31),1,0)</f>
        <v>0</v>
      </c>
      <c r="T215" s="76">
        <f t="shared" si="0"/>
        <v>0</v>
      </c>
      <c r="U215" s="8">
        <f>C214/'Pump Data'!$L$21*1000/60</f>
        <v>0.40956902168854137</v>
      </c>
      <c r="V215" s="8"/>
      <c r="W215" s="8"/>
    </row>
    <row r="216" spans="1:23" ht="14.25" x14ac:dyDescent="0.45">
      <c r="A216" s="125">
        <v>41844</v>
      </c>
      <c r="B216" s="126">
        <v>0.6</v>
      </c>
      <c r="C216" s="127">
        <f t="shared" si="1"/>
        <v>6.5999999999999989E-2</v>
      </c>
      <c r="D216" s="127">
        <f t="shared" si="2"/>
        <v>0.64100000000000001</v>
      </c>
      <c r="E216" s="127">
        <f t="shared" si="13"/>
        <v>24.173000000000108</v>
      </c>
      <c r="F216" s="130">
        <f>Parameters!$B$32*'Pump Data'!$L$21^2+Parameters!$B$33*'Pump Data'!$L$21+Parameters!$B$34</f>
        <v>115.93397007999999</v>
      </c>
      <c r="G216" s="130">
        <f t="shared" si="3"/>
        <v>12.164640627454242</v>
      </c>
      <c r="H216" s="131">
        <f t="shared" si="4"/>
        <v>1.2164640627454242E-2</v>
      </c>
      <c r="I216" s="126">
        <f t="shared" si="5"/>
        <v>329.99999999999989</v>
      </c>
      <c r="J216" s="126">
        <f t="shared" si="6"/>
        <v>0.3299999999999999</v>
      </c>
      <c r="K216" s="126">
        <f t="shared" si="7"/>
        <v>659999.99999999977</v>
      </c>
      <c r="L216" s="131">
        <f t="shared" si="8"/>
        <v>0.65999999999999981</v>
      </c>
      <c r="M216" s="126">
        <f t="shared" si="9"/>
        <v>864</v>
      </c>
      <c r="N216" s="131">
        <f t="shared" si="10"/>
        <v>3.1103999999999998</v>
      </c>
      <c r="O216" s="131">
        <f t="shared" si="11"/>
        <v>3.782564640627454</v>
      </c>
      <c r="P216" s="8">
        <f t="shared" si="12"/>
        <v>137783.00000000006</v>
      </c>
      <c r="Q216" s="8">
        <f>IF(Parameters!$G$29="y",IF(INT($P216/Parameters!$K$29)&gt;INT($P215/Parameters!$K$29),1,0),0)</f>
        <v>0</v>
      </c>
      <c r="R216" s="8">
        <f>IF(Parameters!$G$30="y",IF(INT($P216/Parameters!$K$30)&gt;INT($P215/Parameters!$K$30),1,0),0)</f>
        <v>0</v>
      </c>
      <c r="S216" s="8">
        <f>IF(INT($P216/Parameters!$K$31)&gt;INT($P215/Parameters!$K$31),1,0)</f>
        <v>0</v>
      </c>
      <c r="T216" s="76">
        <f t="shared" si="0"/>
        <v>0</v>
      </c>
      <c r="U216" s="8">
        <f>C215/'Pump Data'!$L$21*1000/60</f>
        <v>0.93176952434143168</v>
      </c>
      <c r="V216" s="8"/>
      <c r="W216" s="8"/>
    </row>
    <row r="217" spans="1:23" ht="14.25" x14ac:dyDescent="0.45">
      <c r="A217" s="125">
        <v>41845</v>
      </c>
      <c r="B217" s="126">
        <v>0</v>
      </c>
      <c r="C217" s="127">
        <f t="shared" si="1"/>
        <v>0</v>
      </c>
      <c r="D217" s="127">
        <f t="shared" si="2"/>
        <v>0.64100000000000001</v>
      </c>
      <c r="E217" s="127">
        <f t="shared" si="13"/>
        <v>23.53200000000011</v>
      </c>
      <c r="F217" s="130">
        <f>Parameters!$B$32*'Pump Data'!$L$21^2+Parameters!$B$33*'Pump Data'!$L$21+Parameters!$B$34</f>
        <v>115.93397007999999</v>
      </c>
      <c r="G217" s="130">
        <f t="shared" si="3"/>
        <v>0</v>
      </c>
      <c r="H217" s="131">
        <f t="shared" si="4"/>
        <v>0</v>
      </c>
      <c r="I217" s="126">
        <f t="shared" si="5"/>
        <v>0</v>
      </c>
      <c r="J217" s="126">
        <f t="shared" si="6"/>
        <v>0</v>
      </c>
      <c r="K217" s="126">
        <f t="shared" si="7"/>
        <v>0</v>
      </c>
      <c r="L217" s="131">
        <f t="shared" si="8"/>
        <v>0</v>
      </c>
      <c r="M217" s="126">
        <f t="shared" si="9"/>
        <v>864</v>
      </c>
      <c r="N217" s="131">
        <f t="shared" si="10"/>
        <v>3.1103999999999998</v>
      </c>
      <c r="O217" s="131">
        <f t="shared" si="11"/>
        <v>3.1103999999999998</v>
      </c>
      <c r="P217" s="8">
        <f t="shared" si="12"/>
        <v>137783.00000000006</v>
      </c>
      <c r="Q217" s="8">
        <f>IF(Parameters!$G$29="y",IF(INT($P217/Parameters!$K$29)&gt;INT($P216/Parameters!$K$29),1,0),0)</f>
        <v>0</v>
      </c>
      <c r="R217" s="8">
        <f>IF(Parameters!$G$30="y",IF(INT($P217/Parameters!$K$30)&gt;INT($P216/Parameters!$K$30),1,0),0)</f>
        <v>0</v>
      </c>
      <c r="S217" s="8">
        <f>IF(INT($P217/Parameters!$K$31)&gt;INT($P216/Parameters!$K$31),1,0)</f>
        <v>0</v>
      </c>
      <c r="T217" s="76">
        <f t="shared" si="0"/>
        <v>0</v>
      </c>
      <c r="U217" s="8">
        <f>C216/'Pump Data'!$L$21*1000/60</f>
        <v>3.0717676626640596E-2</v>
      </c>
      <c r="V217" s="8"/>
      <c r="W217" s="8"/>
    </row>
    <row r="218" spans="1:23" ht="14.25" x14ac:dyDescent="0.45">
      <c r="A218" s="125">
        <v>41846</v>
      </c>
      <c r="B218" s="126">
        <v>0</v>
      </c>
      <c r="C218" s="127">
        <f t="shared" si="1"/>
        <v>0</v>
      </c>
      <c r="D218" s="127">
        <f t="shared" si="2"/>
        <v>0.64100000000000001</v>
      </c>
      <c r="E218" s="127">
        <f t="shared" si="13"/>
        <v>22.891000000000112</v>
      </c>
      <c r="F218" s="130">
        <f>Parameters!$B$32*'Pump Data'!$L$21^2+Parameters!$B$33*'Pump Data'!$L$21+Parameters!$B$34</f>
        <v>115.93397007999999</v>
      </c>
      <c r="G218" s="130">
        <f t="shared" si="3"/>
        <v>0</v>
      </c>
      <c r="H218" s="131">
        <f t="shared" si="4"/>
        <v>0</v>
      </c>
      <c r="I218" s="126">
        <f t="shared" si="5"/>
        <v>0</v>
      </c>
      <c r="J218" s="126">
        <f t="shared" si="6"/>
        <v>0</v>
      </c>
      <c r="K218" s="126">
        <f t="shared" si="7"/>
        <v>0</v>
      </c>
      <c r="L218" s="131">
        <f t="shared" si="8"/>
        <v>0</v>
      </c>
      <c r="M218" s="126">
        <f t="shared" si="9"/>
        <v>864</v>
      </c>
      <c r="N218" s="131">
        <f t="shared" si="10"/>
        <v>3.1103999999999998</v>
      </c>
      <c r="O218" s="131">
        <f t="shared" si="11"/>
        <v>3.1103999999999998</v>
      </c>
      <c r="P218" s="8">
        <f t="shared" si="12"/>
        <v>137783.00000000006</v>
      </c>
      <c r="Q218" s="8">
        <f>IF(Parameters!$G$29="y",IF(INT($P218/Parameters!$K$29)&gt;INT($P217/Parameters!$K$29),1,0),0)</f>
        <v>0</v>
      </c>
      <c r="R218" s="8">
        <f>IF(Parameters!$G$30="y",IF(INT($P218/Parameters!$K$30)&gt;INT($P217/Parameters!$K$30),1,0),0)</f>
        <v>0</v>
      </c>
      <c r="S218" s="8">
        <f>IF(INT($P218/Parameters!$K$31)&gt;INT($P217/Parameters!$K$31),1,0)</f>
        <v>0</v>
      </c>
      <c r="T218" s="76">
        <f t="shared" si="0"/>
        <v>0</v>
      </c>
      <c r="U218" s="8">
        <f>C217/'Pump Data'!$L$21*1000/60</f>
        <v>0</v>
      </c>
      <c r="V218" s="8"/>
      <c r="W218" s="8"/>
    </row>
    <row r="219" spans="1:23" ht="14.25" x14ac:dyDescent="0.45">
      <c r="A219" s="125">
        <v>41847</v>
      </c>
      <c r="B219" s="126">
        <v>0</v>
      </c>
      <c r="C219" s="127">
        <f t="shared" si="1"/>
        <v>0</v>
      </c>
      <c r="D219" s="127">
        <f t="shared" si="2"/>
        <v>0.64100000000000001</v>
      </c>
      <c r="E219" s="127">
        <f t="shared" si="13"/>
        <v>22.250000000000114</v>
      </c>
      <c r="F219" s="130">
        <f>Parameters!$B$32*'Pump Data'!$L$21^2+Parameters!$B$33*'Pump Data'!$L$21+Parameters!$B$34</f>
        <v>115.93397007999999</v>
      </c>
      <c r="G219" s="130">
        <f t="shared" si="3"/>
        <v>0</v>
      </c>
      <c r="H219" s="131">
        <f t="shared" si="4"/>
        <v>0</v>
      </c>
      <c r="I219" s="126">
        <f t="shared" si="5"/>
        <v>0</v>
      </c>
      <c r="J219" s="126">
        <f t="shared" si="6"/>
        <v>0</v>
      </c>
      <c r="K219" s="126">
        <f t="shared" si="7"/>
        <v>0</v>
      </c>
      <c r="L219" s="131">
        <f t="shared" si="8"/>
        <v>0</v>
      </c>
      <c r="M219" s="126">
        <f t="shared" si="9"/>
        <v>864</v>
      </c>
      <c r="N219" s="131">
        <f t="shared" si="10"/>
        <v>3.1103999999999998</v>
      </c>
      <c r="O219" s="131">
        <f t="shared" si="11"/>
        <v>3.1103999999999998</v>
      </c>
      <c r="P219" s="8">
        <f t="shared" si="12"/>
        <v>137783.00000000006</v>
      </c>
      <c r="Q219" s="8">
        <f>IF(Parameters!$G$29="y",IF(INT($P219/Parameters!$K$29)&gt;INT($P218/Parameters!$K$29),1,0),0)</f>
        <v>0</v>
      </c>
      <c r="R219" s="8">
        <f>IF(Parameters!$G$30="y",IF(INT($P219/Parameters!$K$30)&gt;INT($P218/Parameters!$K$30),1,0),0)</f>
        <v>0</v>
      </c>
      <c r="S219" s="8">
        <f>IF(INT($P219/Parameters!$K$31)&gt;INT($P218/Parameters!$K$31),1,0)</f>
        <v>0</v>
      </c>
      <c r="T219" s="76">
        <f t="shared" si="0"/>
        <v>0</v>
      </c>
      <c r="U219" s="8">
        <f>C218/'Pump Data'!$L$21*1000/60</f>
        <v>0</v>
      </c>
      <c r="V219" s="8"/>
      <c r="W219" s="8"/>
    </row>
    <row r="220" spans="1:23" ht="14.25" x14ac:dyDescent="0.45">
      <c r="A220" s="125">
        <v>41848</v>
      </c>
      <c r="B220" s="126">
        <v>0</v>
      </c>
      <c r="C220" s="127">
        <f t="shared" si="1"/>
        <v>0</v>
      </c>
      <c r="D220" s="127">
        <f t="shared" si="2"/>
        <v>0.64100000000000001</v>
      </c>
      <c r="E220" s="127">
        <f t="shared" si="13"/>
        <v>21.609000000000115</v>
      </c>
      <c r="F220" s="130">
        <f>Parameters!$B$32*'Pump Data'!$L$21^2+Parameters!$B$33*'Pump Data'!$L$21+Parameters!$B$34</f>
        <v>115.93397007999999</v>
      </c>
      <c r="G220" s="130">
        <f t="shared" si="3"/>
        <v>0</v>
      </c>
      <c r="H220" s="131">
        <f t="shared" si="4"/>
        <v>0</v>
      </c>
      <c r="I220" s="126">
        <f t="shared" si="5"/>
        <v>0</v>
      </c>
      <c r="J220" s="126">
        <f t="shared" si="6"/>
        <v>0</v>
      </c>
      <c r="K220" s="126">
        <f t="shared" si="7"/>
        <v>0</v>
      </c>
      <c r="L220" s="131">
        <f t="shared" si="8"/>
        <v>0</v>
      </c>
      <c r="M220" s="126">
        <f t="shared" si="9"/>
        <v>864</v>
      </c>
      <c r="N220" s="131">
        <f t="shared" si="10"/>
        <v>3.1103999999999998</v>
      </c>
      <c r="O220" s="131">
        <f t="shared" si="11"/>
        <v>3.1103999999999998</v>
      </c>
      <c r="P220" s="8">
        <f t="shared" si="12"/>
        <v>137783.00000000006</v>
      </c>
      <c r="Q220" s="8">
        <f>IF(Parameters!$G$29="y",IF(INT($P220/Parameters!$K$29)&gt;INT($P219/Parameters!$K$29),1,0),0)</f>
        <v>0</v>
      </c>
      <c r="R220" s="8">
        <f>IF(Parameters!$G$30="y",IF(INT($P220/Parameters!$K$30)&gt;INT($P219/Parameters!$K$30),1,0),0)</f>
        <v>0</v>
      </c>
      <c r="S220" s="8">
        <f>IF(INT($P220/Parameters!$K$31)&gt;INT($P219/Parameters!$K$31),1,0)</f>
        <v>0</v>
      </c>
      <c r="T220" s="76">
        <f t="shared" si="0"/>
        <v>0</v>
      </c>
      <c r="U220" s="8">
        <f>C219/'Pump Data'!$L$21*1000/60</f>
        <v>0</v>
      </c>
      <c r="V220" s="8"/>
      <c r="W220" s="8"/>
    </row>
    <row r="221" spans="1:23" ht="14.25" x14ac:dyDescent="0.45">
      <c r="A221" s="125">
        <v>41849</v>
      </c>
      <c r="B221" s="126">
        <v>0</v>
      </c>
      <c r="C221" s="127">
        <f t="shared" si="1"/>
        <v>0</v>
      </c>
      <c r="D221" s="127">
        <f t="shared" si="2"/>
        <v>0.64100000000000001</v>
      </c>
      <c r="E221" s="127">
        <f t="shared" si="13"/>
        <v>20.968000000000117</v>
      </c>
      <c r="F221" s="130">
        <f>Parameters!$B$32*'Pump Data'!$L$21^2+Parameters!$B$33*'Pump Data'!$L$21+Parameters!$B$34</f>
        <v>115.93397007999999</v>
      </c>
      <c r="G221" s="130">
        <f t="shared" si="3"/>
        <v>0</v>
      </c>
      <c r="H221" s="131">
        <f t="shared" si="4"/>
        <v>0</v>
      </c>
      <c r="I221" s="126">
        <f t="shared" si="5"/>
        <v>0</v>
      </c>
      <c r="J221" s="126">
        <f t="shared" si="6"/>
        <v>0</v>
      </c>
      <c r="K221" s="126">
        <f t="shared" si="7"/>
        <v>0</v>
      </c>
      <c r="L221" s="131">
        <f t="shared" si="8"/>
        <v>0</v>
      </c>
      <c r="M221" s="126">
        <f t="shared" si="9"/>
        <v>864</v>
      </c>
      <c r="N221" s="131">
        <f t="shared" si="10"/>
        <v>3.1103999999999998</v>
      </c>
      <c r="O221" s="131">
        <f t="shared" si="11"/>
        <v>3.1103999999999998</v>
      </c>
      <c r="P221" s="8">
        <f t="shared" si="12"/>
        <v>137783.00000000006</v>
      </c>
      <c r="Q221" s="8">
        <f>IF(Parameters!$G$29="y",IF(INT($P221/Parameters!$K$29)&gt;INT($P220/Parameters!$K$29),1,0),0)</f>
        <v>0</v>
      </c>
      <c r="R221" s="8">
        <f>IF(Parameters!$G$30="y",IF(INT($P221/Parameters!$K$30)&gt;INT($P220/Parameters!$K$30),1,0),0)</f>
        <v>0</v>
      </c>
      <c r="S221" s="8">
        <f>IF(INT($P221/Parameters!$K$31)&gt;INT($P220/Parameters!$K$31),1,0)</f>
        <v>0</v>
      </c>
      <c r="T221" s="76">
        <f t="shared" si="0"/>
        <v>0</v>
      </c>
      <c r="U221" s="8">
        <f>C220/'Pump Data'!$L$21*1000/60</f>
        <v>0</v>
      </c>
      <c r="V221" s="8"/>
      <c r="W221" s="8"/>
    </row>
    <row r="222" spans="1:23" ht="14.25" x14ac:dyDescent="0.45">
      <c r="A222" s="125">
        <v>41850</v>
      </c>
      <c r="B222" s="126">
        <v>0</v>
      </c>
      <c r="C222" s="127">
        <f t="shared" si="1"/>
        <v>0</v>
      </c>
      <c r="D222" s="127">
        <f t="shared" si="2"/>
        <v>0.64100000000000001</v>
      </c>
      <c r="E222" s="127">
        <f t="shared" si="13"/>
        <v>20.327000000000119</v>
      </c>
      <c r="F222" s="130">
        <f>Parameters!$B$32*'Pump Data'!$L$21^2+Parameters!$B$33*'Pump Data'!$L$21+Parameters!$B$34</f>
        <v>115.93397007999999</v>
      </c>
      <c r="G222" s="130">
        <f t="shared" si="3"/>
        <v>0</v>
      </c>
      <c r="H222" s="131">
        <f t="shared" si="4"/>
        <v>0</v>
      </c>
      <c r="I222" s="126">
        <f t="shared" si="5"/>
        <v>0</v>
      </c>
      <c r="J222" s="126">
        <f t="shared" si="6"/>
        <v>0</v>
      </c>
      <c r="K222" s="126">
        <f t="shared" si="7"/>
        <v>0</v>
      </c>
      <c r="L222" s="131">
        <f t="shared" si="8"/>
        <v>0</v>
      </c>
      <c r="M222" s="126">
        <f t="shared" si="9"/>
        <v>864</v>
      </c>
      <c r="N222" s="131">
        <f t="shared" si="10"/>
        <v>3.1103999999999998</v>
      </c>
      <c r="O222" s="131">
        <f t="shared" si="11"/>
        <v>3.1103999999999998</v>
      </c>
      <c r="P222" s="8">
        <f t="shared" si="12"/>
        <v>137783.00000000006</v>
      </c>
      <c r="Q222" s="8">
        <f>IF(Parameters!$G$29="y",IF(INT($P222/Parameters!$K$29)&gt;INT($P221/Parameters!$K$29),1,0),0)</f>
        <v>0</v>
      </c>
      <c r="R222" s="8">
        <f>IF(Parameters!$G$30="y",IF(INT($P222/Parameters!$K$30)&gt;INT($P221/Parameters!$K$30),1,0),0)</f>
        <v>0</v>
      </c>
      <c r="S222" s="8">
        <f>IF(INT($P222/Parameters!$K$31)&gt;INT($P221/Parameters!$K$31),1,0)</f>
        <v>0</v>
      </c>
      <c r="T222" s="76">
        <f t="shared" si="0"/>
        <v>0</v>
      </c>
      <c r="U222" s="8">
        <f>C221/'Pump Data'!$L$21*1000/60</f>
        <v>0</v>
      </c>
      <c r="V222" s="8"/>
      <c r="W222" s="8"/>
    </row>
    <row r="223" spans="1:23" ht="14.25" x14ac:dyDescent="0.45">
      <c r="A223" s="125">
        <v>41851</v>
      </c>
      <c r="B223" s="126">
        <v>0</v>
      </c>
      <c r="C223" s="127">
        <f t="shared" si="1"/>
        <v>0</v>
      </c>
      <c r="D223" s="127">
        <f t="shared" si="2"/>
        <v>0.64100000000000001</v>
      </c>
      <c r="E223" s="127">
        <f t="shared" si="13"/>
        <v>19.686000000000121</v>
      </c>
      <c r="F223" s="130">
        <f>Parameters!$B$32*'Pump Data'!$L$21^2+Parameters!$B$33*'Pump Data'!$L$21+Parameters!$B$34</f>
        <v>115.93397007999999</v>
      </c>
      <c r="G223" s="130">
        <f t="shared" si="3"/>
        <v>0</v>
      </c>
      <c r="H223" s="131">
        <f t="shared" si="4"/>
        <v>0</v>
      </c>
      <c r="I223" s="126">
        <f t="shared" si="5"/>
        <v>0</v>
      </c>
      <c r="J223" s="126">
        <f t="shared" si="6"/>
        <v>0</v>
      </c>
      <c r="K223" s="126">
        <f t="shared" si="7"/>
        <v>0</v>
      </c>
      <c r="L223" s="131">
        <f t="shared" si="8"/>
        <v>0</v>
      </c>
      <c r="M223" s="126">
        <f t="shared" si="9"/>
        <v>864</v>
      </c>
      <c r="N223" s="131">
        <f t="shared" si="10"/>
        <v>3.1103999999999998</v>
      </c>
      <c r="O223" s="131">
        <f t="shared" si="11"/>
        <v>3.1103999999999998</v>
      </c>
      <c r="P223" s="8">
        <f t="shared" si="12"/>
        <v>137783.00000000006</v>
      </c>
      <c r="Q223" s="8">
        <f>IF(Parameters!$G$29="y",IF(INT($P223/Parameters!$K$29)&gt;INT($P222/Parameters!$K$29),1,0),0)</f>
        <v>0</v>
      </c>
      <c r="R223" s="8">
        <f>IF(Parameters!$G$30="y",IF(INT($P223/Parameters!$K$30)&gt;INT($P222/Parameters!$K$30),1,0),0)</f>
        <v>0</v>
      </c>
      <c r="S223" s="8">
        <f>IF(INT($P223/Parameters!$K$31)&gt;INT($P222/Parameters!$K$31),1,0)</f>
        <v>0</v>
      </c>
      <c r="T223" s="76">
        <f t="shared" si="0"/>
        <v>0</v>
      </c>
      <c r="U223" s="8">
        <f>C222/'Pump Data'!$L$21*1000/60</f>
        <v>0</v>
      </c>
      <c r="V223" s="8"/>
      <c r="W223" s="8"/>
    </row>
    <row r="224" spans="1:23" ht="14.25" x14ac:dyDescent="0.45">
      <c r="A224" s="125">
        <v>41852</v>
      </c>
      <c r="B224" s="126">
        <v>0</v>
      </c>
      <c r="C224" s="127">
        <f t="shared" si="1"/>
        <v>0</v>
      </c>
      <c r="D224" s="127">
        <f t="shared" si="2"/>
        <v>0.64100000000000001</v>
      </c>
      <c r="E224" s="127">
        <f t="shared" si="13"/>
        <v>19.045000000000122</v>
      </c>
      <c r="F224" s="130">
        <f>Parameters!$B$32*'Pump Data'!$L$21^2+Parameters!$B$33*'Pump Data'!$L$21+Parameters!$B$34</f>
        <v>115.93397007999999</v>
      </c>
      <c r="G224" s="130">
        <f t="shared" si="3"/>
        <v>0</v>
      </c>
      <c r="H224" s="131">
        <f t="shared" si="4"/>
        <v>0</v>
      </c>
      <c r="I224" s="126">
        <f t="shared" si="5"/>
        <v>0</v>
      </c>
      <c r="J224" s="126">
        <f t="shared" si="6"/>
        <v>0</v>
      </c>
      <c r="K224" s="126">
        <f t="shared" si="7"/>
        <v>0</v>
      </c>
      <c r="L224" s="131">
        <f t="shared" si="8"/>
        <v>0</v>
      </c>
      <c r="M224" s="126">
        <f t="shared" si="9"/>
        <v>864</v>
      </c>
      <c r="N224" s="131">
        <f t="shared" si="10"/>
        <v>3.1103999999999998</v>
      </c>
      <c r="O224" s="131">
        <f t="shared" si="11"/>
        <v>3.1103999999999998</v>
      </c>
      <c r="P224" s="8">
        <f t="shared" si="12"/>
        <v>137783.00000000006</v>
      </c>
      <c r="Q224" s="8">
        <f>IF(Parameters!$G$29="y",IF(INT($P224/Parameters!$K$29)&gt;INT($P223/Parameters!$K$29),1,0),0)</f>
        <v>0</v>
      </c>
      <c r="R224" s="8">
        <f>IF(Parameters!$G$30="y",IF(INT($P224/Parameters!$K$30)&gt;INT($P223/Parameters!$K$30),1,0),0)</f>
        <v>0</v>
      </c>
      <c r="S224" s="8">
        <f>IF(INT($P224/Parameters!$K$31)&gt;INT($P223/Parameters!$K$31),1,0)</f>
        <v>0</v>
      </c>
      <c r="T224" s="76">
        <f t="shared" si="0"/>
        <v>0</v>
      </c>
      <c r="U224" s="8">
        <f>C223/'Pump Data'!$L$21*1000/60</f>
        <v>0</v>
      </c>
      <c r="V224" s="8"/>
      <c r="W224" s="8"/>
    </row>
    <row r="225" spans="1:23" ht="14.25" x14ac:dyDescent="0.45">
      <c r="A225" s="125">
        <v>41853</v>
      </c>
      <c r="B225" s="126">
        <v>0</v>
      </c>
      <c r="C225" s="127">
        <f t="shared" si="1"/>
        <v>0</v>
      </c>
      <c r="D225" s="127">
        <f t="shared" si="2"/>
        <v>0.64100000000000001</v>
      </c>
      <c r="E225" s="127">
        <f t="shared" si="13"/>
        <v>18.404000000000124</v>
      </c>
      <c r="F225" s="130">
        <f>Parameters!$B$32*'Pump Data'!$L$21^2+Parameters!$B$33*'Pump Data'!$L$21+Parameters!$B$34</f>
        <v>115.93397007999999</v>
      </c>
      <c r="G225" s="130">
        <f t="shared" si="3"/>
        <v>0</v>
      </c>
      <c r="H225" s="131">
        <f t="shared" si="4"/>
        <v>0</v>
      </c>
      <c r="I225" s="126">
        <f t="shared" si="5"/>
        <v>0</v>
      </c>
      <c r="J225" s="126">
        <f t="shared" si="6"/>
        <v>0</v>
      </c>
      <c r="K225" s="126">
        <f t="shared" si="7"/>
        <v>0</v>
      </c>
      <c r="L225" s="131">
        <f t="shared" si="8"/>
        <v>0</v>
      </c>
      <c r="M225" s="126">
        <f t="shared" si="9"/>
        <v>864</v>
      </c>
      <c r="N225" s="131">
        <f t="shared" si="10"/>
        <v>3.1103999999999998</v>
      </c>
      <c r="O225" s="131">
        <f t="shared" si="11"/>
        <v>3.1103999999999998</v>
      </c>
      <c r="P225" s="8">
        <f t="shared" si="12"/>
        <v>137783.00000000006</v>
      </c>
      <c r="Q225" s="8">
        <f>IF(Parameters!$G$29="y",IF(INT($P225/Parameters!$K$29)&gt;INT($P224/Parameters!$K$29),1,0),0)</f>
        <v>0</v>
      </c>
      <c r="R225" s="8">
        <f>IF(Parameters!$G$30="y",IF(INT($P225/Parameters!$K$30)&gt;INT($P224/Parameters!$K$30),1,0),0)</f>
        <v>0</v>
      </c>
      <c r="S225" s="8">
        <f>IF(INT($P225/Parameters!$K$31)&gt;INT($P224/Parameters!$K$31),1,0)</f>
        <v>0</v>
      </c>
      <c r="T225" s="76">
        <f t="shared" si="0"/>
        <v>0</v>
      </c>
      <c r="U225" s="8">
        <f>C224/'Pump Data'!$L$21*1000/60</f>
        <v>0</v>
      </c>
      <c r="V225" s="8"/>
      <c r="W225" s="8"/>
    </row>
    <row r="226" spans="1:23" ht="14.25" x14ac:dyDescent="0.45">
      <c r="A226" s="125">
        <v>41854</v>
      </c>
      <c r="B226" s="126">
        <v>0</v>
      </c>
      <c r="C226" s="127">
        <f t="shared" si="1"/>
        <v>0</v>
      </c>
      <c r="D226" s="127">
        <f t="shared" si="2"/>
        <v>0.64100000000000001</v>
      </c>
      <c r="E226" s="127">
        <f t="shared" si="13"/>
        <v>17.763000000000126</v>
      </c>
      <c r="F226" s="130">
        <f>Parameters!$B$32*'Pump Data'!$L$21^2+Parameters!$B$33*'Pump Data'!$L$21+Parameters!$B$34</f>
        <v>115.93397007999999</v>
      </c>
      <c r="G226" s="130">
        <f t="shared" si="3"/>
        <v>0</v>
      </c>
      <c r="H226" s="131">
        <f t="shared" si="4"/>
        <v>0</v>
      </c>
      <c r="I226" s="126">
        <f t="shared" si="5"/>
        <v>0</v>
      </c>
      <c r="J226" s="126">
        <f t="shared" si="6"/>
        <v>0</v>
      </c>
      <c r="K226" s="126">
        <f t="shared" si="7"/>
        <v>0</v>
      </c>
      <c r="L226" s="131">
        <f t="shared" si="8"/>
        <v>0</v>
      </c>
      <c r="M226" s="126">
        <f t="shared" si="9"/>
        <v>864</v>
      </c>
      <c r="N226" s="131">
        <f t="shared" si="10"/>
        <v>3.1103999999999998</v>
      </c>
      <c r="O226" s="131">
        <f t="shared" si="11"/>
        <v>3.1103999999999998</v>
      </c>
      <c r="P226" s="8">
        <f t="shared" si="12"/>
        <v>137783.00000000006</v>
      </c>
      <c r="Q226" s="8">
        <f>IF(Parameters!$G$29="y",IF(INT($P226/Parameters!$K$29)&gt;INT($P225/Parameters!$K$29),1,0),0)</f>
        <v>0</v>
      </c>
      <c r="R226" s="8">
        <f>IF(Parameters!$G$30="y",IF(INT($P226/Parameters!$K$30)&gt;INT($P225/Parameters!$K$30),1,0),0)</f>
        <v>0</v>
      </c>
      <c r="S226" s="8">
        <f>IF(INT($P226/Parameters!$K$31)&gt;INT($P225/Parameters!$K$31),1,0)</f>
        <v>0</v>
      </c>
      <c r="T226" s="76">
        <f t="shared" si="0"/>
        <v>0</v>
      </c>
      <c r="U226" s="8">
        <f>C225/'Pump Data'!$L$21*1000/60</f>
        <v>0</v>
      </c>
      <c r="V226" s="8"/>
      <c r="W226" s="8"/>
    </row>
    <row r="227" spans="1:23" ht="14.25" x14ac:dyDescent="0.45">
      <c r="A227" s="125">
        <v>41855</v>
      </c>
      <c r="B227" s="126">
        <v>0</v>
      </c>
      <c r="C227" s="127">
        <f t="shared" si="1"/>
        <v>0</v>
      </c>
      <c r="D227" s="127">
        <f t="shared" si="2"/>
        <v>0.64100000000000001</v>
      </c>
      <c r="E227" s="127">
        <f t="shared" si="13"/>
        <v>17.122000000000128</v>
      </c>
      <c r="F227" s="130">
        <f>Parameters!$B$32*'Pump Data'!$L$21^2+Parameters!$B$33*'Pump Data'!$L$21+Parameters!$B$34</f>
        <v>115.93397007999999</v>
      </c>
      <c r="G227" s="130">
        <f t="shared" si="3"/>
        <v>0</v>
      </c>
      <c r="H227" s="131">
        <f t="shared" si="4"/>
        <v>0</v>
      </c>
      <c r="I227" s="126">
        <f t="shared" si="5"/>
        <v>0</v>
      </c>
      <c r="J227" s="126">
        <f t="shared" si="6"/>
        <v>0</v>
      </c>
      <c r="K227" s="126">
        <f t="shared" si="7"/>
        <v>0</v>
      </c>
      <c r="L227" s="131">
        <f t="shared" si="8"/>
        <v>0</v>
      </c>
      <c r="M227" s="126">
        <f t="shared" si="9"/>
        <v>864</v>
      </c>
      <c r="N227" s="131">
        <f t="shared" si="10"/>
        <v>3.1103999999999998</v>
      </c>
      <c r="O227" s="131">
        <f t="shared" si="11"/>
        <v>3.1103999999999998</v>
      </c>
      <c r="P227" s="8">
        <f t="shared" si="12"/>
        <v>137783.00000000006</v>
      </c>
      <c r="Q227" s="8">
        <f>IF(Parameters!$G$29="y",IF(INT($P227/Parameters!$K$29)&gt;INT($P226/Parameters!$K$29),1,0),0)</f>
        <v>0</v>
      </c>
      <c r="R227" s="8">
        <f>IF(Parameters!$G$30="y",IF(INT($P227/Parameters!$K$30)&gt;INT($P226/Parameters!$K$30),1,0),0)</f>
        <v>0</v>
      </c>
      <c r="S227" s="8">
        <f>IF(INT($P227/Parameters!$K$31)&gt;INT($P226/Parameters!$K$31),1,0)</f>
        <v>0</v>
      </c>
      <c r="T227" s="76">
        <f t="shared" si="0"/>
        <v>0</v>
      </c>
      <c r="U227" s="8">
        <f>C226/'Pump Data'!$L$21*1000/60</f>
        <v>0</v>
      </c>
      <c r="V227" s="8"/>
      <c r="W227" s="8"/>
    </row>
    <row r="228" spans="1:23" ht="14.25" x14ac:dyDescent="0.45">
      <c r="A228" s="125">
        <v>41856</v>
      </c>
      <c r="B228" s="126">
        <v>0</v>
      </c>
      <c r="C228" s="127">
        <f t="shared" si="1"/>
        <v>0</v>
      </c>
      <c r="D228" s="127">
        <f t="shared" si="2"/>
        <v>0.64100000000000001</v>
      </c>
      <c r="E228" s="127">
        <f t="shared" si="13"/>
        <v>16.48100000000013</v>
      </c>
      <c r="F228" s="130">
        <f>Parameters!$B$32*'Pump Data'!$L$21^2+Parameters!$B$33*'Pump Data'!$L$21+Parameters!$B$34</f>
        <v>115.93397007999999</v>
      </c>
      <c r="G228" s="130">
        <f t="shared" si="3"/>
        <v>0</v>
      </c>
      <c r="H228" s="131">
        <f t="shared" si="4"/>
        <v>0</v>
      </c>
      <c r="I228" s="126">
        <f t="shared" si="5"/>
        <v>0</v>
      </c>
      <c r="J228" s="126">
        <f t="shared" si="6"/>
        <v>0</v>
      </c>
      <c r="K228" s="126">
        <f t="shared" si="7"/>
        <v>0</v>
      </c>
      <c r="L228" s="131">
        <f t="shared" si="8"/>
        <v>0</v>
      </c>
      <c r="M228" s="126">
        <f t="shared" si="9"/>
        <v>864</v>
      </c>
      <c r="N228" s="131">
        <f t="shared" si="10"/>
        <v>3.1103999999999998</v>
      </c>
      <c r="O228" s="131">
        <f t="shared" si="11"/>
        <v>3.1103999999999998</v>
      </c>
      <c r="P228" s="8">
        <f t="shared" si="12"/>
        <v>137783.00000000006</v>
      </c>
      <c r="Q228" s="8">
        <f>IF(Parameters!$G$29="y",IF(INT($P228/Parameters!$K$29)&gt;INT($P227/Parameters!$K$29),1,0),0)</f>
        <v>0</v>
      </c>
      <c r="R228" s="8">
        <f>IF(Parameters!$G$30="y",IF(INT($P228/Parameters!$K$30)&gt;INT($P227/Parameters!$K$30),1,0),0)</f>
        <v>0</v>
      </c>
      <c r="S228" s="8">
        <f>IF(INT($P228/Parameters!$K$31)&gt;INT($P227/Parameters!$K$31),1,0)</f>
        <v>0</v>
      </c>
      <c r="T228" s="76">
        <f t="shared" si="0"/>
        <v>0</v>
      </c>
      <c r="U228" s="8">
        <f>C227/'Pump Data'!$L$21*1000/60</f>
        <v>0</v>
      </c>
      <c r="V228" s="8"/>
      <c r="W228" s="8"/>
    </row>
    <row r="229" spans="1:23" ht="14.25" x14ac:dyDescent="0.45">
      <c r="A229" s="125">
        <v>41857</v>
      </c>
      <c r="B229" s="126">
        <v>0</v>
      </c>
      <c r="C229" s="127">
        <f t="shared" si="1"/>
        <v>0</v>
      </c>
      <c r="D229" s="127">
        <f t="shared" si="2"/>
        <v>0.64100000000000001</v>
      </c>
      <c r="E229" s="127">
        <f t="shared" si="13"/>
        <v>15.84000000000013</v>
      </c>
      <c r="F229" s="130">
        <f>Parameters!$B$32*'Pump Data'!$L$21^2+Parameters!$B$33*'Pump Data'!$L$21+Parameters!$B$34</f>
        <v>115.93397007999999</v>
      </c>
      <c r="G229" s="130">
        <f t="shared" si="3"/>
        <v>0</v>
      </c>
      <c r="H229" s="131">
        <f t="shared" si="4"/>
        <v>0</v>
      </c>
      <c r="I229" s="126">
        <f t="shared" si="5"/>
        <v>0</v>
      </c>
      <c r="J229" s="126">
        <f t="shared" si="6"/>
        <v>0</v>
      </c>
      <c r="K229" s="126">
        <f t="shared" si="7"/>
        <v>0</v>
      </c>
      <c r="L229" s="131">
        <f t="shared" si="8"/>
        <v>0</v>
      </c>
      <c r="M229" s="126">
        <f t="shared" si="9"/>
        <v>864</v>
      </c>
      <c r="N229" s="131">
        <f t="shared" si="10"/>
        <v>3.1103999999999998</v>
      </c>
      <c r="O229" s="131">
        <f t="shared" si="11"/>
        <v>3.1103999999999998</v>
      </c>
      <c r="P229" s="8">
        <f t="shared" si="12"/>
        <v>137783.00000000006</v>
      </c>
      <c r="Q229" s="8">
        <f>IF(Parameters!$G$29="y",IF(INT($P229/Parameters!$K$29)&gt;INT($P228/Parameters!$K$29),1,0),0)</f>
        <v>0</v>
      </c>
      <c r="R229" s="8">
        <f>IF(Parameters!$G$30="y",IF(INT($P229/Parameters!$K$30)&gt;INT($P228/Parameters!$K$30),1,0),0)</f>
        <v>0</v>
      </c>
      <c r="S229" s="8">
        <f>IF(INT($P229/Parameters!$K$31)&gt;INT($P228/Parameters!$K$31),1,0)</f>
        <v>0</v>
      </c>
      <c r="T229" s="76">
        <f t="shared" si="0"/>
        <v>0</v>
      </c>
      <c r="U229" s="8">
        <f>C228/'Pump Data'!$L$21*1000/60</f>
        <v>0</v>
      </c>
      <c r="V229" s="8"/>
      <c r="W229" s="8"/>
    </row>
    <row r="230" spans="1:23" ht="14.25" x14ac:dyDescent="0.45">
      <c r="A230" s="125">
        <v>41858</v>
      </c>
      <c r="B230" s="126">
        <v>0</v>
      </c>
      <c r="C230" s="127">
        <f t="shared" si="1"/>
        <v>0</v>
      </c>
      <c r="D230" s="127">
        <f t="shared" si="2"/>
        <v>0.64100000000000001</v>
      </c>
      <c r="E230" s="127">
        <f t="shared" si="13"/>
        <v>15.19900000000013</v>
      </c>
      <c r="F230" s="130">
        <f>Parameters!$B$32*'Pump Data'!$L$21^2+Parameters!$B$33*'Pump Data'!$L$21+Parameters!$B$34</f>
        <v>115.93397007999999</v>
      </c>
      <c r="G230" s="130">
        <f t="shared" si="3"/>
        <v>0</v>
      </c>
      <c r="H230" s="131">
        <f t="shared" si="4"/>
        <v>0</v>
      </c>
      <c r="I230" s="126">
        <f t="shared" si="5"/>
        <v>0</v>
      </c>
      <c r="J230" s="126">
        <f t="shared" si="6"/>
        <v>0</v>
      </c>
      <c r="K230" s="126">
        <f t="shared" si="7"/>
        <v>0</v>
      </c>
      <c r="L230" s="131">
        <f t="shared" si="8"/>
        <v>0</v>
      </c>
      <c r="M230" s="126">
        <f t="shared" si="9"/>
        <v>864</v>
      </c>
      <c r="N230" s="131">
        <f t="shared" si="10"/>
        <v>3.1103999999999998</v>
      </c>
      <c r="O230" s="131">
        <f t="shared" si="11"/>
        <v>3.1103999999999998</v>
      </c>
      <c r="P230" s="8">
        <f t="shared" si="12"/>
        <v>137783.00000000006</v>
      </c>
      <c r="Q230" s="8">
        <f>IF(Parameters!$G$29="y",IF(INT($P230/Parameters!$K$29)&gt;INT($P229/Parameters!$K$29),1,0),0)</f>
        <v>0</v>
      </c>
      <c r="R230" s="8">
        <f>IF(Parameters!$G$30="y",IF(INT($P230/Parameters!$K$30)&gt;INT($P229/Parameters!$K$30),1,0),0)</f>
        <v>0</v>
      </c>
      <c r="S230" s="8">
        <f>IF(INT($P230/Parameters!$K$31)&gt;INT($P229/Parameters!$K$31),1,0)</f>
        <v>0</v>
      </c>
      <c r="T230" s="76">
        <f t="shared" si="0"/>
        <v>0</v>
      </c>
      <c r="U230" s="8">
        <f>C229/'Pump Data'!$L$21*1000/60</f>
        <v>0</v>
      </c>
      <c r="V230" s="8"/>
      <c r="W230" s="8"/>
    </row>
    <row r="231" spans="1:23" ht="14.25" x14ac:dyDescent="0.45">
      <c r="A231" s="125">
        <v>41859</v>
      </c>
      <c r="B231" s="126">
        <v>0</v>
      </c>
      <c r="C231" s="127">
        <f t="shared" si="1"/>
        <v>0</v>
      </c>
      <c r="D231" s="127">
        <f t="shared" si="2"/>
        <v>0.64100000000000001</v>
      </c>
      <c r="E231" s="127">
        <f t="shared" si="13"/>
        <v>14.55800000000013</v>
      </c>
      <c r="F231" s="130">
        <f>Parameters!$B$32*'Pump Data'!$L$21^2+Parameters!$B$33*'Pump Data'!$L$21+Parameters!$B$34</f>
        <v>115.93397007999999</v>
      </c>
      <c r="G231" s="130">
        <f t="shared" si="3"/>
        <v>0</v>
      </c>
      <c r="H231" s="131">
        <f t="shared" si="4"/>
        <v>0</v>
      </c>
      <c r="I231" s="126">
        <f t="shared" si="5"/>
        <v>0</v>
      </c>
      <c r="J231" s="126">
        <f t="shared" si="6"/>
        <v>0</v>
      </c>
      <c r="K231" s="126">
        <f t="shared" si="7"/>
        <v>0</v>
      </c>
      <c r="L231" s="131">
        <f t="shared" si="8"/>
        <v>0</v>
      </c>
      <c r="M231" s="126">
        <f t="shared" si="9"/>
        <v>864</v>
      </c>
      <c r="N231" s="131">
        <f t="shared" si="10"/>
        <v>3.1103999999999998</v>
      </c>
      <c r="O231" s="131">
        <f t="shared" si="11"/>
        <v>3.1103999999999998</v>
      </c>
      <c r="P231" s="8">
        <f t="shared" si="12"/>
        <v>137783.00000000006</v>
      </c>
      <c r="Q231" s="8">
        <f>IF(Parameters!$G$29="y",IF(INT($P231/Parameters!$K$29)&gt;INT($P230/Parameters!$K$29),1,0),0)</f>
        <v>0</v>
      </c>
      <c r="R231" s="8">
        <f>IF(Parameters!$G$30="y",IF(INT($P231/Parameters!$K$30)&gt;INT($P230/Parameters!$K$30),1,0),0)</f>
        <v>0</v>
      </c>
      <c r="S231" s="8">
        <f>IF(INT($P231/Parameters!$K$31)&gt;INT($P230/Parameters!$K$31),1,0)</f>
        <v>0</v>
      </c>
      <c r="T231" s="76">
        <f t="shared" si="0"/>
        <v>0</v>
      </c>
      <c r="U231" s="8">
        <f>C230/'Pump Data'!$L$21*1000/60</f>
        <v>0</v>
      </c>
      <c r="V231" s="8"/>
      <c r="W231" s="8"/>
    </row>
    <row r="232" spans="1:23" ht="14.25" x14ac:dyDescent="0.45">
      <c r="A232" s="125">
        <v>41860</v>
      </c>
      <c r="B232" s="126">
        <v>0</v>
      </c>
      <c r="C232" s="127">
        <f t="shared" si="1"/>
        <v>0</v>
      </c>
      <c r="D232" s="127">
        <f t="shared" si="2"/>
        <v>0.64100000000000001</v>
      </c>
      <c r="E232" s="127">
        <f t="shared" si="13"/>
        <v>13.917000000000129</v>
      </c>
      <c r="F232" s="130">
        <f>Parameters!$B$32*'Pump Data'!$L$21^2+Parameters!$B$33*'Pump Data'!$L$21+Parameters!$B$34</f>
        <v>115.93397007999999</v>
      </c>
      <c r="G232" s="130">
        <f t="shared" si="3"/>
        <v>0</v>
      </c>
      <c r="H232" s="131">
        <f t="shared" si="4"/>
        <v>0</v>
      </c>
      <c r="I232" s="126">
        <f t="shared" si="5"/>
        <v>0</v>
      </c>
      <c r="J232" s="126">
        <f t="shared" si="6"/>
        <v>0</v>
      </c>
      <c r="K232" s="126">
        <f t="shared" si="7"/>
        <v>0</v>
      </c>
      <c r="L232" s="131">
        <f t="shared" si="8"/>
        <v>0</v>
      </c>
      <c r="M232" s="126">
        <f t="shared" si="9"/>
        <v>864</v>
      </c>
      <c r="N232" s="131">
        <f t="shared" si="10"/>
        <v>3.1103999999999998</v>
      </c>
      <c r="O232" s="131">
        <f t="shared" si="11"/>
        <v>3.1103999999999998</v>
      </c>
      <c r="P232" s="8">
        <f t="shared" si="12"/>
        <v>137783.00000000006</v>
      </c>
      <c r="Q232" s="8">
        <f>IF(Parameters!$G$29="y",IF(INT($P232/Parameters!$K$29)&gt;INT($P231/Parameters!$K$29),1,0),0)</f>
        <v>0</v>
      </c>
      <c r="R232" s="8">
        <f>IF(Parameters!$G$30="y",IF(INT($P232/Parameters!$K$30)&gt;INT($P231/Parameters!$K$30),1,0),0)</f>
        <v>0</v>
      </c>
      <c r="S232" s="8">
        <f>IF(INT($P232/Parameters!$K$31)&gt;INT($P231/Parameters!$K$31),1,0)</f>
        <v>0</v>
      </c>
      <c r="T232" s="76">
        <f t="shared" si="0"/>
        <v>0</v>
      </c>
      <c r="U232" s="8">
        <f>C231/'Pump Data'!$L$21*1000/60</f>
        <v>0</v>
      </c>
      <c r="V232" s="8"/>
      <c r="W232" s="8"/>
    </row>
    <row r="233" spans="1:23" ht="14.25" x14ac:dyDescent="0.45">
      <c r="A233" s="125">
        <v>41861</v>
      </c>
      <c r="B233" s="126">
        <v>0</v>
      </c>
      <c r="C233" s="127">
        <f t="shared" si="1"/>
        <v>0</v>
      </c>
      <c r="D233" s="127">
        <f t="shared" si="2"/>
        <v>0.64100000000000001</v>
      </c>
      <c r="E233" s="127">
        <f t="shared" si="13"/>
        <v>13.276000000000129</v>
      </c>
      <c r="F233" s="130">
        <f>Parameters!$B$32*'Pump Data'!$L$21^2+Parameters!$B$33*'Pump Data'!$L$21+Parameters!$B$34</f>
        <v>115.93397007999999</v>
      </c>
      <c r="G233" s="130">
        <f t="shared" si="3"/>
        <v>0</v>
      </c>
      <c r="H233" s="131">
        <f t="shared" si="4"/>
        <v>0</v>
      </c>
      <c r="I233" s="126">
        <f t="shared" si="5"/>
        <v>0</v>
      </c>
      <c r="J233" s="126">
        <f t="shared" si="6"/>
        <v>0</v>
      </c>
      <c r="K233" s="126">
        <f t="shared" si="7"/>
        <v>0</v>
      </c>
      <c r="L233" s="131">
        <f t="shared" si="8"/>
        <v>0</v>
      </c>
      <c r="M233" s="126">
        <f t="shared" si="9"/>
        <v>864</v>
      </c>
      <c r="N233" s="131">
        <f t="shared" si="10"/>
        <v>3.1103999999999998</v>
      </c>
      <c r="O233" s="131">
        <f t="shared" si="11"/>
        <v>3.1103999999999998</v>
      </c>
      <c r="P233" s="8">
        <f t="shared" si="12"/>
        <v>137783.00000000006</v>
      </c>
      <c r="Q233" s="8">
        <f>IF(Parameters!$G$29="y",IF(INT($P233/Parameters!$K$29)&gt;INT($P232/Parameters!$K$29),1,0),0)</f>
        <v>0</v>
      </c>
      <c r="R233" s="8">
        <f>IF(Parameters!$G$30="y",IF(INT($P233/Parameters!$K$30)&gt;INT($P232/Parameters!$K$30),1,0),0)</f>
        <v>0</v>
      </c>
      <c r="S233" s="8">
        <f>IF(INT($P233/Parameters!$K$31)&gt;INT($P232/Parameters!$K$31),1,0)</f>
        <v>0</v>
      </c>
      <c r="T233" s="76">
        <f t="shared" si="0"/>
        <v>0</v>
      </c>
      <c r="U233" s="8">
        <f>C232/'Pump Data'!$L$21*1000/60</f>
        <v>0</v>
      </c>
      <c r="V233" s="8"/>
      <c r="W233" s="8"/>
    </row>
    <row r="234" spans="1:23" ht="14.25" x14ac:dyDescent="0.45">
      <c r="A234" s="125">
        <v>41862</v>
      </c>
      <c r="B234" s="126">
        <v>0</v>
      </c>
      <c r="C234" s="127">
        <f t="shared" si="1"/>
        <v>0</v>
      </c>
      <c r="D234" s="127">
        <f t="shared" si="2"/>
        <v>0.64100000000000001</v>
      </c>
      <c r="E234" s="127">
        <f t="shared" si="13"/>
        <v>12.635000000000129</v>
      </c>
      <c r="F234" s="130">
        <f>Parameters!$B$32*'Pump Data'!$L$21^2+Parameters!$B$33*'Pump Data'!$L$21+Parameters!$B$34</f>
        <v>115.93397007999999</v>
      </c>
      <c r="G234" s="130">
        <f t="shared" si="3"/>
        <v>0</v>
      </c>
      <c r="H234" s="131">
        <f t="shared" si="4"/>
        <v>0</v>
      </c>
      <c r="I234" s="126">
        <f t="shared" si="5"/>
        <v>0</v>
      </c>
      <c r="J234" s="126">
        <f t="shared" si="6"/>
        <v>0</v>
      </c>
      <c r="K234" s="126">
        <f t="shared" si="7"/>
        <v>0</v>
      </c>
      <c r="L234" s="131">
        <f t="shared" si="8"/>
        <v>0</v>
      </c>
      <c r="M234" s="126">
        <f t="shared" si="9"/>
        <v>864</v>
      </c>
      <c r="N234" s="131">
        <f t="shared" si="10"/>
        <v>3.1103999999999998</v>
      </c>
      <c r="O234" s="131">
        <f t="shared" si="11"/>
        <v>3.1103999999999998</v>
      </c>
      <c r="P234" s="8">
        <f t="shared" si="12"/>
        <v>137783.00000000006</v>
      </c>
      <c r="Q234" s="8">
        <f>IF(Parameters!$G$29="y",IF(INT($P234/Parameters!$K$29)&gt;INT($P233/Parameters!$K$29),1,0),0)</f>
        <v>0</v>
      </c>
      <c r="R234" s="8">
        <f>IF(Parameters!$G$30="y",IF(INT($P234/Parameters!$K$30)&gt;INT($P233/Parameters!$K$30),1,0),0)</f>
        <v>0</v>
      </c>
      <c r="S234" s="8">
        <f>IF(INT($P234/Parameters!$K$31)&gt;INT($P233/Parameters!$K$31),1,0)</f>
        <v>0</v>
      </c>
      <c r="T234" s="76">
        <f t="shared" si="0"/>
        <v>0</v>
      </c>
      <c r="U234" s="8">
        <f>C233/'Pump Data'!$L$21*1000/60</f>
        <v>0</v>
      </c>
      <c r="V234" s="8"/>
      <c r="W234" s="8"/>
    </row>
    <row r="235" spans="1:23" ht="14.25" x14ac:dyDescent="0.45">
      <c r="A235" s="125">
        <v>41863</v>
      </c>
      <c r="B235" s="126">
        <v>0</v>
      </c>
      <c r="C235" s="127">
        <f t="shared" si="1"/>
        <v>0</v>
      </c>
      <c r="D235" s="127">
        <f t="shared" si="2"/>
        <v>0.64100000000000001</v>
      </c>
      <c r="E235" s="127">
        <f t="shared" si="13"/>
        <v>11.994000000000129</v>
      </c>
      <c r="F235" s="130">
        <f>Parameters!$B$32*'Pump Data'!$L$21^2+Parameters!$B$33*'Pump Data'!$L$21+Parameters!$B$34</f>
        <v>115.93397007999999</v>
      </c>
      <c r="G235" s="130">
        <f t="shared" si="3"/>
        <v>0</v>
      </c>
      <c r="H235" s="131">
        <f t="shared" si="4"/>
        <v>0</v>
      </c>
      <c r="I235" s="126">
        <f t="shared" si="5"/>
        <v>0</v>
      </c>
      <c r="J235" s="126">
        <f t="shared" si="6"/>
        <v>0</v>
      </c>
      <c r="K235" s="126">
        <f t="shared" si="7"/>
        <v>0</v>
      </c>
      <c r="L235" s="131">
        <f t="shared" si="8"/>
        <v>0</v>
      </c>
      <c r="M235" s="126">
        <f t="shared" si="9"/>
        <v>864</v>
      </c>
      <c r="N235" s="131">
        <f t="shared" si="10"/>
        <v>3.1103999999999998</v>
      </c>
      <c r="O235" s="131">
        <f t="shared" si="11"/>
        <v>3.1103999999999998</v>
      </c>
      <c r="P235" s="8">
        <f t="shared" si="12"/>
        <v>137783.00000000006</v>
      </c>
      <c r="Q235" s="8">
        <f>IF(Parameters!$G$29="y",IF(INT($P235/Parameters!$K$29)&gt;INT($P234/Parameters!$K$29),1,0),0)</f>
        <v>0</v>
      </c>
      <c r="R235" s="8">
        <f>IF(Parameters!$G$30="y",IF(INT($P235/Parameters!$K$30)&gt;INT($P234/Parameters!$K$30),1,0),0)</f>
        <v>0</v>
      </c>
      <c r="S235" s="8">
        <f>IF(INT($P235/Parameters!$K$31)&gt;INT($P234/Parameters!$K$31),1,0)</f>
        <v>0</v>
      </c>
      <c r="T235" s="76">
        <f t="shared" si="0"/>
        <v>0</v>
      </c>
      <c r="U235" s="8">
        <f>C234/'Pump Data'!$L$21*1000/60</f>
        <v>0</v>
      </c>
      <c r="V235" s="8"/>
      <c r="W235" s="8"/>
    </row>
    <row r="236" spans="1:23" ht="14.25" x14ac:dyDescent="0.45">
      <c r="A236" s="125">
        <v>41864</v>
      </c>
      <c r="B236" s="126">
        <v>0</v>
      </c>
      <c r="C236" s="127">
        <f t="shared" si="1"/>
        <v>0</v>
      </c>
      <c r="D236" s="127">
        <f t="shared" si="2"/>
        <v>0.64100000000000001</v>
      </c>
      <c r="E236" s="127">
        <f t="shared" si="13"/>
        <v>11.353000000000129</v>
      </c>
      <c r="F236" s="130">
        <f>Parameters!$B$32*'Pump Data'!$L$21^2+Parameters!$B$33*'Pump Data'!$L$21+Parameters!$B$34</f>
        <v>115.93397007999999</v>
      </c>
      <c r="G236" s="130">
        <f t="shared" si="3"/>
        <v>0</v>
      </c>
      <c r="H236" s="131">
        <f t="shared" si="4"/>
        <v>0</v>
      </c>
      <c r="I236" s="126">
        <f t="shared" si="5"/>
        <v>0</v>
      </c>
      <c r="J236" s="126">
        <f t="shared" si="6"/>
        <v>0</v>
      </c>
      <c r="K236" s="126">
        <f t="shared" si="7"/>
        <v>0</v>
      </c>
      <c r="L236" s="131">
        <f t="shared" si="8"/>
        <v>0</v>
      </c>
      <c r="M236" s="126">
        <f t="shared" si="9"/>
        <v>864</v>
      </c>
      <c r="N236" s="131">
        <f t="shared" si="10"/>
        <v>3.1103999999999998</v>
      </c>
      <c r="O236" s="131">
        <f t="shared" si="11"/>
        <v>3.1103999999999998</v>
      </c>
      <c r="P236" s="8">
        <f t="shared" si="12"/>
        <v>137783.00000000006</v>
      </c>
      <c r="Q236" s="8">
        <f>IF(Parameters!$G$29="y",IF(INT($P236/Parameters!$K$29)&gt;INT($P235/Parameters!$K$29),1,0),0)</f>
        <v>0</v>
      </c>
      <c r="R236" s="8">
        <f>IF(Parameters!$G$30="y",IF(INT($P236/Parameters!$K$30)&gt;INT($P235/Parameters!$K$30),1,0),0)</f>
        <v>0</v>
      </c>
      <c r="S236" s="8">
        <f>IF(INT($P236/Parameters!$K$31)&gt;INT($P235/Parameters!$K$31),1,0)</f>
        <v>0</v>
      </c>
      <c r="T236" s="76">
        <f t="shared" si="0"/>
        <v>0</v>
      </c>
      <c r="U236" s="8">
        <f>C235/'Pump Data'!$L$21*1000/60</f>
        <v>0</v>
      </c>
      <c r="V236" s="8"/>
      <c r="W236" s="8"/>
    </row>
    <row r="237" spans="1:23" ht="14.25" x14ac:dyDescent="0.45">
      <c r="A237" s="125">
        <v>41865</v>
      </c>
      <c r="B237" s="126">
        <v>0</v>
      </c>
      <c r="C237" s="127">
        <f t="shared" si="1"/>
        <v>0</v>
      </c>
      <c r="D237" s="127">
        <f t="shared" si="2"/>
        <v>0.64100000000000001</v>
      </c>
      <c r="E237" s="127">
        <f t="shared" si="13"/>
        <v>10.712000000000129</v>
      </c>
      <c r="F237" s="130">
        <f>Parameters!$B$32*'Pump Data'!$L$21^2+Parameters!$B$33*'Pump Data'!$L$21+Parameters!$B$34</f>
        <v>115.93397007999999</v>
      </c>
      <c r="G237" s="130">
        <f t="shared" si="3"/>
        <v>0</v>
      </c>
      <c r="H237" s="131">
        <f t="shared" si="4"/>
        <v>0</v>
      </c>
      <c r="I237" s="126">
        <f t="shared" si="5"/>
        <v>0</v>
      </c>
      <c r="J237" s="126">
        <f t="shared" si="6"/>
        <v>0</v>
      </c>
      <c r="K237" s="126">
        <f t="shared" si="7"/>
        <v>0</v>
      </c>
      <c r="L237" s="131">
        <f t="shared" si="8"/>
        <v>0</v>
      </c>
      <c r="M237" s="126">
        <f t="shared" si="9"/>
        <v>864</v>
      </c>
      <c r="N237" s="131">
        <f t="shared" si="10"/>
        <v>3.1103999999999998</v>
      </c>
      <c r="O237" s="131">
        <f t="shared" si="11"/>
        <v>3.1103999999999998</v>
      </c>
      <c r="P237" s="8">
        <f t="shared" si="12"/>
        <v>137783.00000000006</v>
      </c>
      <c r="Q237" s="8">
        <f>IF(Parameters!$G$29="y",IF(INT($P237/Parameters!$K$29)&gt;INT($P236/Parameters!$K$29),1,0),0)</f>
        <v>0</v>
      </c>
      <c r="R237" s="8">
        <f>IF(Parameters!$G$30="y",IF(INT($P237/Parameters!$K$30)&gt;INT($P236/Parameters!$K$30),1,0),0)</f>
        <v>0</v>
      </c>
      <c r="S237" s="8">
        <f>IF(INT($P237/Parameters!$K$31)&gt;INT($P236/Parameters!$K$31),1,0)</f>
        <v>0</v>
      </c>
      <c r="T237" s="76">
        <f t="shared" si="0"/>
        <v>0</v>
      </c>
      <c r="U237" s="8">
        <f>C236/'Pump Data'!$L$21*1000/60</f>
        <v>0</v>
      </c>
      <c r="V237" s="8"/>
      <c r="W237" s="8"/>
    </row>
    <row r="238" spans="1:23" ht="14.25" x14ac:dyDescent="0.45">
      <c r="A238" s="125">
        <v>41866</v>
      </c>
      <c r="B238" s="126">
        <v>0</v>
      </c>
      <c r="C238" s="127">
        <f t="shared" si="1"/>
        <v>0</v>
      </c>
      <c r="D238" s="127">
        <f t="shared" si="2"/>
        <v>0.64100000000000001</v>
      </c>
      <c r="E238" s="127">
        <f t="shared" si="13"/>
        <v>10.071000000000129</v>
      </c>
      <c r="F238" s="130">
        <f>Parameters!$B$32*'Pump Data'!$L$21^2+Parameters!$B$33*'Pump Data'!$L$21+Parameters!$B$34</f>
        <v>115.93397007999999</v>
      </c>
      <c r="G238" s="130">
        <f t="shared" si="3"/>
        <v>0</v>
      </c>
      <c r="H238" s="131">
        <f t="shared" si="4"/>
        <v>0</v>
      </c>
      <c r="I238" s="126">
        <f t="shared" si="5"/>
        <v>0</v>
      </c>
      <c r="J238" s="126">
        <f t="shared" si="6"/>
        <v>0</v>
      </c>
      <c r="K238" s="126">
        <f t="shared" si="7"/>
        <v>0</v>
      </c>
      <c r="L238" s="131">
        <f t="shared" si="8"/>
        <v>0</v>
      </c>
      <c r="M238" s="126">
        <f t="shared" si="9"/>
        <v>864</v>
      </c>
      <c r="N238" s="131">
        <f t="shared" si="10"/>
        <v>3.1103999999999998</v>
      </c>
      <c r="O238" s="131">
        <f t="shared" si="11"/>
        <v>3.1103999999999998</v>
      </c>
      <c r="P238" s="8">
        <f t="shared" si="12"/>
        <v>137783.00000000006</v>
      </c>
      <c r="Q238" s="8">
        <f>IF(Parameters!$G$29="y",IF(INT($P238/Parameters!$K$29)&gt;INT($P237/Parameters!$K$29),1,0),0)</f>
        <v>0</v>
      </c>
      <c r="R238" s="8">
        <f>IF(Parameters!$G$30="y",IF(INT($P238/Parameters!$K$30)&gt;INT($P237/Parameters!$K$30),1,0),0)</f>
        <v>0</v>
      </c>
      <c r="S238" s="8">
        <f>IF(INT($P238/Parameters!$K$31)&gt;INT($P237/Parameters!$K$31),1,0)</f>
        <v>0</v>
      </c>
      <c r="T238" s="76">
        <f t="shared" si="0"/>
        <v>0</v>
      </c>
      <c r="U238" s="8">
        <f>C237/'Pump Data'!$L$21*1000/60</f>
        <v>0</v>
      </c>
      <c r="V238" s="8"/>
      <c r="W238" s="8"/>
    </row>
    <row r="239" spans="1:23" ht="14.25" x14ac:dyDescent="0.45">
      <c r="A239" s="125">
        <v>41867</v>
      </c>
      <c r="B239" s="126">
        <v>0</v>
      </c>
      <c r="C239" s="127">
        <f t="shared" si="1"/>
        <v>0</v>
      </c>
      <c r="D239" s="127">
        <f t="shared" si="2"/>
        <v>0.64100000000000001</v>
      </c>
      <c r="E239" s="127">
        <f t="shared" si="13"/>
        <v>9.4300000000001294</v>
      </c>
      <c r="F239" s="130">
        <f>Parameters!$B$32*'Pump Data'!$L$21^2+Parameters!$B$33*'Pump Data'!$L$21+Parameters!$B$34</f>
        <v>115.93397007999999</v>
      </c>
      <c r="G239" s="130">
        <f t="shared" si="3"/>
        <v>0</v>
      </c>
      <c r="H239" s="131">
        <f t="shared" si="4"/>
        <v>0</v>
      </c>
      <c r="I239" s="126">
        <f t="shared" si="5"/>
        <v>0</v>
      </c>
      <c r="J239" s="126">
        <f t="shared" si="6"/>
        <v>0</v>
      </c>
      <c r="K239" s="126">
        <f t="shared" si="7"/>
        <v>0</v>
      </c>
      <c r="L239" s="131">
        <f t="shared" si="8"/>
        <v>0</v>
      </c>
      <c r="M239" s="126">
        <f t="shared" si="9"/>
        <v>864</v>
      </c>
      <c r="N239" s="131">
        <f t="shared" si="10"/>
        <v>3.1103999999999998</v>
      </c>
      <c r="O239" s="131">
        <f t="shared" si="11"/>
        <v>3.1103999999999998</v>
      </c>
      <c r="P239" s="8">
        <f t="shared" si="12"/>
        <v>137783.00000000006</v>
      </c>
      <c r="Q239" s="8">
        <f>IF(Parameters!$G$29="y",IF(INT($P239/Parameters!$K$29)&gt;INT($P238/Parameters!$K$29),1,0),0)</f>
        <v>0</v>
      </c>
      <c r="R239" s="8">
        <f>IF(Parameters!$G$30="y",IF(INT($P239/Parameters!$K$30)&gt;INT($P238/Parameters!$K$30),1,0),0)</f>
        <v>0</v>
      </c>
      <c r="S239" s="8">
        <f>IF(INT($P239/Parameters!$K$31)&gt;INT($P238/Parameters!$K$31),1,0)</f>
        <v>0</v>
      </c>
      <c r="T239" s="76">
        <f t="shared" si="0"/>
        <v>0</v>
      </c>
      <c r="U239" s="8">
        <f>C238/'Pump Data'!$L$21*1000/60</f>
        <v>0</v>
      </c>
      <c r="V239" s="8"/>
      <c r="W239" s="8"/>
    </row>
    <row r="240" spans="1:23" ht="14.25" x14ac:dyDescent="0.45">
      <c r="A240" s="125">
        <v>41868</v>
      </c>
      <c r="B240" s="126">
        <v>0</v>
      </c>
      <c r="C240" s="127">
        <f t="shared" si="1"/>
        <v>0</v>
      </c>
      <c r="D240" s="127">
        <f t="shared" si="2"/>
        <v>0.64100000000000001</v>
      </c>
      <c r="E240" s="127">
        <f t="shared" si="13"/>
        <v>8.7890000000001294</v>
      </c>
      <c r="F240" s="130">
        <f>Parameters!$B$32*'Pump Data'!$L$21^2+Parameters!$B$33*'Pump Data'!$L$21+Parameters!$B$34</f>
        <v>115.93397007999999</v>
      </c>
      <c r="G240" s="130">
        <f t="shared" si="3"/>
        <v>0</v>
      </c>
      <c r="H240" s="131">
        <f t="shared" si="4"/>
        <v>0</v>
      </c>
      <c r="I240" s="126">
        <f t="shared" si="5"/>
        <v>0</v>
      </c>
      <c r="J240" s="126">
        <f t="shared" si="6"/>
        <v>0</v>
      </c>
      <c r="K240" s="126">
        <f t="shared" si="7"/>
        <v>0</v>
      </c>
      <c r="L240" s="131">
        <f t="shared" si="8"/>
        <v>0</v>
      </c>
      <c r="M240" s="126">
        <f t="shared" si="9"/>
        <v>864</v>
      </c>
      <c r="N240" s="131">
        <f t="shared" si="10"/>
        <v>3.1103999999999998</v>
      </c>
      <c r="O240" s="131">
        <f t="shared" si="11"/>
        <v>3.1103999999999998</v>
      </c>
      <c r="P240" s="8">
        <f t="shared" si="12"/>
        <v>137783.00000000006</v>
      </c>
      <c r="Q240" s="8">
        <f>IF(Parameters!$G$29="y",IF(INT($P240/Parameters!$K$29)&gt;INT($P239/Parameters!$K$29),1,0),0)</f>
        <v>0</v>
      </c>
      <c r="R240" s="8">
        <f>IF(Parameters!$G$30="y",IF(INT($P240/Parameters!$K$30)&gt;INT($P239/Parameters!$K$30),1,0),0)</f>
        <v>0</v>
      </c>
      <c r="S240" s="8">
        <f>IF(INT($P240/Parameters!$K$31)&gt;INT($P239/Parameters!$K$31),1,0)</f>
        <v>0</v>
      </c>
      <c r="T240" s="76">
        <f t="shared" si="0"/>
        <v>0</v>
      </c>
      <c r="U240" s="8">
        <f>C239/'Pump Data'!$L$21*1000/60</f>
        <v>0</v>
      </c>
      <c r="V240" s="8"/>
      <c r="W240" s="8"/>
    </row>
    <row r="241" spans="1:23" ht="14.25" x14ac:dyDescent="0.45">
      <c r="A241" s="125">
        <v>41869</v>
      </c>
      <c r="B241" s="126">
        <v>0</v>
      </c>
      <c r="C241" s="127">
        <f t="shared" si="1"/>
        <v>0</v>
      </c>
      <c r="D241" s="127">
        <f t="shared" si="2"/>
        <v>0.64100000000000001</v>
      </c>
      <c r="E241" s="127">
        <f t="shared" si="13"/>
        <v>8.1480000000001294</v>
      </c>
      <c r="F241" s="130">
        <f>Parameters!$B$32*'Pump Data'!$L$21^2+Parameters!$B$33*'Pump Data'!$L$21+Parameters!$B$34</f>
        <v>115.93397007999999</v>
      </c>
      <c r="G241" s="130">
        <f t="shared" si="3"/>
        <v>0</v>
      </c>
      <c r="H241" s="131">
        <f t="shared" si="4"/>
        <v>0</v>
      </c>
      <c r="I241" s="126">
        <f t="shared" si="5"/>
        <v>0</v>
      </c>
      <c r="J241" s="126">
        <f t="shared" si="6"/>
        <v>0</v>
      </c>
      <c r="K241" s="126">
        <f t="shared" si="7"/>
        <v>0</v>
      </c>
      <c r="L241" s="131">
        <f t="shared" si="8"/>
        <v>0</v>
      </c>
      <c r="M241" s="126">
        <f t="shared" si="9"/>
        <v>864</v>
      </c>
      <c r="N241" s="131">
        <f t="shared" si="10"/>
        <v>3.1103999999999998</v>
      </c>
      <c r="O241" s="131">
        <f t="shared" si="11"/>
        <v>3.1103999999999998</v>
      </c>
      <c r="P241" s="8">
        <f t="shared" si="12"/>
        <v>137783.00000000006</v>
      </c>
      <c r="Q241" s="8">
        <f>IF(Parameters!$G$29="y",IF(INT($P241/Parameters!$K$29)&gt;INT($P240/Parameters!$K$29),1,0),0)</f>
        <v>0</v>
      </c>
      <c r="R241" s="8">
        <f>IF(Parameters!$G$30="y",IF(INT($P241/Parameters!$K$30)&gt;INT($P240/Parameters!$K$30),1,0),0)</f>
        <v>0</v>
      </c>
      <c r="S241" s="8">
        <f>IF(INT($P241/Parameters!$K$31)&gt;INT($P240/Parameters!$K$31),1,0)</f>
        <v>0</v>
      </c>
      <c r="T241" s="76">
        <f t="shared" si="0"/>
        <v>0</v>
      </c>
      <c r="U241" s="8">
        <f>C240/'Pump Data'!$L$21*1000/60</f>
        <v>0</v>
      </c>
      <c r="V241" s="8"/>
      <c r="W241" s="8"/>
    </row>
    <row r="242" spans="1:23" ht="14.25" x14ac:dyDescent="0.45">
      <c r="A242" s="125">
        <v>41870</v>
      </c>
      <c r="B242" s="126">
        <v>0</v>
      </c>
      <c r="C242" s="127">
        <f t="shared" si="1"/>
        <v>0</v>
      </c>
      <c r="D242" s="127">
        <f t="shared" si="2"/>
        <v>0.64100000000000001</v>
      </c>
      <c r="E242" s="127">
        <f t="shared" si="13"/>
        <v>7.5070000000001293</v>
      </c>
      <c r="F242" s="130">
        <f>Parameters!$B$32*'Pump Data'!$L$21^2+Parameters!$B$33*'Pump Data'!$L$21+Parameters!$B$34</f>
        <v>115.93397007999999</v>
      </c>
      <c r="G242" s="130">
        <f t="shared" si="3"/>
        <v>0</v>
      </c>
      <c r="H242" s="131">
        <f t="shared" si="4"/>
        <v>0</v>
      </c>
      <c r="I242" s="126">
        <f t="shared" si="5"/>
        <v>0</v>
      </c>
      <c r="J242" s="126">
        <f t="shared" si="6"/>
        <v>0</v>
      </c>
      <c r="K242" s="126">
        <f t="shared" si="7"/>
        <v>0</v>
      </c>
      <c r="L242" s="131">
        <f t="shared" si="8"/>
        <v>0</v>
      </c>
      <c r="M242" s="126">
        <f t="shared" si="9"/>
        <v>864</v>
      </c>
      <c r="N242" s="131">
        <f t="shared" si="10"/>
        <v>3.1103999999999998</v>
      </c>
      <c r="O242" s="131">
        <f t="shared" si="11"/>
        <v>3.1103999999999998</v>
      </c>
      <c r="P242" s="8">
        <f t="shared" si="12"/>
        <v>137783.00000000006</v>
      </c>
      <c r="Q242" s="8">
        <f>IF(Parameters!$G$29="y",IF(INT($P242/Parameters!$K$29)&gt;INT($P241/Parameters!$K$29),1,0),0)</f>
        <v>0</v>
      </c>
      <c r="R242" s="8">
        <f>IF(Parameters!$G$30="y",IF(INT($P242/Parameters!$K$30)&gt;INT($P241/Parameters!$K$30),1,0),0)</f>
        <v>0</v>
      </c>
      <c r="S242" s="8">
        <f>IF(INT($P242/Parameters!$K$31)&gt;INT($P241/Parameters!$K$31),1,0)</f>
        <v>0</v>
      </c>
      <c r="T242" s="76">
        <f t="shared" si="0"/>
        <v>0</v>
      </c>
      <c r="U242" s="8">
        <f>C241/'Pump Data'!$L$21*1000/60</f>
        <v>0</v>
      </c>
      <c r="V242" s="8"/>
      <c r="W242" s="8"/>
    </row>
    <row r="243" spans="1:23" ht="14.25" x14ac:dyDescent="0.45">
      <c r="A243" s="125">
        <v>41871</v>
      </c>
      <c r="B243" s="126">
        <v>0</v>
      </c>
      <c r="C243" s="127">
        <f t="shared" si="1"/>
        <v>0</v>
      </c>
      <c r="D243" s="127">
        <f t="shared" si="2"/>
        <v>0.64100000000000001</v>
      </c>
      <c r="E243" s="127">
        <f t="shared" si="13"/>
        <v>6.8660000000001293</v>
      </c>
      <c r="F243" s="130">
        <f>Parameters!$B$32*'Pump Data'!$L$21^2+Parameters!$B$33*'Pump Data'!$L$21+Parameters!$B$34</f>
        <v>115.93397007999999</v>
      </c>
      <c r="G243" s="130">
        <f t="shared" si="3"/>
        <v>0</v>
      </c>
      <c r="H243" s="131">
        <f t="shared" si="4"/>
        <v>0</v>
      </c>
      <c r="I243" s="126">
        <f t="shared" si="5"/>
        <v>0</v>
      </c>
      <c r="J243" s="126">
        <f t="shared" si="6"/>
        <v>0</v>
      </c>
      <c r="K243" s="126">
        <f t="shared" si="7"/>
        <v>0</v>
      </c>
      <c r="L243" s="131">
        <f t="shared" si="8"/>
        <v>0</v>
      </c>
      <c r="M243" s="126">
        <f t="shared" si="9"/>
        <v>864</v>
      </c>
      <c r="N243" s="131">
        <f t="shared" si="10"/>
        <v>3.1103999999999998</v>
      </c>
      <c r="O243" s="131">
        <f t="shared" si="11"/>
        <v>3.1103999999999998</v>
      </c>
      <c r="P243" s="8">
        <f t="shared" si="12"/>
        <v>137783.00000000006</v>
      </c>
      <c r="Q243" s="8">
        <f>IF(Parameters!$G$29="y",IF(INT($P243/Parameters!$K$29)&gt;INT($P242/Parameters!$K$29),1,0),0)</f>
        <v>0</v>
      </c>
      <c r="R243" s="8">
        <f>IF(Parameters!$G$30="y",IF(INT($P243/Parameters!$K$30)&gt;INT($P242/Parameters!$K$30),1,0),0)</f>
        <v>0</v>
      </c>
      <c r="S243" s="8">
        <f>IF(INT($P243/Parameters!$K$31)&gt;INT($P242/Parameters!$K$31),1,0)</f>
        <v>0</v>
      </c>
      <c r="T243" s="76">
        <f t="shared" si="0"/>
        <v>0</v>
      </c>
      <c r="U243" s="8">
        <f>C242/'Pump Data'!$L$21*1000/60</f>
        <v>0</v>
      </c>
      <c r="V243" s="8"/>
      <c r="W243" s="8"/>
    </row>
    <row r="244" spans="1:23" ht="14.25" x14ac:dyDescent="0.45">
      <c r="A244" s="125">
        <v>41872</v>
      </c>
      <c r="B244" s="126">
        <v>0</v>
      </c>
      <c r="C244" s="127">
        <f t="shared" si="1"/>
        <v>0</v>
      </c>
      <c r="D244" s="127">
        <f t="shared" si="2"/>
        <v>0.64100000000000001</v>
      </c>
      <c r="E244" s="127">
        <f t="shared" si="13"/>
        <v>6.2250000000001293</v>
      </c>
      <c r="F244" s="130">
        <f>Parameters!$B$32*'Pump Data'!$L$21^2+Parameters!$B$33*'Pump Data'!$L$21+Parameters!$B$34</f>
        <v>115.93397007999999</v>
      </c>
      <c r="G244" s="130">
        <f t="shared" si="3"/>
        <v>0</v>
      </c>
      <c r="H244" s="131">
        <f t="shared" si="4"/>
        <v>0</v>
      </c>
      <c r="I244" s="126">
        <f t="shared" si="5"/>
        <v>0</v>
      </c>
      <c r="J244" s="126">
        <f t="shared" si="6"/>
        <v>0</v>
      </c>
      <c r="K244" s="126">
        <f t="shared" si="7"/>
        <v>0</v>
      </c>
      <c r="L244" s="131">
        <f t="shared" si="8"/>
        <v>0</v>
      </c>
      <c r="M244" s="126">
        <f t="shared" si="9"/>
        <v>864</v>
      </c>
      <c r="N244" s="131">
        <f t="shared" si="10"/>
        <v>3.1103999999999998</v>
      </c>
      <c r="O244" s="131">
        <f t="shared" si="11"/>
        <v>3.1103999999999998</v>
      </c>
      <c r="P244" s="8">
        <f t="shared" si="12"/>
        <v>137783.00000000006</v>
      </c>
      <c r="Q244" s="8">
        <f>IF(Parameters!$G$29="y",IF(INT($P244/Parameters!$K$29)&gt;INT($P243/Parameters!$K$29),1,0),0)</f>
        <v>0</v>
      </c>
      <c r="R244" s="8">
        <f>IF(Parameters!$G$30="y",IF(INT($P244/Parameters!$K$30)&gt;INT($P243/Parameters!$K$30),1,0),0)</f>
        <v>0</v>
      </c>
      <c r="S244" s="8">
        <f>IF(INT($P244/Parameters!$K$31)&gt;INT($P243/Parameters!$K$31),1,0)</f>
        <v>0</v>
      </c>
      <c r="T244" s="76">
        <f t="shared" si="0"/>
        <v>0</v>
      </c>
      <c r="U244" s="8">
        <f>C243/'Pump Data'!$L$21*1000/60</f>
        <v>0</v>
      </c>
      <c r="V244" s="8"/>
      <c r="W244" s="8"/>
    </row>
    <row r="245" spans="1:23" ht="14.25" x14ac:dyDescent="0.45">
      <c r="A245" s="125">
        <v>41873</v>
      </c>
      <c r="B245" s="126">
        <v>0</v>
      </c>
      <c r="C245" s="127">
        <f t="shared" si="1"/>
        <v>0</v>
      </c>
      <c r="D245" s="127">
        <f t="shared" si="2"/>
        <v>0.64100000000000001</v>
      </c>
      <c r="E245" s="127">
        <f t="shared" si="13"/>
        <v>5.5840000000001293</v>
      </c>
      <c r="F245" s="130">
        <f>Parameters!$B$32*'Pump Data'!$L$21^2+Parameters!$B$33*'Pump Data'!$L$21+Parameters!$B$34</f>
        <v>115.93397007999999</v>
      </c>
      <c r="G245" s="130">
        <f t="shared" si="3"/>
        <v>0</v>
      </c>
      <c r="H245" s="131">
        <f t="shared" si="4"/>
        <v>0</v>
      </c>
      <c r="I245" s="126">
        <f t="shared" si="5"/>
        <v>0</v>
      </c>
      <c r="J245" s="126">
        <f t="shared" si="6"/>
        <v>0</v>
      </c>
      <c r="K245" s="126">
        <f t="shared" si="7"/>
        <v>0</v>
      </c>
      <c r="L245" s="131">
        <f t="shared" si="8"/>
        <v>0</v>
      </c>
      <c r="M245" s="126">
        <f t="shared" si="9"/>
        <v>864</v>
      </c>
      <c r="N245" s="131">
        <f t="shared" si="10"/>
        <v>3.1103999999999998</v>
      </c>
      <c r="O245" s="131">
        <f t="shared" si="11"/>
        <v>3.1103999999999998</v>
      </c>
      <c r="P245" s="8">
        <f t="shared" si="12"/>
        <v>137783.00000000006</v>
      </c>
      <c r="Q245" s="8">
        <f>IF(Parameters!$G$29="y",IF(INT($P245/Parameters!$K$29)&gt;INT($P244/Parameters!$K$29),1,0),0)</f>
        <v>0</v>
      </c>
      <c r="R245" s="8">
        <f>IF(Parameters!$G$30="y",IF(INT($P245/Parameters!$K$30)&gt;INT($P244/Parameters!$K$30),1,0),0)</f>
        <v>0</v>
      </c>
      <c r="S245" s="8">
        <f>IF(INT($P245/Parameters!$K$31)&gt;INT($P244/Parameters!$K$31),1,0)</f>
        <v>0</v>
      </c>
      <c r="T245" s="76">
        <f t="shared" si="0"/>
        <v>0</v>
      </c>
      <c r="U245" s="8">
        <f>C244/'Pump Data'!$L$21*1000/60</f>
        <v>0</v>
      </c>
      <c r="V245" s="8"/>
      <c r="W245" s="8"/>
    </row>
    <row r="246" spans="1:23" ht="14.25" x14ac:dyDescent="0.45">
      <c r="A246" s="125">
        <v>41874</v>
      </c>
      <c r="B246" s="126">
        <v>0</v>
      </c>
      <c r="C246" s="127">
        <f t="shared" si="1"/>
        <v>0</v>
      </c>
      <c r="D246" s="127">
        <f t="shared" si="2"/>
        <v>0.64100000000000001</v>
      </c>
      <c r="E246" s="127">
        <f t="shared" si="13"/>
        <v>4.9430000000001293</v>
      </c>
      <c r="F246" s="130">
        <f>Parameters!$B$32*'Pump Data'!$L$21^2+Parameters!$B$33*'Pump Data'!$L$21+Parameters!$B$34</f>
        <v>115.93397007999999</v>
      </c>
      <c r="G246" s="130">
        <f t="shared" si="3"/>
        <v>0</v>
      </c>
      <c r="H246" s="131">
        <f t="shared" si="4"/>
        <v>0</v>
      </c>
      <c r="I246" s="126">
        <f t="shared" si="5"/>
        <v>0</v>
      </c>
      <c r="J246" s="126">
        <f t="shared" si="6"/>
        <v>0</v>
      </c>
      <c r="K246" s="126">
        <f t="shared" si="7"/>
        <v>0</v>
      </c>
      <c r="L246" s="131">
        <f t="shared" si="8"/>
        <v>0</v>
      </c>
      <c r="M246" s="126">
        <f t="shared" si="9"/>
        <v>864</v>
      </c>
      <c r="N246" s="131">
        <f t="shared" si="10"/>
        <v>3.1103999999999998</v>
      </c>
      <c r="O246" s="131">
        <f t="shared" si="11"/>
        <v>3.1103999999999998</v>
      </c>
      <c r="P246" s="8">
        <f t="shared" si="12"/>
        <v>137783.00000000006</v>
      </c>
      <c r="Q246" s="8">
        <f>IF(Parameters!$G$29="y",IF(INT($P246/Parameters!$K$29)&gt;INT($P245/Parameters!$K$29),1,0),0)</f>
        <v>0</v>
      </c>
      <c r="R246" s="8">
        <f>IF(Parameters!$G$30="y",IF(INT($P246/Parameters!$K$30)&gt;INT($P245/Parameters!$K$30),1,0),0)</f>
        <v>0</v>
      </c>
      <c r="S246" s="8">
        <f>IF(INT($P246/Parameters!$K$31)&gt;INT($P245/Parameters!$K$31),1,0)</f>
        <v>0</v>
      </c>
      <c r="T246" s="76">
        <f t="shared" si="0"/>
        <v>0</v>
      </c>
      <c r="U246" s="8">
        <f>C245/'Pump Data'!$L$21*1000/60</f>
        <v>0</v>
      </c>
      <c r="V246" s="8"/>
      <c r="W246" s="8"/>
    </row>
    <row r="247" spans="1:23" ht="14.25" x14ac:dyDescent="0.45">
      <c r="A247" s="125">
        <v>41875</v>
      </c>
      <c r="B247" s="126">
        <v>0</v>
      </c>
      <c r="C247" s="127">
        <f t="shared" si="1"/>
        <v>0</v>
      </c>
      <c r="D247" s="127">
        <f t="shared" si="2"/>
        <v>0.64100000000000001</v>
      </c>
      <c r="E247" s="127">
        <f t="shared" si="13"/>
        <v>4.3020000000001293</v>
      </c>
      <c r="F247" s="130">
        <f>Parameters!$B$32*'Pump Data'!$L$21^2+Parameters!$B$33*'Pump Data'!$L$21+Parameters!$B$34</f>
        <v>115.93397007999999</v>
      </c>
      <c r="G247" s="130">
        <f t="shared" si="3"/>
        <v>0</v>
      </c>
      <c r="H247" s="131">
        <f t="shared" si="4"/>
        <v>0</v>
      </c>
      <c r="I247" s="126">
        <f t="shared" si="5"/>
        <v>0</v>
      </c>
      <c r="J247" s="126">
        <f t="shared" si="6"/>
        <v>0</v>
      </c>
      <c r="K247" s="126">
        <f t="shared" si="7"/>
        <v>0</v>
      </c>
      <c r="L247" s="131">
        <f t="shared" si="8"/>
        <v>0</v>
      </c>
      <c r="M247" s="126">
        <f t="shared" si="9"/>
        <v>864</v>
      </c>
      <c r="N247" s="131">
        <f t="shared" si="10"/>
        <v>3.1103999999999998</v>
      </c>
      <c r="O247" s="131">
        <f t="shared" si="11"/>
        <v>3.1103999999999998</v>
      </c>
      <c r="P247" s="8">
        <f t="shared" si="12"/>
        <v>137783.00000000006</v>
      </c>
      <c r="Q247" s="8">
        <f>IF(Parameters!$G$29="y",IF(INT($P247/Parameters!$K$29)&gt;INT($P246/Parameters!$K$29),1,0),0)</f>
        <v>0</v>
      </c>
      <c r="R247" s="8">
        <f>IF(Parameters!$G$30="y",IF(INT($P247/Parameters!$K$30)&gt;INT($P246/Parameters!$K$30),1,0),0)</f>
        <v>0</v>
      </c>
      <c r="S247" s="8">
        <f>IF(INT($P247/Parameters!$K$31)&gt;INT($P246/Parameters!$K$31),1,0)</f>
        <v>0</v>
      </c>
      <c r="T247" s="76">
        <f t="shared" si="0"/>
        <v>0</v>
      </c>
      <c r="U247" s="8">
        <f>C246/'Pump Data'!$L$21*1000/60</f>
        <v>0</v>
      </c>
      <c r="V247" s="8"/>
      <c r="W247" s="8"/>
    </row>
    <row r="248" spans="1:23" ht="14.25" x14ac:dyDescent="0.45">
      <c r="A248" s="125">
        <v>41876</v>
      </c>
      <c r="B248" s="126">
        <v>0</v>
      </c>
      <c r="C248" s="127">
        <f t="shared" si="1"/>
        <v>0</v>
      </c>
      <c r="D248" s="127">
        <f t="shared" si="2"/>
        <v>0.64100000000000001</v>
      </c>
      <c r="E248" s="127">
        <f t="shared" si="13"/>
        <v>3.6610000000001293</v>
      </c>
      <c r="F248" s="130">
        <f>Parameters!$B$32*'Pump Data'!$L$21^2+Parameters!$B$33*'Pump Data'!$L$21+Parameters!$B$34</f>
        <v>115.93397007999999</v>
      </c>
      <c r="G248" s="130">
        <f t="shared" si="3"/>
        <v>0</v>
      </c>
      <c r="H248" s="131">
        <f t="shared" si="4"/>
        <v>0</v>
      </c>
      <c r="I248" s="126">
        <f t="shared" si="5"/>
        <v>0</v>
      </c>
      <c r="J248" s="126">
        <f t="shared" si="6"/>
        <v>0</v>
      </c>
      <c r="K248" s="126">
        <f t="shared" si="7"/>
        <v>0</v>
      </c>
      <c r="L248" s="131">
        <f t="shared" si="8"/>
        <v>0</v>
      </c>
      <c r="M248" s="126">
        <f t="shared" si="9"/>
        <v>864</v>
      </c>
      <c r="N248" s="131">
        <f t="shared" si="10"/>
        <v>3.1103999999999998</v>
      </c>
      <c r="O248" s="131">
        <f t="shared" si="11"/>
        <v>3.1103999999999998</v>
      </c>
      <c r="P248" s="8">
        <f t="shared" si="12"/>
        <v>137783.00000000006</v>
      </c>
      <c r="Q248" s="8">
        <f>IF(Parameters!$G$29="y",IF(INT($P248/Parameters!$K$29)&gt;INT($P247/Parameters!$K$29),1,0),0)</f>
        <v>0</v>
      </c>
      <c r="R248" s="8">
        <f>IF(Parameters!$G$30="y",IF(INT($P248/Parameters!$K$30)&gt;INT($P247/Parameters!$K$30),1,0),0)</f>
        <v>0</v>
      </c>
      <c r="S248" s="8">
        <f>IF(INT($P248/Parameters!$K$31)&gt;INT($P247/Parameters!$K$31),1,0)</f>
        <v>0</v>
      </c>
      <c r="T248" s="76">
        <f t="shared" si="0"/>
        <v>0</v>
      </c>
      <c r="U248" s="8">
        <f>C247/'Pump Data'!$L$21*1000/60</f>
        <v>0</v>
      </c>
      <c r="V248" s="8"/>
      <c r="W248" s="8"/>
    </row>
    <row r="249" spans="1:23" ht="14.25" x14ac:dyDescent="0.45">
      <c r="A249" s="125">
        <v>41877</v>
      </c>
      <c r="B249" s="126">
        <v>0</v>
      </c>
      <c r="C249" s="127">
        <f t="shared" si="1"/>
        <v>0</v>
      </c>
      <c r="D249" s="127">
        <f t="shared" si="2"/>
        <v>0.64100000000000001</v>
      </c>
      <c r="E249" s="127">
        <f t="shared" si="13"/>
        <v>3.0200000000001292</v>
      </c>
      <c r="F249" s="130">
        <f>Parameters!$B$32*'Pump Data'!$L$21^2+Parameters!$B$33*'Pump Data'!$L$21+Parameters!$B$34</f>
        <v>115.93397007999999</v>
      </c>
      <c r="G249" s="130">
        <f t="shared" si="3"/>
        <v>0</v>
      </c>
      <c r="H249" s="131">
        <f t="shared" si="4"/>
        <v>0</v>
      </c>
      <c r="I249" s="126">
        <f t="shared" si="5"/>
        <v>0</v>
      </c>
      <c r="J249" s="126">
        <f t="shared" si="6"/>
        <v>0</v>
      </c>
      <c r="K249" s="126">
        <f t="shared" si="7"/>
        <v>0</v>
      </c>
      <c r="L249" s="131">
        <f t="shared" si="8"/>
        <v>0</v>
      </c>
      <c r="M249" s="126">
        <f t="shared" si="9"/>
        <v>864</v>
      </c>
      <c r="N249" s="131">
        <f t="shared" si="10"/>
        <v>3.1103999999999998</v>
      </c>
      <c r="O249" s="131">
        <f t="shared" si="11"/>
        <v>3.1103999999999998</v>
      </c>
      <c r="P249" s="8">
        <f t="shared" si="12"/>
        <v>137783.00000000006</v>
      </c>
      <c r="Q249" s="8">
        <f>IF(Parameters!$G$29="y",IF(INT($P249/Parameters!$K$29)&gt;INT($P248/Parameters!$K$29),1,0),0)</f>
        <v>0</v>
      </c>
      <c r="R249" s="8">
        <f>IF(Parameters!$G$30="y",IF(INT($P249/Parameters!$K$30)&gt;INT($P248/Parameters!$K$30),1,0),0)</f>
        <v>0</v>
      </c>
      <c r="S249" s="8">
        <f>IF(INT($P249/Parameters!$K$31)&gt;INT($P248/Parameters!$K$31),1,0)</f>
        <v>0</v>
      </c>
      <c r="T249" s="76">
        <f t="shared" si="0"/>
        <v>0</v>
      </c>
      <c r="U249" s="8">
        <f>C248/'Pump Data'!$L$21*1000/60</f>
        <v>0</v>
      </c>
      <c r="V249" s="8"/>
      <c r="W249" s="8"/>
    </row>
    <row r="250" spans="1:23" ht="14.25" x14ac:dyDescent="0.45">
      <c r="A250" s="125">
        <v>41878</v>
      </c>
      <c r="B250" s="126">
        <v>0</v>
      </c>
      <c r="C250" s="127">
        <f t="shared" si="1"/>
        <v>0</v>
      </c>
      <c r="D250" s="127">
        <f t="shared" si="2"/>
        <v>0.64100000000000001</v>
      </c>
      <c r="E250" s="127">
        <f t="shared" si="13"/>
        <v>2.3790000000001292</v>
      </c>
      <c r="F250" s="130">
        <f>Parameters!$B$32*'Pump Data'!$L$21^2+Parameters!$B$33*'Pump Data'!$L$21+Parameters!$B$34</f>
        <v>115.93397007999999</v>
      </c>
      <c r="G250" s="130">
        <f t="shared" si="3"/>
        <v>0</v>
      </c>
      <c r="H250" s="131">
        <f t="shared" si="4"/>
        <v>0</v>
      </c>
      <c r="I250" s="126">
        <f t="shared" si="5"/>
        <v>0</v>
      </c>
      <c r="J250" s="126">
        <f t="shared" si="6"/>
        <v>0</v>
      </c>
      <c r="K250" s="126">
        <f t="shared" si="7"/>
        <v>0</v>
      </c>
      <c r="L250" s="131">
        <f t="shared" si="8"/>
        <v>0</v>
      </c>
      <c r="M250" s="126">
        <f t="shared" si="9"/>
        <v>864</v>
      </c>
      <c r="N250" s="131">
        <f t="shared" si="10"/>
        <v>3.1103999999999998</v>
      </c>
      <c r="O250" s="131">
        <f t="shared" si="11"/>
        <v>3.1103999999999998</v>
      </c>
      <c r="P250" s="8">
        <f t="shared" si="12"/>
        <v>137783.00000000006</v>
      </c>
      <c r="Q250" s="8">
        <f>IF(Parameters!$G$29="y",IF(INT($P250/Parameters!$K$29)&gt;INT($P249/Parameters!$K$29),1,0),0)</f>
        <v>0</v>
      </c>
      <c r="R250" s="8">
        <f>IF(Parameters!$G$30="y",IF(INT($P250/Parameters!$K$30)&gt;INT($P249/Parameters!$K$30),1,0),0)</f>
        <v>0</v>
      </c>
      <c r="S250" s="8">
        <f>IF(INT($P250/Parameters!$K$31)&gt;INT($P249/Parameters!$K$31),1,0)</f>
        <v>0</v>
      </c>
      <c r="T250" s="76">
        <f t="shared" si="0"/>
        <v>0</v>
      </c>
      <c r="U250" s="8">
        <f>C249/'Pump Data'!$L$21*1000/60</f>
        <v>0</v>
      </c>
      <c r="V250" s="8"/>
      <c r="W250" s="8"/>
    </row>
    <row r="251" spans="1:23" ht="14.25" x14ac:dyDescent="0.45">
      <c r="A251" s="125">
        <v>41879</v>
      </c>
      <c r="B251" s="126">
        <v>0.4</v>
      </c>
      <c r="C251" s="127">
        <f t="shared" si="1"/>
        <v>4.4000000000000004E-2</v>
      </c>
      <c r="D251" s="127">
        <f t="shared" si="2"/>
        <v>0.64100000000000001</v>
      </c>
      <c r="E251" s="127">
        <f t="shared" si="13"/>
        <v>1.7820000000001293</v>
      </c>
      <c r="F251" s="130">
        <f>Parameters!$B$32*'Pump Data'!$L$21^2+Parameters!$B$33*'Pump Data'!$L$21+Parameters!$B$34</f>
        <v>115.93397007999999</v>
      </c>
      <c r="G251" s="130">
        <f t="shared" si="3"/>
        <v>8.1097604183028302</v>
      </c>
      <c r="H251" s="131">
        <f t="shared" si="4"/>
        <v>8.1097604183028305E-3</v>
      </c>
      <c r="I251" s="126">
        <f t="shared" si="5"/>
        <v>220.00000000000006</v>
      </c>
      <c r="J251" s="126">
        <f t="shared" si="6"/>
        <v>0.22000000000000006</v>
      </c>
      <c r="K251" s="126">
        <f t="shared" si="7"/>
        <v>440000.00000000012</v>
      </c>
      <c r="L251" s="131">
        <f t="shared" si="8"/>
        <v>0.44000000000000011</v>
      </c>
      <c r="M251" s="126">
        <f t="shared" si="9"/>
        <v>864</v>
      </c>
      <c r="N251" s="131">
        <f t="shared" si="10"/>
        <v>3.1103999999999998</v>
      </c>
      <c r="O251" s="131">
        <f t="shared" si="11"/>
        <v>3.5585097604183029</v>
      </c>
      <c r="P251" s="8">
        <f t="shared" si="12"/>
        <v>137827.00000000006</v>
      </c>
      <c r="Q251" s="8">
        <f>IF(Parameters!$G$29="y",IF(INT($P251/Parameters!$K$29)&gt;INT($P250/Parameters!$K$29),1,0),0)</f>
        <v>0</v>
      </c>
      <c r="R251" s="8">
        <f>IF(Parameters!$G$30="y",IF(INT($P251/Parameters!$K$30)&gt;INT($P250/Parameters!$K$30),1,0),0)</f>
        <v>0</v>
      </c>
      <c r="S251" s="8">
        <f>IF(INT($P251/Parameters!$K$31)&gt;INT($P250/Parameters!$K$31),1,0)</f>
        <v>0</v>
      </c>
      <c r="T251" s="76">
        <f t="shared" si="0"/>
        <v>0</v>
      </c>
      <c r="U251" s="8">
        <f>C250/'Pump Data'!$L$21*1000/60</f>
        <v>0</v>
      </c>
      <c r="V251" s="8"/>
      <c r="W251" s="8"/>
    </row>
    <row r="252" spans="1:23" ht="14.25" x14ac:dyDescent="0.45">
      <c r="A252" s="125">
        <v>41880</v>
      </c>
      <c r="B252" s="126">
        <v>7.8</v>
      </c>
      <c r="C252" s="127">
        <f t="shared" si="1"/>
        <v>0.85799999999999998</v>
      </c>
      <c r="D252" s="127">
        <f t="shared" si="2"/>
        <v>0.64100000000000001</v>
      </c>
      <c r="E252" s="127">
        <f t="shared" si="13"/>
        <v>1.9990000000001293</v>
      </c>
      <c r="F252" s="130">
        <f>Parameters!$B$32*'Pump Data'!$L$21^2+Parameters!$B$33*'Pump Data'!$L$21+Parameters!$B$34</f>
        <v>115.93397007999999</v>
      </c>
      <c r="G252" s="130">
        <f t="shared" si="3"/>
        <v>158.14032815690518</v>
      </c>
      <c r="H252" s="131">
        <f t="shared" si="4"/>
        <v>0.15814032815690518</v>
      </c>
      <c r="I252" s="126">
        <f t="shared" si="5"/>
        <v>4290</v>
      </c>
      <c r="J252" s="126">
        <f t="shared" si="6"/>
        <v>4.29</v>
      </c>
      <c r="K252" s="126">
        <f t="shared" si="7"/>
        <v>8580000</v>
      </c>
      <c r="L252" s="131">
        <f t="shared" si="8"/>
        <v>8.58</v>
      </c>
      <c r="M252" s="126">
        <f t="shared" si="9"/>
        <v>864</v>
      </c>
      <c r="N252" s="131">
        <f t="shared" si="10"/>
        <v>3.1103999999999998</v>
      </c>
      <c r="O252" s="131">
        <f t="shared" si="11"/>
        <v>11.848540328156906</v>
      </c>
      <c r="P252" s="8">
        <f t="shared" si="12"/>
        <v>138685.00000000006</v>
      </c>
      <c r="Q252" s="8">
        <f>IF(Parameters!$G$29="y",IF(INT($P252/Parameters!$K$29)&gt;INT($P251/Parameters!$K$29),1,0),0)</f>
        <v>0</v>
      </c>
      <c r="R252" s="8">
        <f>IF(Parameters!$G$30="y",IF(INT($P252/Parameters!$K$30)&gt;INT($P251/Parameters!$K$30),1,0),0)</f>
        <v>0</v>
      </c>
      <c r="S252" s="8">
        <f>IF(INT($P252/Parameters!$K$31)&gt;INT($P251/Parameters!$K$31),1,0)</f>
        <v>0</v>
      </c>
      <c r="T252" s="76">
        <f t="shared" si="0"/>
        <v>0</v>
      </c>
      <c r="U252" s="8">
        <f>C251/'Pump Data'!$L$21*1000/60</f>
        <v>2.0478451084427071E-2</v>
      </c>
      <c r="V252" s="8"/>
      <c r="W252" s="8"/>
    </row>
    <row r="253" spans="1:23" ht="14.25" x14ac:dyDescent="0.45">
      <c r="A253" s="125">
        <v>41881</v>
      </c>
      <c r="B253" s="126">
        <v>3.6</v>
      </c>
      <c r="C253" s="127">
        <f t="shared" si="1"/>
        <v>0.39599999999999996</v>
      </c>
      <c r="D253" s="127">
        <f t="shared" si="2"/>
        <v>0.64100000000000001</v>
      </c>
      <c r="E253" s="127">
        <f t="shared" si="13"/>
        <v>1.7540000000001292</v>
      </c>
      <c r="F253" s="130">
        <f>Parameters!$B$32*'Pump Data'!$L$21^2+Parameters!$B$33*'Pump Data'!$L$21+Parameters!$B$34</f>
        <v>115.93397007999999</v>
      </c>
      <c r="G253" s="130">
        <f t="shared" si="3"/>
        <v>72.987843764725454</v>
      </c>
      <c r="H253" s="131">
        <f t="shared" si="4"/>
        <v>7.298784376472546E-2</v>
      </c>
      <c r="I253" s="126">
        <f t="shared" si="5"/>
        <v>1979.9999999999995</v>
      </c>
      <c r="J253" s="126">
        <f t="shared" si="6"/>
        <v>1.9799999999999995</v>
      </c>
      <c r="K253" s="126">
        <f t="shared" si="7"/>
        <v>3959999.9999999991</v>
      </c>
      <c r="L253" s="131">
        <f t="shared" si="8"/>
        <v>3.9599999999999991</v>
      </c>
      <c r="M253" s="126">
        <f t="shared" si="9"/>
        <v>864</v>
      </c>
      <c r="N253" s="131">
        <f t="shared" si="10"/>
        <v>3.1103999999999998</v>
      </c>
      <c r="O253" s="131">
        <f t="shared" si="11"/>
        <v>7.1433878437647245</v>
      </c>
      <c r="P253" s="8">
        <f t="shared" si="12"/>
        <v>139081.00000000006</v>
      </c>
      <c r="Q253" s="8">
        <f>IF(Parameters!$G$29="y",IF(INT($P253/Parameters!$K$29)&gt;INT($P252/Parameters!$K$29),1,0),0)</f>
        <v>0</v>
      </c>
      <c r="R253" s="8">
        <f>IF(Parameters!$G$30="y",IF(INT($P253/Parameters!$K$30)&gt;INT($P252/Parameters!$K$30),1,0),0)</f>
        <v>0</v>
      </c>
      <c r="S253" s="8">
        <f>IF(INT($P253/Parameters!$K$31)&gt;INT($P252/Parameters!$K$31),1,0)</f>
        <v>0</v>
      </c>
      <c r="T253" s="76">
        <f t="shared" si="0"/>
        <v>0</v>
      </c>
      <c r="U253" s="8">
        <f>C252/'Pump Data'!$L$21*1000/60</f>
        <v>0.39932979614632785</v>
      </c>
      <c r="V253" s="8"/>
      <c r="W253" s="8"/>
    </row>
    <row r="254" spans="1:23" ht="14.25" x14ac:dyDescent="0.45">
      <c r="A254" s="125">
        <v>41882</v>
      </c>
      <c r="B254" s="126">
        <v>10.6</v>
      </c>
      <c r="C254" s="127">
        <f t="shared" si="1"/>
        <v>1.1659999999999999</v>
      </c>
      <c r="D254" s="127">
        <f t="shared" si="2"/>
        <v>0.64100000000000001</v>
      </c>
      <c r="E254" s="127">
        <f t="shared" si="13"/>
        <v>2.2790000000001291</v>
      </c>
      <c r="F254" s="130">
        <f>Parameters!$B$32*'Pump Data'!$L$21^2+Parameters!$B$33*'Pump Data'!$L$21+Parameters!$B$34</f>
        <v>115.93397007999999</v>
      </c>
      <c r="G254" s="130">
        <f t="shared" si="3"/>
        <v>214.90865108502499</v>
      </c>
      <c r="H254" s="131">
        <f t="shared" si="4"/>
        <v>0.21490865108502499</v>
      </c>
      <c r="I254" s="126">
        <f t="shared" si="5"/>
        <v>5830</v>
      </c>
      <c r="J254" s="126">
        <f t="shared" si="6"/>
        <v>5.83</v>
      </c>
      <c r="K254" s="126">
        <f t="shared" si="7"/>
        <v>11660000</v>
      </c>
      <c r="L254" s="131">
        <f t="shared" si="8"/>
        <v>11.66</v>
      </c>
      <c r="M254" s="126">
        <f t="shared" si="9"/>
        <v>864</v>
      </c>
      <c r="N254" s="131">
        <f t="shared" si="10"/>
        <v>3.1103999999999998</v>
      </c>
      <c r="O254" s="131">
        <f t="shared" si="11"/>
        <v>14.985308651085026</v>
      </c>
      <c r="P254" s="8">
        <f t="shared" si="12"/>
        <v>140247.00000000003</v>
      </c>
      <c r="Q254" s="8">
        <f>IF(Parameters!$G$29="y",IF(INT($P254/Parameters!$K$29)&gt;INT($P253/Parameters!$K$29),1,0),0)</f>
        <v>0</v>
      </c>
      <c r="R254" s="8">
        <f>IF(Parameters!$G$30="y",IF(INT($P254/Parameters!$K$30)&gt;INT($P253/Parameters!$K$30),1,0),0)</f>
        <v>1</v>
      </c>
      <c r="S254" s="8">
        <f>IF(INT($P254/Parameters!$K$31)&gt;INT($P253/Parameters!$K$31),1,0)</f>
        <v>1</v>
      </c>
      <c r="T254" s="76">
        <f t="shared" si="0"/>
        <v>1</v>
      </c>
      <c r="U254" s="8">
        <f>C253/'Pump Data'!$L$21*1000/60</f>
        <v>0.1843060597598436</v>
      </c>
      <c r="V254" s="8"/>
      <c r="W254" s="8"/>
    </row>
    <row r="255" spans="1:23" ht="14.25" x14ac:dyDescent="0.45">
      <c r="A255" s="125">
        <v>41883</v>
      </c>
      <c r="B255" s="126">
        <v>3.2</v>
      </c>
      <c r="C255" s="127">
        <f t="shared" si="1"/>
        <v>0.35200000000000004</v>
      </c>
      <c r="D255" s="127">
        <f t="shared" si="2"/>
        <v>0.64100000000000001</v>
      </c>
      <c r="E255" s="127">
        <f t="shared" si="13"/>
        <v>1.990000000000129</v>
      </c>
      <c r="F255" s="130">
        <f>Parameters!$B$32*'Pump Data'!$L$21^2+Parameters!$B$33*'Pump Data'!$L$21+Parameters!$B$34</f>
        <v>115.93397007999999</v>
      </c>
      <c r="G255" s="130">
        <f t="shared" si="3"/>
        <v>64.878083346422642</v>
      </c>
      <c r="H255" s="131">
        <f t="shared" si="4"/>
        <v>6.4878083346422644E-2</v>
      </c>
      <c r="I255" s="126">
        <f t="shared" si="5"/>
        <v>1760.0000000000005</v>
      </c>
      <c r="J255" s="126">
        <f t="shared" si="6"/>
        <v>1.7600000000000005</v>
      </c>
      <c r="K255" s="126">
        <f t="shared" si="7"/>
        <v>3520000.0000000009</v>
      </c>
      <c r="L255" s="131">
        <f t="shared" si="8"/>
        <v>3.5200000000000009</v>
      </c>
      <c r="M255" s="126">
        <f t="shared" si="9"/>
        <v>864</v>
      </c>
      <c r="N255" s="131">
        <f t="shared" si="10"/>
        <v>3.1103999999999998</v>
      </c>
      <c r="O255" s="131">
        <f t="shared" si="11"/>
        <v>6.6952780833464232</v>
      </c>
      <c r="P255" s="8">
        <f t="shared" si="12"/>
        <v>140599.00000000006</v>
      </c>
      <c r="Q255" s="8">
        <f>IF(Parameters!$G$29="y",IF(INT($P255/Parameters!$K$29)&gt;INT($P254/Parameters!$K$29),1,0),0)</f>
        <v>0</v>
      </c>
      <c r="R255" s="8">
        <f>IF(Parameters!$G$30="y",IF(INT($P255/Parameters!$K$30)&gt;INT($P254/Parameters!$K$30),1,0),0)</f>
        <v>0</v>
      </c>
      <c r="S255" s="8">
        <f>IF(INT($P255/Parameters!$K$31)&gt;INT($P254/Parameters!$K$31),1,0)</f>
        <v>0</v>
      </c>
      <c r="T255" s="76">
        <f t="shared" si="0"/>
        <v>0</v>
      </c>
      <c r="U255" s="8">
        <f>C254/'Pump Data'!$L$21*1000/60</f>
        <v>0.54267895373731723</v>
      </c>
      <c r="V255" s="8"/>
      <c r="W255" s="8"/>
    </row>
    <row r="256" spans="1:23" ht="14.25" x14ac:dyDescent="0.45">
      <c r="A256" s="125">
        <v>41884</v>
      </c>
      <c r="B256" s="126">
        <v>6.2</v>
      </c>
      <c r="C256" s="127">
        <f t="shared" si="1"/>
        <v>0.68199999999999994</v>
      </c>
      <c r="D256" s="127">
        <f t="shared" si="2"/>
        <v>0.64100000000000001</v>
      </c>
      <c r="E256" s="127">
        <f t="shared" si="13"/>
        <v>2.0310000000001289</v>
      </c>
      <c r="F256" s="130">
        <f>Parameters!$B$32*'Pump Data'!$L$21^2+Parameters!$B$33*'Pump Data'!$L$21+Parameters!$B$34</f>
        <v>115.93397007999999</v>
      </c>
      <c r="G256" s="130">
        <f t="shared" si="3"/>
        <v>125.70128648369383</v>
      </c>
      <c r="H256" s="131">
        <f t="shared" si="4"/>
        <v>0.12570128648369383</v>
      </c>
      <c r="I256" s="126">
        <f t="shared" si="5"/>
        <v>3409.9999999999991</v>
      </c>
      <c r="J256" s="126">
        <f t="shared" si="6"/>
        <v>3.4099999999999993</v>
      </c>
      <c r="K256" s="126">
        <f t="shared" si="7"/>
        <v>6819999.9999999981</v>
      </c>
      <c r="L256" s="131">
        <f t="shared" si="8"/>
        <v>6.8199999999999985</v>
      </c>
      <c r="M256" s="126">
        <f t="shared" si="9"/>
        <v>864</v>
      </c>
      <c r="N256" s="131">
        <f t="shared" si="10"/>
        <v>3.1103999999999998</v>
      </c>
      <c r="O256" s="131">
        <f t="shared" si="11"/>
        <v>10.056101286483692</v>
      </c>
      <c r="P256" s="8">
        <f t="shared" si="12"/>
        <v>141281.00000000003</v>
      </c>
      <c r="Q256" s="8">
        <f>IF(Parameters!$G$29="y",IF(INT($P256/Parameters!$K$29)&gt;INT($P255/Parameters!$K$29),1,0),0)</f>
        <v>0</v>
      </c>
      <c r="R256" s="8">
        <f>IF(Parameters!$G$30="y",IF(INT($P256/Parameters!$K$30)&gt;INT($P255/Parameters!$K$30),1,0),0)</f>
        <v>0</v>
      </c>
      <c r="S256" s="8">
        <f>IF(INT($P256/Parameters!$K$31)&gt;INT($P255/Parameters!$K$31),1,0)</f>
        <v>0</v>
      </c>
      <c r="T256" s="76">
        <f t="shared" si="0"/>
        <v>0</v>
      </c>
      <c r="U256" s="8">
        <f>C255/'Pump Data'!$L$21*1000/60</f>
        <v>0.16382760867541657</v>
      </c>
      <c r="V256" s="8"/>
      <c r="W256" s="8"/>
    </row>
    <row r="257" spans="1:23" ht="14.25" x14ac:dyDescent="0.45">
      <c r="A257" s="125">
        <v>41885</v>
      </c>
      <c r="B257" s="126">
        <v>0</v>
      </c>
      <c r="C257" s="127">
        <f t="shared" si="1"/>
        <v>0</v>
      </c>
      <c r="D257" s="127">
        <f t="shared" si="2"/>
        <v>0.64100000000000001</v>
      </c>
      <c r="E257" s="127">
        <f t="shared" si="13"/>
        <v>1.3900000000001289</v>
      </c>
      <c r="F257" s="130">
        <f>Parameters!$B$32*'Pump Data'!$L$21^2+Parameters!$B$33*'Pump Data'!$L$21+Parameters!$B$34</f>
        <v>115.93397007999999</v>
      </c>
      <c r="G257" s="130">
        <f t="shared" si="3"/>
        <v>0</v>
      </c>
      <c r="H257" s="131">
        <f t="shared" si="4"/>
        <v>0</v>
      </c>
      <c r="I257" s="126">
        <f t="shared" si="5"/>
        <v>0</v>
      </c>
      <c r="J257" s="126">
        <f t="shared" si="6"/>
        <v>0</v>
      </c>
      <c r="K257" s="126">
        <f t="shared" si="7"/>
        <v>0</v>
      </c>
      <c r="L257" s="131">
        <f t="shared" si="8"/>
        <v>0</v>
      </c>
      <c r="M257" s="126">
        <f t="shared" si="9"/>
        <v>864</v>
      </c>
      <c r="N257" s="131">
        <f t="shared" si="10"/>
        <v>3.1103999999999998</v>
      </c>
      <c r="O257" s="131">
        <f t="shared" si="11"/>
        <v>3.1103999999999998</v>
      </c>
      <c r="P257" s="8">
        <f t="shared" si="12"/>
        <v>141281.00000000003</v>
      </c>
      <c r="Q257" s="8">
        <f>IF(Parameters!$G$29="y",IF(INT($P257/Parameters!$K$29)&gt;INT($P256/Parameters!$K$29),1,0),0)</f>
        <v>0</v>
      </c>
      <c r="R257" s="8">
        <f>IF(Parameters!$G$30="y",IF(INT($P257/Parameters!$K$30)&gt;INT($P256/Parameters!$K$30),1,0),0)</f>
        <v>0</v>
      </c>
      <c r="S257" s="8">
        <f>IF(INT($P257/Parameters!$K$31)&gt;INT($P256/Parameters!$K$31),1,0)</f>
        <v>0</v>
      </c>
      <c r="T257" s="76">
        <f t="shared" si="0"/>
        <v>0</v>
      </c>
      <c r="U257" s="8">
        <f>C256/'Pump Data'!$L$21*1000/60</f>
        <v>0.31741599180861951</v>
      </c>
      <c r="V257" s="8"/>
      <c r="W257" s="8"/>
    </row>
    <row r="258" spans="1:23" ht="14.25" x14ac:dyDescent="0.45">
      <c r="A258" s="125">
        <v>41886</v>
      </c>
      <c r="B258" s="126">
        <v>0</v>
      </c>
      <c r="C258" s="127">
        <f t="shared" si="1"/>
        <v>0</v>
      </c>
      <c r="D258" s="127">
        <f t="shared" si="2"/>
        <v>0.64100000000000001</v>
      </c>
      <c r="E258" s="127">
        <f t="shared" si="13"/>
        <v>0.7490000000001289</v>
      </c>
      <c r="F258" s="130">
        <f>Parameters!$B$32*'Pump Data'!$L$21^2+Parameters!$B$33*'Pump Data'!$L$21+Parameters!$B$34</f>
        <v>115.93397007999999</v>
      </c>
      <c r="G258" s="130">
        <f t="shared" si="3"/>
        <v>0</v>
      </c>
      <c r="H258" s="131">
        <f t="shared" si="4"/>
        <v>0</v>
      </c>
      <c r="I258" s="126">
        <f t="shared" si="5"/>
        <v>0</v>
      </c>
      <c r="J258" s="126">
        <f t="shared" si="6"/>
        <v>0</v>
      </c>
      <c r="K258" s="126">
        <f t="shared" si="7"/>
        <v>0</v>
      </c>
      <c r="L258" s="131">
        <f t="shared" si="8"/>
        <v>0</v>
      </c>
      <c r="M258" s="126">
        <f t="shared" si="9"/>
        <v>864</v>
      </c>
      <c r="N258" s="131">
        <f t="shared" si="10"/>
        <v>3.1103999999999998</v>
      </c>
      <c r="O258" s="131">
        <f t="shared" si="11"/>
        <v>3.1103999999999998</v>
      </c>
      <c r="P258" s="8">
        <f t="shared" si="12"/>
        <v>141281.00000000003</v>
      </c>
      <c r="Q258" s="8">
        <f>IF(Parameters!$G$29="y",IF(INT($P258/Parameters!$K$29)&gt;INT($P257/Parameters!$K$29),1,0),0)</f>
        <v>0</v>
      </c>
      <c r="R258" s="8">
        <f>IF(Parameters!$G$30="y",IF(INT($P258/Parameters!$K$30)&gt;INT($P257/Parameters!$K$30),1,0),0)</f>
        <v>0</v>
      </c>
      <c r="S258" s="8">
        <f>IF(INT($P258/Parameters!$K$31)&gt;INT($P257/Parameters!$K$31),1,0)</f>
        <v>0</v>
      </c>
      <c r="T258" s="76">
        <f t="shared" si="0"/>
        <v>0</v>
      </c>
      <c r="U258" s="8">
        <f>C257/'Pump Data'!$L$21*1000/60</f>
        <v>0</v>
      </c>
      <c r="V258" s="8"/>
      <c r="W258" s="8"/>
    </row>
    <row r="259" spans="1:23" ht="14.25" x14ac:dyDescent="0.45">
      <c r="A259" s="125">
        <v>41887</v>
      </c>
      <c r="B259" s="126">
        <v>0</v>
      </c>
      <c r="C259" s="127">
        <f t="shared" si="1"/>
        <v>0</v>
      </c>
      <c r="D259" s="127">
        <f t="shared" si="2"/>
        <v>0.64100000000000001</v>
      </c>
      <c r="E259" s="127">
        <f t="shared" si="13"/>
        <v>0.10800000000012888</v>
      </c>
      <c r="F259" s="130">
        <f>Parameters!$B$32*'Pump Data'!$L$21^2+Parameters!$B$33*'Pump Data'!$L$21+Parameters!$B$34</f>
        <v>115.93397007999999</v>
      </c>
      <c r="G259" s="130">
        <f t="shared" si="3"/>
        <v>0</v>
      </c>
      <c r="H259" s="131">
        <f t="shared" si="4"/>
        <v>0</v>
      </c>
      <c r="I259" s="126">
        <f t="shared" si="5"/>
        <v>0</v>
      </c>
      <c r="J259" s="126">
        <f t="shared" si="6"/>
        <v>0</v>
      </c>
      <c r="K259" s="126">
        <f t="shared" si="7"/>
        <v>0</v>
      </c>
      <c r="L259" s="131">
        <f t="shared" si="8"/>
        <v>0</v>
      </c>
      <c r="M259" s="126">
        <f t="shared" si="9"/>
        <v>864</v>
      </c>
      <c r="N259" s="131">
        <f t="shared" si="10"/>
        <v>3.1103999999999998</v>
      </c>
      <c r="O259" s="131">
        <f t="shared" si="11"/>
        <v>3.1103999999999998</v>
      </c>
      <c r="P259" s="8">
        <f t="shared" si="12"/>
        <v>141281.00000000003</v>
      </c>
      <c r="Q259" s="8">
        <f>IF(Parameters!$G$29="y",IF(INT($P259/Parameters!$K$29)&gt;INT($P258/Parameters!$K$29),1,0),0)</f>
        <v>0</v>
      </c>
      <c r="R259" s="8">
        <f>IF(Parameters!$G$30="y",IF(INT($P259/Parameters!$K$30)&gt;INT($P258/Parameters!$K$30),1,0),0)</f>
        <v>0</v>
      </c>
      <c r="S259" s="8">
        <f>IF(INT($P259/Parameters!$K$31)&gt;INT($P258/Parameters!$K$31),1,0)</f>
        <v>0</v>
      </c>
      <c r="T259" s="76">
        <f t="shared" si="0"/>
        <v>0</v>
      </c>
      <c r="U259" s="8">
        <f>C258/'Pump Data'!$L$21*1000/60</f>
        <v>0</v>
      </c>
      <c r="V259" s="8"/>
      <c r="W259" s="8"/>
    </row>
    <row r="260" spans="1:23" ht="14.25" x14ac:dyDescent="0.45">
      <c r="A260" s="125">
        <v>41888</v>
      </c>
      <c r="B260" s="126">
        <v>0</v>
      </c>
      <c r="C260" s="127">
        <f t="shared" si="1"/>
        <v>0</v>
      </c>
      <c r="D260" s="127">
        <f t="shared" si="2"/>
        <v>0.64100000000000001</v>
      </c>
      <c r="E260" s="127">
        <f t="shared" si="13"/>
        <v>0</v>
      </c>
      <c r="F260" s="130">
        <f>Parameters!$B$32*'Pump Data'!$L$21^2+Parameters!$B$33*'Pump Data'!$L$21+Parameters!$B$34</f>
        <v>115.93397007999999</v>
      </c>
      <c r="G260" s="130">
        <f t="shared" si="3"/>
        <v>0</v>
      </c>
      <c r="H260" s="131">
        <f t="shared" si="4"/>
        <v>0</v>
      </c>
      <c r="I260" s="126">
        <f t="shared" si="5"/>
        <v>0</v>
      </c>
      <c r="J260" s="126">
        <f t="shared" si="6"/>
        <v>0</v>
      </c>
      <c r="K260" s="126">
        <f t="shared" si="7"/>
        <v>0</v>
      </c>
      <c r="L260" s="131">
        <f t="shared" si="8"/>
        <v>0</v>
      </c>
      <c r="M260" s="126">
        <f t="shared" si="9"/>
        <v>864</v>
      </c>
      <c r="N260" s="131">
        <f t="shared" si="10"/>
        <v>3.1103999999999998</v>
      </c>
      <c r="O260" s="131">
        <f t="shared" si="11"/>
        <v>3.1103999999999998</v>
      </c>
      <c r="P260" s="8">
        <f t="shared" si="12"/>
        <v>141281.00000000003</v>
      </c>
      <c r="Q260" s="8">
        <f>IF(Parameters!$G$29="y",IF(INT($P260/Parameters!$K$29)&gt;INT($P259/Parameters!$K$29),1,0),0)</f>
        <v>0</v>
      </c>
      <c r="R260" s="8">
        <f>IF(Parameters!$G$30="y",IF(INT($P260/Parameters!$K$30)&gt;INT($P259/Parameters!$K$30),1,0),0)</f>
        <v>0</v>
      </c>
      <c r="S260" s="8">
        <f>IF(INT($P260/Parameters!$K$31)&gt;INT($P259/Parameters!$K$31),1,0)</f>
        <v>0</v>
      </c>
      <c r="T260" s="76">
        <f t="shared" si="0"/>
        <v>0</v>
      </c>
      <c r="U260" s="8">
        <f>C259/'Pump Data'!$L$21*1000/60</f>
        <v>0</v>
      </c>
      <c r="V260" s="8"/>
      <c r="W260" s="8"/>
    </row>
    <row r="261" spans="1:23" ht="14.25" x14ac:dyDescent="0.45">
      <c r="A261" s="125">
        <v>41889</v>
      </c>
      <c r="B261" s="126">
        <v>0</v>
      </c>
      <c r="C261" s="127">
        <f t="shared" si="1"/>
        <v>0</v>
      </c>
      <c r="D261" s="127">
        <f t="shared" si="2"/>
        <v>0.64100000000000001</v>
      </c>
      <c r="E261" s="127">
        <f t="shared" si="13"/>
        <v>0</v>
      </c>
      <c r="F261" s="130">
        <f>Parameters!$B$32*'Pump Data'!$L$21^2+Parameters!$B$33*'Pump Data'!$L$21+Parameters!$B$34</f>
        <v>115.93397007999999</v>
      </c>
      <c r="G261" s="130">
        <f t="shared" si="3"/>
        <v>0</v>
      </c>
      <c r="H261" s="131">
        <f t="shared" si="4"/>
        <v>0</v>
      </c>
      <c r="I261" s="126">
        <f t="shared" si="5"/>
        <v>0</v>
      </c>
      <c r="J261" s="126">
        <f t="shared" si="6"/>
        <v>0</v>
      </c>
      <c r="K261" s="126">
        <f t="shared" si="7"/>
        <v>0</v>
      </c>
      <c r="L261" s="131">
        <f t="shared" si="8"/>
        <v>0</v>
      </c>
      <c r="M261" s="126">
        <f t="shared" si="9"/>
        <v>864</v>
      </c>
      <c r="N261" s="131">
        <f t="shared" si="10"/>
        <v>3.1103999999999998</v>
      </c>
      <c r="O261" s="131">
        <f t="shared" si="11"/>
        <v>3.1103999999999998</v>
      </c>
      <c r="P261" s="8">
        <f t="shared" si="12"/>
        <v>141281.00000000003</v>
      </c>
      <c r="Q261" s="8">
        <f>IF(Parameters!$G$29="y",IF(INT($P261/Parameters!$K$29)&gt;INT($P260/Parameters!$K$29),1,0),0)</f>
        <v>0</v>
      </c>
      <c r="R261" s="8">
        <f>IF(Parameters!$G$30="y",IF(INT($P261/Parameters!$K$30)&gt;INT($P260/Parameters!$K$30),1,0),0)</f>
        <v>0</v>
      </c>
      <c r="S261" s="8">
        <f>IF(INT($P261/Parameters!$K$31)&gt;INT($P260/Parameters!$K$31),1,0)</f>
        <v>0</v>
      </c>
      <c r="T261" s="76">
        <f t="shared" si="0"/>
        <v>0</v>
      </c>
      <c r="U261" s="8">
        <f>C260/'Pump Data'!$L$21*1000/60</f>
        <v>0</v>
      </c>
      <c r="V261" s="8"/>
      <c r="W261" s="8"/>
    </row>
    <row r="262" spans="1:23" ht="14.25" x14ac:dyDescent="0.45">
      <c r="A262" s="125">
        <v>41890</v>
      </c>
      <c r="B262" s="126">
        <v>0</v>
      </c>
      <c r="C262" s="127">
        <f t="shared" si="1"/>
        <v>0</v>
      </c>
      <c r="D262" s="127">
        <f t="shared" si="2"/>
        <v>0.64100000000000001</v>
      </c>
      <c r="E262" s="127">
        <f t="shared" si="13"/>
        <v>0</v>
      </c>
      <c r="F262" s="130">
        <f>Parameters!$B$32*'Pump Data'!$L$21^2+Parameters!$B$33*'Pump Data'!$L$21+Parameters!$B$34</f>
        <v>115.93397007999999</v>
      </c>
      <c r="G262" s="130">
        <f t="shared" si="3"/>
        <v>0</v>
      </c>
      <c r="H262" s="131">
        <f t="shared" si="4"/>
        <v>0</v>
      </c>
      <c r="I262" s="126">
        <f t="shared" si="5"/>
        <v>0</v>
      </c>
      <c r="J262" s="126">
        <f t="shared" si="6"/>
        <v>0</v>
      </c>
      <c r="K262" s="126">
        <f t="shared" si="7"/>
        <v>0</v>
      </c>
      <c r="L262" s="131">
        <f t="shared" si="8"/>
        <v>0</v>
      </c>
      <c r="M262" s="126">
        <f t="shared" si="9"/>
        <v>864</v>
      </c>
      <c r="N262" s="131">
        <f t="shared" si="10"/>
        <v>3.1103999999999998</v>
      </c>
      <c r="O262" s="131">
        <f t="shared" si="11"/>
        <v>3.1103999999999998</v>
      </c>
      <c r="P262" s="8">
        <f t="shared" si="12"/>
        <v>141281.00000000003</v>
      </c>
      <c r="Q262" s="8">
        <f>IF(Parameters!$G$29="y",IF(INT($P262/Parameters!$K$29)&gt;INT($P261/Parameters!$K$29),1,0),0)</f>
        <v>0</v>
      </c>
      <c r="R262" s="8">
        <f>IF(Parameters!$G$30="y",IF(INT($P262/Parameters!$K$30)&gt;INT($P261/Parameters!$K$30),1,0),0)</f>
        <v>0</v>
      </c>
      <c r="S262" s="8">
        <f>IF(INT($P262/Parameters!$K$31)&gt;INT($P261/Parameters!$K$31),1,0)</f>
        <v>0</v>
      </c>
      <c r="T262" s="76">
        <f t="shared" si="0"/>
        <v>0</v>
      </c>
      <c r="U262" s="8">
        <f>C261/'Pump Data'!$L$21*1000/60</f>
        <v>0</v>
      </c>
      <c r="V262" s="8"/>
      <c r="W262" s="8"/>
    </row>
    <row r="263" spans="1:23" ht="14.25" x14ac:dyDescent="0.45">
      <c r="A263" s="125">
        <v>41891</v>
      </c>
      <c r="B263" s="126">
        <v>0</v>
      </c>
      <c r="C263" s="127">
        <f t="shared" si="1"/>
        <v>0</v>
      </c>
      <c r="D263" s="127">
        <f t="shared" si="2"/>
        <v>0.64100000000000001</v>
      </c>
      <c r="E263" s="127">
        <f t="shared" si="13"/>
        <v>0</v>
      </c>
      <c r="F263" s="130">
        <f>Parameters!$B$32*'Pump Data'!$L$21^2+Parameters!$B$33*'Pump Data'!$L$21+Parameters!$B$34</f>
        <v>115.93397007999999</v>
      </c>
      <c r="G263" s="130">
        <f t="shared" si="3"/>
        <v>0</v>
      </c>
      <c r="H263" s="131">
        <f t="shared" si="4"/>
        <v>0</v>
      </c>
      <c r="I263" s="126">
        <f t="shared" si="5"/>
        <v>0</v>
      </c>
      <c r="J263" s="126">
        <f t="shared" si="6"/>
        <v>0</v>
      </c>
      <c r="K263" s="126">
        <f t="shared" si="7"/>
        <v>0</v>
      </c>
      <c r="L263" s="131">
        <f t="shared" si="8"/>
        <v>0</v>
      </c>
      <c r="M263" s="126">
        <f t="shared" si="9"/>
        <v>864</v>
      </c>
      <c r="N263" s="131">
        <f t="shared" si="10"/>
        <v>3.1103999999999998</v>
      </c>
      <c r="O263" s="131">
        <f t="shared" si="11"/>
        <v>3.1103999999999998</v>
      </c>
      <c r="P263" s="8">
        <f t="shared" si="12"/>
        <v>141281.00000000003</v>
      </c>
      <c r="Q263" s="8">
        <f>IF(Parameters!$G$29="y",IF(INT($P263/Parameters!$K$29)&gt;INT($P262/Parameters!$K$29),1,0),0)</f>
        <v>0</v>
      </c>
      <c r="R263" s="8">
        <f>IF(Parameters!$G$30="y",IF(INT($P263/Parameters!$K$30)&gt;INT($P262/Parameters!$K$30),1,0),0)</f>
        <v>0</v>
      </c>
      <c r="S263" s="8">
        <f>IF(INT($P263/Parameters!$K$31)&gt;INT($P262/Parameters!$K$31),1,0)</f>
        <v>0</v>
      </c>
      <c r="T263" s="76">
        <f t="shared" si="0"/>
        <v>0</v>
      </c>
      <c r="U263" s="8">
        <f>C262/'Pump Data'!$L$21*1000/60</f>
        <v>0</v>
      </c>
      <c r="V263" s="8"/>
      <c r="W263" s="8"/>
    </row>
    <row r="264" spans="1:23" ht="14.25" x14ac:dyDescent="0.45">
      <c r="A264" s="125">
        <v>41892</v>
      </c>
      <c r="B264" s="126">
        <v>0</v>
      </c>
      <c r="C264" s="127">
        <f t="shared" si="1"/>
        <v>0</v>
      </c>
      <c r="D264" s="127">
        <f t="shared" si="2"/>
        <v>0.64100000000000001</v>
      </c>
      <c r="E264" s="127">
        <f t="shared" si="13"/>
        <v>0</v>
      </c>
      <c r="F264" s="130">
        <f>Parameters!$B$32*'Pump Data'!$L$21^2+Parameters!$B$33*'Pump Data'!$L$21+Parameters!$B$34</f>
        <v>115.93397007999999</v>
      </c>
      <c r="G264" s="130">
        <f t="shared" si="3"/>
        <v>0</v>
      </c>
      <c r="H264" s="131">
        <f t="shared" si="4"/>
        <v>0</v>
      </c>
      <c r="I264" s="126">
        <f t="shared" si="5"/>
        <v>0</v>
      </c>
      <c r="J264" s="126">
        <f t="shared" si="6"/>
        <v>0</v>
      </c>
      <c r="K264" s="126">
        <f t="shared" si="7"/>
        <v>0</v>
      </c>
      <c r="L264" s="131">
        <f t="shared" si="8"/>
        <v>0</v>
      </c>
      <c r="M264" s="126">
        <f t="shared" si="9"/>
        <v>864</v>
      </c>
      <c r="N264" s="131">
        <f t="shared" si="10"/>
        <v>3.1103999999999998</v>
      </c>
      <c r="O264" s="131">
        <f t="shared" si="11"/>
        <v>3.1103999999999998</v>
      </c>
      <c r="P264" s="8">
        <f t="shared" si="12"/>
        <v>141281.00000000003</v>
      </c>
      <c r="Q264" s="8">
        <f>IF(Parameters!$G$29="y",IF(INT($P264/Parameters!$K$29)&gt;INT($P263/Parameters!$K$29),1,0),0)</f>
        <v>0</v>
      </c>
      <c r="R264" s="8">
        <f>IF(Parameters!$G$30="y",IF(INT($P264/Parameters!$K$30)&gt;INT($P263/Parameters!$K$30),1,0),0)</f>
        <v>0</v>
      </c>
      <c r="S264" s="8">
        <f>IF(INT($P264/Parameters!$K$31)&gt;INT($P263/Parameters!$K$31),1,0)</f>
        <v>0</v>
      </c>
      <c r="T264" s="76">
        <f t="shared" si="0"/>
        <v>0</v>
      </c>
      <c r="U264" s="8">
        <f>C263/'Pump Data'!$L$21*1000/60</f>
        <v>0</v>
      </c>
      <c r="V264" s="8"/>
      <c r="W264" s="8"/>
    </row>
    <row r="265" spans="1:23" ht="14.25" x14ac:dyDescent="0.45">
      <c r="A265" s="125">
        <v>41893</v>
      </c>
      <c r="B265" s="126">
        <v>0</v>
      </c>
      <c r="C265" s="127">
        <f t="shared" si="1"/>
        <v>0</v>
      </c>
      <c r="D265" s="127">
        <f t="shared" si="2"/>
        <v>0.64100000000000001</v>
      </c>
      <c r="E265" s="127">
        <f t="shared" si="13"/>
        <v>0</v>
      </c>
      <c r="F265" s="130">
        <f>Parameters!$B$32*'Pump Data'!$L$21^2+Parameters!$B$33*'Pump Data'!$L$21+Parameters!$B$34</f>
        <v>115.93397007999999</v>
      </c>
      <c r="G265" s="130">
        <f t="shared" si="3"/>
        <v>0</v>
      </c>
      <c r="H265" s="131">
        <f t="shared" si="4"/>
        <v>0</v>
      </c>
      <c r="I265" s="126">
        <f t="shared" si="5"/>
        <v>0</v>
      </c>
      <c r="J265" s="126">
        <f t="shared" si="6"/>
        <v>0</v>
      </c>
      <c r="K265" s="126">
        <f t="shared" si="7"/>
        <v>0</v>
      </c>
      <c r="L265" s="131">
        <f t="shared" si="8"/>
        <v>0</v>
      </c>
      <c r="M265" s="126">
        <f t="shared" si="9"/>
        <v>864</v>
      </c>
      <c r="N265" s="131">
        <f t="shared" si="10"/>
        <v>3.1103999999999998</v>
      </c>
      <c r="O265" s="131">
        <f t="shared" si="11"/>
        <v>3.1103999999999998</v>
      </c>
      <c r="P265" s="8">
        <f t="shared" si="12"/>
        <v>141281.00000000003</v>
      </c>
      <c r="Q265" s="8">
        <f>IF(Parameters!$G$29="y",IF(INT($P265/Parameters!$K$29)&gt;INT($P264/Parameters!$K$29),1,0),0)</f>
        <v>0</v>
      </c>
      <c r="R265" s="8">
        <f>IF(Parameters!$G$30="y",IF(INT($P265/Parameters!$K$30)&gt;INT($P264/Parameters!$K$30),1,0),0)</f>
        <v>0</v>
      </c>
      <c r="S265" s="8">
        <f>IF(INT($P265/Parameters!$K$31)&gt;INT($P264/Parameters!$K$31),1,0)</f>
        <v>0</v>
      </c>
      <c r="T265" s="76">
        <f t="shared" si="0"/>
        <v>0</v>
      </c>
      <c r="U265" s="8">
        <f>C264/'Pump Data'!$L$21*1000/60</f>
        <v>0</v>
      </c>
      <c r="V265" s="8"/>
      <c r="W265" s="8"/>
    </row>
    <row r="266" spans="1:23" ht="14.25" x14ac:dyDescent="0.45">
      <c r="A266" s="125">
        <v>41894</v>
      </c>
      <c r="B266" s="126">
        <v>0</v>
      </c>
      <c r="C266" s="127">
        <f t="shared" si="1"/>
        <v>0</v>
      </c>
      <c r="D266" s="127">
        <f t="shared" si="2"/>
        <v>0.64100000000000001</v>
      </c>
      <c r="E266" s="127">
        <f t="shared" si="13"/>
        <v>0</v>
      </c>
      <c r="F266" s="130">
        <f>Parameters!$B$32*'Pump Data'!$L$21^2+Parameters!$B$33*'Pump Data'!$L$21+Parameters!$B$34</f>
        <v>115.93397007999999</v>
      </c>
      <c r="G266" s="130">
        <f t="shared" si="3"/>
        <v>0</v>
      </c>
      <c r="H266" s="131">
        <f t="shared" si="4"/>
        <v>0</v>
      </c>
      <c r="I266" s="126">
        <f t="shared" si="5"/>
        <v>0</v>
      </c>
      <c r="J266" s="126">
        <f t="shared" si="6"/>
        <v>0</v>
      </c>
      <c r="K266" s="126">
        <f t="shared" si="7"/>
        <v>0</v>
      </c>
      <c r="L266" s="131">
        <f t="shared" si="8"/>
        <v>0</v>
      </c>
      <c r="M266" s="126">
        <f t="shared" si="9"/>
        <v>864</v>
      </c>
      <c r="N266" s="131">
        <f t="shared" si="10"/>
        <v>3.1103999999999998</v>
      </c>
      <c r="O266" s="131">
        <f t="shared" si="11"/>
        <v>3.1103999999999998</v>
      </c>
      <c r="P266" s="8">
        <f t="shared" si="12"/>
        <v>141281.00000000003</v>
      </c>
      <c r="Q266" s="8">
        <f>IF(Parameters!$G$29="y",IF(INT($P266/Parameters!$K$29)&gt;INT($P265/Parameters!$K$29),1,0),0)</f>
        <v>0</v>
      </c>
      <c r="R266" s="8">
        <f>IF(Parameters!$G$30="y",IF(INT($P266/Parameters!$K$30)&gt;INT($P265/Parameters!$K$30),1,0),0)</f>
        <v>0</v>
      </c>
      <c r="S266" s="8">
        <f>IF(INT($P266/Parameters!$K$31)&gt;INT($P265/Parameters!$K$31),1,0)</f>
        <v>0</v>
      </c>
      <c r="T266" s="76">
        <f t="shared" ref="T266:T376" si="14">MAX(MIN(SUM(Q266:S266),1),0)</f>
        <v>0</v>
      </c>
      <c r="U266" s="8">
        <f>C265/'Pump Data'!$L$21*1000/60</f>
        <v>0</v>
      </c>
      <c r="V266" s="8"/>
      <c r="W266" s="8"/>
    </row>
    <row r="267" spans="1:23" ht="14.25" x14ac:dyDescent="0.45">
      <c r="A267" s="125">
        <v>41895</v>
      </c>
      <c r="B267" s="126">
        <v>0</v>
      </c>
      <c r="C267" s="127">
        <f t="shared" ref="C267:C376" si="15">IF(B267/1000*$B$2&lt;=$B$3,B267/1000*$B$2,$B$3)</f>
        <v>0</v>
      </c>
      <c r="D267" s="127">
        <f t="shared" ref="D267:D376" si="16">IF(A267&gt;=DATE(2014,2,1),$B$4/1000,0)</f>
        <v>0.64100000000000001</v>
      </c>
      <c r="E267" s="127">
        <f t="shared" si="13"/>
        <v>0</v>
      </c>
      <c r="F267" s="130">
        <f>Parameters!$B$32*'Pump Data'!$L$21^2+Parameters!$B$33*'Pump Data'!$L$21+Parameters!$B$34</f>
        <v>115.93397007999999</v>
      </c>
      <c r="G267" s="130">
        <f t="shared" ref="G267:G376" si="17">F267*C267/$J$3</f>
        <v>0</v>
      </c>
      <c r="H267" s="131">
        <f t="shared" ref="H267:H376" si="18">G267/1000</f>
        <v>0</v>
      </c>
      <c r="I267" s="126">
        <f t="shared" ref="I267:I376" si="19">C267*1000*$Q$4/$Q$3</f>
        <v>0</v>
      </c>
      <c r="J267" s="126">
        <f t="shared" ref="J267:J376" si="20">I267/1000</f>
        <v>0</v>
      </c>
      <c r="K267" s="126">
        <f t="shared" ref="K267:K376" si="21">L267*1000000</f>
        <v>0</v>
      </c>
      <c r="L267" s="131">
        <f t="shared" ref="L267:L376" si="22">$Q$5*J267</f>
        <v>0</v>
      </c>
      <c r="M267" s="126">
        <f t="shared" ref="M267:M376" si="23">$Q$6*24</f>
        <v>864</v>
      </c>
      <c r="N267" s="131">
        <f t="shared" ref="N267:N376" si="24">M267*0.0036</f>
        <v>3.1103999999999998</v>
      </c>
      <c r="O267" s="131">
        <f t="shared" ref="O267:O376" si="25">H267+L267+N267</f>
        <v>3.1103999999999998</v>
      </c>
      <c r="P267" s="8">
        <f t="shared" ref="P267:P376" si="26">SUM($C$12:C267)*1000</f>
        <v>141281.00000000003</v>
      </c>
      <c r="Q267" s="8">
        <f>IF(Parameters!$G$29="y",IF(INT($P267/Parameters!$K$29)&gt;INT($P266/Parameters!$K$29),1,0),0)</f>
        <v>0</v>
      </c>
      <c r="R267" s="8">
        <f>IF(Parameters!$G$30="y",IF(INT($P267/Parameters!$K$30)&gt;INT($P266/Parameters!$K$30),1,0),0)</f>
        <v>0</v>
      </c>
      <c r="S267" s="8">
        <f>IF(INT($P267/Parameters!$K$31)&gt;INT($P266/Parameters!$K$31),1,0)</f>
        <v>0</v>
      </c>
      <c r="T267" s="76">
        <f t="shared" si="14"/>
        <v>0</v>
      </c>
      <c r="U267" s="8">
        <f>C266/'Pump Data'!$L$21*1000/60</f>
        <v>0</v>
      </c>
      <c r="V267" s="8"/>
      <c r="W267" s="8"/>
    </row>
    <row r="268" spans="1:23" ht="14.25" x14ac:dyDescent="0.45">
      <c r="A268" s="125">
        <v>41896</v>
      </c>
      <c r="B268" s="126">
        <v>0</v>
      </c>
      <c r="C268" s="127">
        <f t="shared" si="15"/>
        <v>0</v>
      </c>
      <c r="D268" s="127">
        <f t="shared" si="16"/>
        <v>0.64100000000000001</v>
      </c>
      <c r="E268" s="127">
        <f t="shared" ref="E268:E376" si="27">IF((E267+C268-D268)&gt;=0,IF(E267+C268-D268&lt;=$F$2,E267+C268-D268,$F$2),0)</f>
        <v>0</v>
      </c>
      <c r="F268" s="130">
        <f>Parameters!$B$32*'Pump Data'!$L$21^2+Parameters!$B$33*'Pump Data'!$L$21+Parameters!$B$34</f>
        <v>115.93397007999999</v>
      </c>
      <c r="G268" s="130">
        <f t="shared" si="17"/>
        <v>0</v>
      </c>
      <c r="H268" s="131">
        <f t="shared" si="18"/>
        <v>0</v>
      </c>
      <c r="I268" s="126">
        <f t="shared" si="19"/>
        <v>0</v>
      </c>
      <c r="J268" s="126">
        <f t="shared" si="20"/>
        <v>0</v>
      </c>
      <c r="K268" s="126">
        <f t="shared" si="21"/>
        <v>0</v>
      </c>
      <c r="L268" s="131">
        <f t="shared" si="22"/>
        <v>0</v>
      </c>
      <c r="M268" s="126">
        <f t="shared" si="23"/>
        <v>864</v>
      </c>
      <c r="N268" s="131">
        <f t="shared" si="24"/>
        <v>3.1103999999999998</v>
      </c>
      <c r="O268" s="131">
        <f t="shared" si="25"/>
        <v>3.1103999999999998</v>
      </c>
      <c r="P268" s="8">
        <f t="shared" si="26"/>
        <v>141281.00000000003</v>
      </c>
      <c r="Q268" s="8">
        <f>IF(Parameters!$G$29="y",IF(INT($P268/Parameters!$K$29)&gt;INT($P267/Parameters!$K$29),1,0),0)</f>
        <v>0</v>
      </c>
      <c r="R268" s="8">
        <f>IF(Parameters!$G$30="y",IF(INT($P268/Parameters!$K$30)&gt;INT($P267/Parameters!$K$30),1,0),0)</f>
        <v>0</v>
      </c>
      <c r="S268" s="8">
        <f>IF(INT($P268/Parameters!$K$31)&gt;INT($P267/Parameters!$K$31),1,0)</f>
        <v>0</v>
      </c>
      <c r="T268" s="76">
        <f t="shared" si="14"/>
        <v>0</v>
      </c>
      <c r="U268" s="8">
        <f>C267/'Pump Data'!$L$21*1000/60</f>
        <v>0</v>
      </c>
      <c r="V268" s="8"/>
      <c r="W268" s="8"/>
    </row>
    <row r="269" spans="1:23" ht="14.25" x14ac:dyDescent="0.45">
      <c r="A269" s="125">
        <v>41897</v>
      </c>
      <c r="B269" s="126">
        <v>0</v>
      </c>
      <c r="C269" s="127">
        <f t="shared" si="15"/>
        <v>0</v>
      </c>
      <c r="D269" s="127">
        <f t="shared" si="16"/>
        <v>0.64100000000000001</v>
      </c>
      <c r="E269" s="127">
        <f t="shared" si="27"/>
        <v>0</v>
      </c>
      <c r="F269" s="130">
        <f>Parameters!$B$32*'Pump Data'!$L$21^2+Parameters!$B$33*'Pump Data'!$L$21+Parameters!$B$34</f>
        <v>115.93397007999999</v>
      </c>
      <c r="G269" s="130">
        <f t="shared" si="17"/>
        <v>0</v>
      </c>
      <c r="H269" s="131">
        <f t="shared" si="18"/>
        <v>0</v>
      </c>
      <c r="I269" s="126">
        <f t="shared" si="19"/>
        <v>0</v>
      </c>
      <c r="J269" s="126">
        <f t="shared" si="20"/>
        <v>0</v>
      </c>
      <c r="K269" s="126">
        <f t="shared" si="21"/>
        <v>0</v>
      </c>
      <c r="L269" s="131">
        <f t="shared" si="22"/>
        <v>0</v>
      </c>
      <c r="M269" s="126">
        <f t="shared" si="23"/>
        <v>864</v>
      </c>
      <c r="N269" s="131">
        <f t="shared" si="24"/>
        <v>3.1103999999999998</v>
      </c>
      <c r="O269" s="131">
        <f t="shared" si="25"/>
        <v>3.1103999999999998</v>
      </c>
      <c r="P269" s="8">
        <f t="shared" si="26"/>
        <v>141281.00000000003</v>
      </c>
      <c r="Q269" s="8">
        <f>IF(Parameters!$G$29="y",IF(INT($P269/Parameters!$K$29)&gt;INT($P268/Parameters!$K$29),1,0),0)</f>
        <v>0</v>
      </c>
      <c r="R269" s="8">
        <f>IF(Parameters!$G$30="y",IF(INT($P269/Parameters!$K$30)&gt;INT($P268/Parameters!$K$30),1,0),0)</f>
        <v>0</v>
      </c>
      <c r="S269" s="8">
        <f>IF(INT($P269/Parameters!$K$31)&gt;INT($P268/Parameters!$K$31),1,0)</f>
        <v>0</v>
      </c>
      <c r="T269" s="76">
        <f t="shared" si="14"/>
        <v>0</v>
      </c>
      <c r="U269" s="8">
        <f>C268/'Pump Data'!$L$21*1000/60</f>
        <v>0</v>
      </c>
      <c r="V269" s="8"/>
      <c r="W269" s="8"/>
    </row>
    <row r="270" spans="1:23" ht="14.25" x14ac:dyDescent="0.45">
      <c r="A270" s="125">
        <v>41898</v>
      </c>
      <c r="B270" s="126">
        <v>0</v>
      </c>
      <c r="C270" s="127">
        <f t="shared" si="15"/>
        <v>0</v>
      </c>
      <c r="D270" s="127">
        <f t="shared" si="16"/>
        <v>0.64100000000000001</v>
      </c>
      <c r="E270" s="127">
        <f t="shared" si="27"/>
        <v>0</v>
      </c>
      <c r="F270" s="130">
        <f>Parameters!$B$32*'Pump Data'!$L$21^2+Parameters!$B$33*'Pump Data'!$L$21+Parameters!$B$34</f>
        <v>115.93397007999999</v>
      </c>
      <c r="G270" s="130">
        <f t="shared" si="17"/>
        <v>0</v>
      </c>
      <c r="H270" s="131">
        <f t="shared" si="18"/>
        <v>0</v>
      </c>
      <c r="I270" s="126">
        <f t="shared" si="19"/>
        <v>0</v>
      </c>
      <c r="J270" s="126">
        <f t="shared" si="20"/>
        <v>0</v>
      </c>
      <c r="K270" s="126">
        <f t="shared" si="21"/>
        <v>0</v>
      </c>
      <c r="L270" s="131">
        <f t="shared" si="22"/>
        <v>0</v>
      </c>
      <c r="M270" s="126">
        <f t="shared" si="23"/>
        <v>864</v>
      </c>
      <c r="N270" s="131">
        <f t="shared" si="24"/>
        <v>3.1103999999999998</v>
      </c>
      <c r="O270" s="131">
        <f t="shared" si="25"/>
        <v>3.1103999999999998</v>
      </c>
      <c r="P270" s="8">
        <f t="shared" si="26"/>
        <v>141281.00000000003</v>
      </c>
      <c r="Q270" s="8">
        <f>IF(Parameters!$G$29="y",IF(INT($P270/Parameters!$K$29)&gt;INT($P269/Parameters!$K$29),1,0),0)</f>
        <v>0</v>
      </c>
      <c r="R270" s="8">
        <f>IF(Parameters!$G$30="y",IF(INT($P270/Parameters!$K$30)&gt;INT($P269/Parameters!$K$30),1,0),0)</f>
        <v>0</v>
      </c>
      <c r="S270" s="8">
        <f>IF(INT($P270/Parameters!$K$31)&gt;INT($P269/Parameters!$K$31),1,0)</f>
        <v>0</v>
      </c>
      <c r="T270" s="76">
        <f t="shared" si="14"/>
        <v>0</v>
      </c>
      <c r="U270" s="8">
        <f>C269/'Pump Data'!$L$21*1000/60</f>
        <v>0</v>
      </c>
      <c r="V270" s="8"/>
      <c r="W270" s="8"/>
    </row>
    <row r="271" spans="1:23" ht="14.25" x14ac:dyDescent="0.45">
      <c r="A271" s="125">
        <v>41899</v>
      </c>
      <c r="B271" s="126">
        <v>0</v>
      </c>
      <c r="C271" s="127">
        <f t="shared" si="15"/>
        <v>0</v>
      </c>
      <c r="D271" s="127">
        <f t="shared" si="16"/>
        <v>0.64100000000000001</v>
      </c>
      <c r="E271" s="127">
        <f t="shared" si="27"/>
        <v>0</v>
      </c>
      <c r="F271" s="130">
        <f>Parameters!$B$32*'Pump Data'!$L$21^2+Parameters!$B$33*'Pump Data'!$L$21+Parameters!$B$34</f>
        <v>115.93397007999999</v>
      </c>
      <c r="G271" s="130">
        <f t="shared" si="17"/>
        <v>0</v>
      </c>
      <c r="H271" s="131">
        <f t="shared" si="18"/>
        <v>0</v>
      </c>
      <c r="I271" s="126">
        <f t="shared" si="19"/>
        <v>0</v>
      </c>
      <c r="J271" s="126">
        <f t="shared" si="20"/>
        <v>0</v>
      </c>
      <c r="K271" s="126">
        <f t="shared" si="21"/>
        <v>0</v>
      </c>
      <c r="L271" s="131">
        <f t="shared" si="22"/>
        <v>0</v>
      </c>
      <c r="M271" s="126">
        <f t="shared" si="23"/>
        <v>864</v>
      </c>
      <c r="N271" s="131">
        <f t="shared" si="24"/>
        <v>3.1103999999999998</v>
      </c>
      <c r="O271" s="131">
        <f t="shared" si="25"/>
        <v>3.1103999999999998</v>
      </c>
      <c r="P271" s="8">
        <f t="shared" si="26"/>
        <v>141281.00000000003</v>
      </c>
      <c r="Q271" s="8">
        <f>IF(Parameters!$G$29="y",IF(INT($P271/Parameters!$K$29)&gt;INT($P270/Parameters!$K$29),1,0),0)</f>
        <v>0</v>
      </c>
      <c r="R271" s="8">
        <f>IF(Parameters!$G$30="y",IF(INT($P271/Parameters!$K$30)&gt;INT($P270/Parameters!$K$30),1,0),0)</f>
        <v>0</v>
      </c>
      <c r="S271" s="8">
        <f>IF(INT($P271/Parameters!$K$31)&gt;INT($P270/Parameters!$K$31),1,0)</f>
        <v>0</v>
      </c>
      <c r="T271" s="76">
        <f t="shared" si="14"/>
        <v>0</v>
      </c>
      <c r="U271" s="8">
        <f>C270/'Pump Data'!$L$21*1000/60</f>
        <v>0</v>
      </c>
      <c r="V271" s="8"/>
      <c r="W271" s="8"/>
    </row>
    <row r="272" spans="1:23" ht="14.25" x14ac:dyDescent="0.45">
      <c r="A272" s="125">
        <v>41900</v>
      </c>
      <c r="B272" s="126">
        <v>26.4</v>
      </c>
      <c r="C272" s="127">
        <f t="shared" si="15"/>
        <v>2.5</v>
      </c>
      <c r="D272" s="127">
        <f t="shared" si="16"/>
        <v>0.64100000000000001</v>
      </c>
      <c r="E272" s="127">
        <f t="shared" si="27"/>
        <v>1.859</v>
      </c>
      <c r="F272" s="130">
        <f>Parameters!$B$32*'Pump Data'!$L$21^2+Parameters!$B$33*'Pump Data'!$L$21+Parameters!$B$34</f>
        <v>115.93397007999999</v>
      </c>
      <c r="G272" s="130">
        <f t="shared" si="17"/>
        <v>460.7818419490244</v>
      </c>
      <c r="H272" s="131">
        <f t="shared" si="18"/>
        <v>0.46078184194902438</v>
      </c>
      <c r="I272" s="126">
        <f t="shared" si="19"/>
        <v>12500</v>
      </c>
      <c r="J272" s="126">
        <f t="shared" si="20"/>
        <v>12.5</v>
      </c>
      <c r="K272" s="126">
        <f t="shared" si="21"/>
        <v>25000000</v>
      </c>
      <c r="L272" s="131">
        <f t="shared" si="22"/>
        <v>25</v>
      </c>
      <c r="M272" s="126">
        <f t="shared" si="23"/>
        <v>864</v>
      </c>
      <c r="N272" s="131">
        <f t="shared" si="24"/>
        <v>3.1103999999999998</v>
      </c>
      <c r="O272" s="131">
        <f t="shared" si="25"/>
        <v>28.571181841949024</v>
      </c>
      <c r="P272" s="8">
        <f t="shared" si="26"/>
        <v>143781.00000000003</v>
      </c>
      <c r="Q272" s="8">
        <f>IF(Parameters!$G$29="y",IF(INT($P272/Parameters!$K$29)&gt;INT($P271/Parameters!$K$29),1,0),0)</f>
        <v>0</v>
      </c>
      <c r="R272" s="8">
        <f>IF(Parameters!$G$30="y",IF(INT($P272/Parameters!$K$30)&gt;INT($P271/Parameters!$K$30),1,0),0)</f>
        <v>0</v>
      </c>
      <c r="S272" s="8">
        <f>IF(INT($P272/Parameters!$K$31)&gt;INT($P271/Parameters!$K$31),1,0)</f>
        <v>0</v>
      </c>
      <c r="T272" s="76">
        <f t="shared" si="14"/>
        <v>0</v>
      </c>
      <c r="U272" s="8">
        <f>C271/'Pump Data'!$L$21*1000/60</f>
        <v>0</v>
      </c>
      <c r="V272" s="8"/>
      <c r="W272" s="8"/>
    </row>
    <row r="273" spans="1:23" ht="14.25" x14ac:dyDescent="0.45">
      <c r="A273" s="125">
        <v>41901</v>
      </c>
      <c r="B273" s="126">
        <v>0.4</v>
      </c>
      <c r="C273" s="127">
        <f t="shared" si="15"/>
        <v>4.4000000000000004E-2</v>
      </c>
      <c r="D273" s="127">
        <f t="shared" si="16"/>
        <v>0.64100000000000001</v>
      </c>
      <c r="E273" s="127">
        <f t="shared" si="27"/>
        <v>1.262</v>
      </c>
      <c r="F273" s="130">
        <f>Parameters!$B$32*'Pump Data'!$L$21^2+Parameters!$B$33*'Pump Data'!$L$21+Parameters!$B$34</f>
        <v>115.93397007999999</v>
      </c>
      <c r="G273" s="130">
        <f t="shared" si="17"/>
        <v>8.1097604183028302</v>
      </c>
      <c r="H273" s="131">
        <f t="shared" si="18"/>
        <v>8.1097604183028305E-3</v>
      </c>
      <c r="I273" s="126">
        <f t="shared" si="19"/>
        <v>220.00000000000006</v>
      </c>
      <c r="J273" s="126">
        <f t="shared" si="20"/>
        <v>0.22000000000000006</v>
      </c>
      <c r="K273" s="126">
        <f t="shared" si="21"/>
        <v>440000.00000000012</v>
      </c>
      <c r="L273" s="131">
        <f t="shared" si="22"/>
        <v>0.44000000000000011</v>
      </c>
      <c r="M273" s="126">
        <f t="shared" si="23"/>
        <v>864</v>
      </c>
      <c r="N273" s="131">
        <f t="shared" si="24"/>
        <v>3.1103999999999998</v>
      </c>
      <c r="O273" s="131">
        <f t="shared" si="25"/>
        <v>3.5585097604183029</v>
      </c>
      <c r="P273" s="8">
        <f t="shared" si="26"/>
        <v>143825.00000000006</v>
      </c>
      <c r="Q273" s="8">
        <f>IF(Parameters!$G$29="y",IF(INT($P273/Parameters!$K$29)&gt;INT($P272/Parameters!$K$29),1,0),0)</f>
        <v>0</v>
      </c>
      <c r="R273" s="8">
        <f>IF(Parameters!$G$30="y",IF(INT($P273/Parameters!$K$30)&gt;INT($P272/Parameters!$K$30),1,0),0)</f>
        <v>0</v>
      </c>
      <c r="S273" s="8">
        <f>IF(INT($P273/Parameters!$K$31)&gt;INT($P272/Parameters!$K$31),1,0)</f>
        <v>0</v>
      </c>
      <c r="T273" s="76">
        <f t="shared" si="14"/>
        <v>0</v>
      </c>
      <c r="U273" s="8">
        <f>C272/'Pump Data'!$L$21*1000/60</f>
        <v>1.1635483570697196</v>
      </c>
      <c r="V273" s="8"/>
      <c r="W273" s="8"/>
    </row>
    <row r="274" spans="1:23" ht="14.25" x14ac:dyDescent="0.45">
      <c r="A274" s="125">
        <v>41902</v>
      </c>
      <c r="B274" s="126">
        <v>0</v>
      </c>
      <c r="C274" s="127">
        <f t="shared" si="15"/>
        <v>0</v>
      </c>
      <c r="D274" s="127">
        <f t="shared" si="16"/>
        <v>0.64100000000000001</v>
      </c>
      <c r="E274" s="127">
        <f t="shared" si="27"/>
        <v>0.621</v>
      </c>
      <c r="F274" s="130">
        <f>Parameters!$B$32*'Pump Data'!$L$21^2+Parameters!$B$33*'Pump Data'!$L$21+Parameters!$B$34</f>
        <v>115.93397007999999</v>
      </c>
      <c r="G274" s="130">
        <f t="shared" si="17"/>
        <v>0</v>
      </c>
      <c r="H274" s="131">
        <f t="shared" si="18"/>
        <v>0</v>
      </c>
      <c r="I274" s="126">
        <f t="shared" si="19"/>
        <v>0</v>
      </c>
      <c r="J274" s="126">
        <f t="shared" si="20"/>
        <v>0</v>
      </c>
      <c r="K274" s="126">
        <f t="shared" si="21"/>
        <v>0</v>
      </c>
      <c r="L274" s="131">
        <f t="shared" si="22"/>
        <v>0</v>
      </c>
      <c r="M274" s="126">
        <f t="shared" si="23"/>
        <v>864</v>
      </c>
      <c r="N274" s="131">
        <f t="shared" si="24"/>
        <v>3.1103999999999998</v>
      </c>
      <c r="O274" s="131">
        <f t="shared" si="25"/>
        <v>3.1103999999999998</v>
      </c>
      <c r="P274" s="8">
        <f t="shared" si="26"/>
        <v>143825.00000000006</v>
      </c>
      <c r="Q274" s="8">
        <f>IF(Parameters!$G$29="y",IF(INT($P274/Parameters!$K$29)&gt;INT($P273/Parameters!$K$29),1,0),0)</f>
        <v>0</v>
      </c>
      <c r="R274" s="8">
        <f>IF(Parameters!$G$30="y",IF(INT($P274/Parameters!$K$30)&gt;INT($P273/Parameters!$K$30),1,0),0)</f>
        <v>0</v>
      </c>
      <c r="S274" s="8">
        <f>IF(INT($P274/Parameters!$K$31)&gt;INT($P273/Parameters!$K$31),1,0)</f>
        <v>0</v>
      </c>
      <c r="T274" s="76">
        <f t="shared" si="14"/>
        <v>0</v>
      </c>
      <c r="U274" s="8">
        <f>C273/'Pump Data'!$L$21*1000/60</f>
        <v>2.0478451084427071E-2</v>
      </c>
      <c r="V274" s="8"/>
      <c r="W274" s="8"/>
    </row>
    <row r="275" spans="1:23" ht="14.25" x14ac:dyDescent="0.45">
      <c r="A275" s="125">
        <v>41903</v>
      </c>
      <c r="B275" s="126">
        <v>2</v>
      </c>
      <c r="C275" s="127">
        <f t="shared" si="15"/>
        <v>0.22</v>
      </c>
      <c r="D275" s="127">
        <f t="shared" si="16"/>
        <v>0.64100000000000001</v>
      </c>
      <c r="E275" s="127">
        <f t="shared" si="27"/>
        <v>0.19999999999999996</v>
      </c>
      <c r="F275" s="130">
        <f>Parameters!$B$32*'Pump Data'!$L$21^2+Parameters!$B$33*'Pump Data'!$L$21+Parameters!$B$34</f>
        <v>115.93397007999999</v>
      </c>
      <c r="G275" s="130">
        <f t="shared" si="17"/>
        <v>40.548802091514148</v>
      </c>
      <c r="H275" s="131">
        <f t="shared" si="18"/>
        <v>4.0548802091514145E-2</v>
      </c>
      <c r="I275" s="126">
        <f t="shared" si="19"/>
        <v>1100</v>
      </c>
      <c r="J275" s="126">
        <f t="shared" si="20"/>
        <v>1.1000000000000001</v>
      </c>
      <c r="K275" s="126">
        <f t="shared" si="21"/>
        <v>2200000</v>
      </c>
      <c r="L275" s="131">
        <f t="shared" si="22"/>
        <v>2.2000000000000002</v>
      </c>
      <c r="M275" s="126">
        <f t="shared" si="23"/>
        <v>864</v>
      </c>
      <c r="N275" s="131">
        <f t="shared" si="24"/>
        <v>3.1103999999999998</v>
      </c>
      <c r="O275" s="131">
        <f t="shared" si="25"/>
        <v>5.3509488020915139</v>
      </c>
      <c r="P275" s="8">
        <f t="shared" si="26"/>
        <v>144045.00000000006</v>
      </c>
      <c r="Q275" s="8">
        <f>IF(Parameters!$G$29="y",IF(INT($P275/Parameters!$K$29)&gt;INT($P274/Parameters!$K$29),1,0),0)</f>
        <v>0</v>
      </c>
      <c r="R275" s="8">
        <f>IF(Parameters!$G$30="y",IF(INT($P275/Parameters!$K$30)&gt;INT($P274/Parameters!$K$30),1,0),0)</f>
        <v>0</v>
      </c>
      <c r="S275" s="8">
        <f>IF(INT($P275/Parameters!$K$31)&gt;INT($P274/Parameters!$K$31),1,0)</f>
        <v>0</v>
      </c>
      <c r="T275" s="76">
        <f t="shared" si="14"/>
        <v>0</v>
      </c>
      <c r="U275" s="8">
        <f>C274/'Pump Data'!$L$21*1000/60</f>
        <v>0</v>
      </c>
      <c r="V275" s="8"/>
      <c r="W275" s="8"/>
    </row>
    <row r="276" spans="1:23" ht="14.25" x14ac:dyDescent="0.45">
      <c r="A276" s="125">
        <v>41904</v>
      </c>
      <c r="B276" s="126">
        <v>12.4</v>
      </c>
      <c r="C276" s="127">
        <f t="shared" si="15"/>
        <v>1.3639999999999999</v>
      </c>
      <c r="D276" s="127">
        <f t="shared" si="16"/>
        <v>0.64100000000000001</v>
      </c>
      <c r="E276" s="127">
        <f t="shared" si="27"/>
        <v>0.92299999999999982</v>
      </c>
      <c r="F276" s="130">
        <f>Parameters!$B$32*'Pump Data'!$L$21^2+Parameters!$B$33*'Pump Data'!$L$21+Parameters!$B$34</f>
        <v>115.93397007999999</v>
      </c>
      <c r="G276" s="130">
        <f t="shared" si="17"/>
        <v>251.40257296738767</v>
      </c>
      <c r="H276" s="131">
        <f t="shared" si="18"/>
        <v>0.25140257296738766</v>
      </c>
      <c r="I276" s="126">
        <f t="shared" si="19"/>
        <v>6819.9999999999982</v>
      </c>
      <c r="J276" s="126">
        <f t="shared" si="20"/>
        <v>6.8199999999999985</v>
      </c>
      <c r="K276" s="126">
        <f t="shared" si="21"/>
        <v>13639999.999999996</v>
      </c>
      <c r="L276" s="131">
        <f t="shared" si="22"/>
        <v>13.639999999999997</v>
      </c>
      <c r="M276" s="126">
        <f t="shared" si="23"/>
        <v>864</v>
      </c>
      <c r="N276" s="131">
        <f t="shared" si="24"/>
        <v>3.1103999999999998</v>
      </c>
      <c r="O276" s="131">
        <f t="shared" si="25"/>
        <v>17.001802572967385</v>
      </c>
      <c r="P276" s="8">
        <f t="shared" si="26"/>
        <v>145409.00000000006</v>
      </c>
      <c r="Q276" s="8">
        <f>IF(Parameters!$G$29="y",IF(INT($P276/Parameters!$K$29)&gt;INT($P275/Parameters!$K$29),1,0),0)</f>
        <v>0</v>
      </c>
      <c r="R276" s="8">
        <f>IF(Parameters!$G$30="y",IF(INT($P276/Parameters!$K$30)&gt;INT($P275/Parameters!$K$30),1,0),0)</f>
        <v>0</v>
      </c>
      <c r="S276" s="8">
        <f>IF(INT($P276/Parameters!$K$31)&gt;INT($P275/Parameters!$K$31),1,0)</f>
        <v>0</v>
      </c>
      <c r="T276" s="76">
        <f t="shared" si="14"/>
        <v>0</v>
      </c>
      <c r="U276" s="8">
        <f>C275/'Pump Data'!$L$21*1000/60</f>
        <v>0.10239225542213534</v>
      </c>
      <c r="V276" s="8"/>
      <c r="W276" s="8"/>
    </row>
    <row r="277" spans="1:23" ht="14.25" x14ac:dyDescent="0.45">
      <c r="A277" s="125">
        <v>41905</v>
      </c>
      <c r="B277" s="126">
        <v>29.4</v>
      </c>
      <c r="C277" s="127">
        <f t="shared" si="15"/>
        <v>2.5</v>
      </c>
      <c r="D277" s="127">
        <f t="shared" si="16"/>
        <v>0.64100000000000001</v>
      </c>
      <c r="E277" s="127">
        <f t="shared" si="27"/>
        <v>2.782</v>
      </c>
      <c r="F277" s="130">
        <f>Parameters!$B$32*'Pump Data'!$L$21^2+Parameters!$B$33*'Pump Data'!$L$21+Parameters!$B$34</f>
        <v>115.93397007999999</v>
      </c>
      <c r="G277" s="130">
        <f t="shared" si="17"/>
        <v>460.7818419490244</v>
      </c>
      <c r="H277" s="131">
        <f t="shared" si="18"/>
        <v>0.46078184194902438</v>
      </c>
      <c r="I277" s="126">
        <f t="shared" si="19"/>
        <v>12500</v>
      </c>
      <c r="J277" s="126">
        <f t="shared" si="20"/>
        <v>12.5</v>
      </c>
      <c r="K277" s="126">
        <f t="shared" si="21"/>
        <v>25000000</v>
      </c>
      <c r="L277" s="131">
        <f t="shared" si="22"/>
        <v>25</v>
      </c>
      <c r="M277" s="126">
        <f t="shared" si="23"/>
        <v>864</v>
      </c>
      <c r="N277" s="131">
        <f t="shared" si="24"/>
        <v>3.1103999999999998</v>
      </c>
      <c r="O277" s="131">
        <f t="shared" si="25"/>
        <v>28.571181841949024</v>
      </c>
      <c r="P277" s="8">
        <f t="shared" si="26"/>
        <v>147909.00000000006</v>
      </c>
      <c r="Q277" s="8">
        <f>IF(Parameters!$G$29="y",IF(INT($P277/Parameters!$K$29)&gt;INT($P276/Parameters!$K$29),1,0),0)</f>
        <v>0</v>
      </c>
      <c r="R277" s="8">
        <f>IF(Parameters!$G$30="y",IF(INT($P277/Parameters!$K$30)&gt;INT($P276/Parameters!$K$30),1,0),0)</f>
        <v>0</v>
      </c>
      <c r="S277" s="8">
        <f>IF(INT($P277/Parameters!$K$31)&gt;INT($P276/Parameters!$K$31),1,0)</f>
        <v>0</v>
      </c>
      <c r="T277" s="76">
        <f t="shared" si="14"/>
        <v>0</v>
      </c>
      <c r="U277" s="8">
        <f>C276/'Pump Data'!$L$21*1000/60</f>
        <v>0.63483198361723903</v>
      </c>
      <c r="V277" s="8"/>
      <c r="W277" s="8"/>
    </row>
    <row r="278" spans="1:23" ht="14.25" x14ac:dyDescent="0.45">
      <c r="A278" s="125">
        <v>41906</v>
      </c>
      <c r="B278" s="126">
        <v>1.6</v>
      </c>
      <c r="C278" s="127">
        <f t="shared" si="15"/>
        <v>0.17600000000000002</v>
      </c>
      <c r="D278" s="127">
        <f t="shared" si="16"/>
        <v>0.64100000000000001</v>
      </c>
      <c r="E278" s="127">
        <f t="shared" si="27"/>
        <v>2.3170000000000002</v>
      </c>
      <c r="F278" s="130">
        <f>Parameters!$B$32*'Pump Data'!$L$21^2+Parameters!$B$33*'Pump Data'!$L$21+Parameters!$B$34</f>
        <v>115.93397007999999</v>
      </c>
      <c r="G278" s="130">
        <f t="shared" si="17"/>
        <v>32.439041673211321</v>
      </c>
      <c r="H278" s="131">
        <f t="shared" si="18"/>
        <v>3.2439041673211322E-2</v>
      </c>
      <c r="I278" s="126">
        <f t="shared" si="19"/>
        <v>880.00000000000023</v>
      </c>
      <c r="J278" s="126">
        <f t="shared" si="20"/>
        <v>0.88000000000000023</v>
      </c>
      <c r="K278" s="126">
        <f t="shared" si="21"/>
        <v>1760000.0000000005</v>
      </c>
      <c r="L278" s="131">
        <f t="shared" si="22"/>
        <v>1.7600000000000005</v>
      </c>
      <c r="M278" s="126">
        <f t="shared" si="23"/>
        <v>864</v>
      </c>
      <c r="N278" s="131">
        <f t="shared" si="24"/>
        <v>3.1103999999999998</v>
      </c>
      <c r="O278" s="131">
        <f t="shared" si="25"/>
        <v>4.9028390416732117</v>
      </c>
      <c r="P278" s="8">
        <f t="shared" si="26"/>
        <v>148085.00000000003</v>
      </c>
      <c r="Q278" s="8">
        <f>IF(Parameters!$G$29="y",IF(INT($P278/Parameters!$K$29)&gt;INT($P277/Parameters!$K$29),1,0),0)</f>
        <v>0</v>
      </c>
      <c r="R278" s="8">
        <f>IF(Parameters!$G$30="y",IF(INT($P278/Parameters!$K$30)&gt;INT($P277/Parameters!$K$30),1,0),0)</f>
        <v>0</v>
      </c>
      <c r="S278" s="8">
        <f>IF(INT($P278/Parameters!$K$31)&gt;INT($P277/Parameters!$K$31),1,0)</f>
        <v>0</v>
      </c>
      <c r="T278" s="76">
        <f t="shared" si="14"/>
        <v>0</v>
      </c>
      <c r="U278" s="8">
        <f>C277/'Pump Data'!$L$21*1000/60</f>
        <v>1.1635483570697196</v>
      </c>
      <c r="V278" s="8"/>
      <c r="W278" s="8"/>
    </row>
    <row r="279" spans="1:23" ht="14.25" x14ac:dyDescent="0.45">
      <c r="A279" s="125">
        <v>41907</v>
      </c>
      <c r="B279" s="126">
        <v>0.6</v>
      </c>
      <c r="C279" s="127">
        <f t="shared" si="15"/>
        <v>6.5999999999999989E-2</v>
      </c>
      <c r="D279" s="127">
        <f t="shared" si="16"/>
        <v>0.64100000000000001</v>
      </c>
      <c r="E279" s="127">
        <f t="shared" si="27"/>
        <v>1.742</v>
      </c>
      <c r="F279" s="130">
        <f>Parameters!$B$32*'Pump Data'!$L$21^2+Parameters!$B$33*'Pump Data'!$L$21+Parameters!$B$34</f>
        <v>115.93397007999999</v>
      </c>
      <c r="G279" s="130">
        <f t="shared" si="17"/>
        <v>12.164640627454242</v>
      </c>
      <c r="H279" s="131">
        <f t="shared" si="18"/>
        <v>1.2164640627454242E-2</v>
      </c>
      <c r="I279" s="126">
        <f t="shared" si="19"/>
        <v>329.99999999999989</v>
      </c>
      <c r="J279" s="126">
        <f t="shared" si="20"/>
        <v>0.3299999999999999</v>
      </c>
      <c r="K279" s="126">
        <f t="shared" si="21"/>
        <v>659999.99999999977</v>
      </c>
      <c r="L279" s="131">
        <f t="shared" si="22"/>
        <v>0.65999999999999981</v>
      </c>
      <c r="M279" s="126">
        <f t="shared" si="23"/>
        <v>864</v>
      </c>
      <c r="N279" s="131">
        <f t="shared" si="24"/>
        <v>3.1103999999999998</v>
      </c>
      <c r="O279" s="131">
        <f t="shared" si="25"/>
        <v>3.782564640627454</v>
      </c>
      <c r="P279" s="8">
        <f t="shared" si="26"/>
        <v>148151.00000000003</v>
      </c>
      <c r="Q279" s="8">
        <f>IF(Parameters!$G$29="y",IF(INT($P279/Parameters!$K$29)&gt;INT($P278/Parameters!$K$29),1,0),0)</f>
        <v>0</v>
      </c>
      <c r="R279" s="8">
        <f>IF(Parameters!$G$30="y",IF(INT($P279/Parameters!$K$30)&gt;INT($P278/Parameters!$K$30),1,0),0)</f>
        <v>0</v>
      </c>
      <c r="S279" s="8">
        <f>IF(INT($P279/Parameters!$K$31)&gt;INT($P278/Parameters!$K$31),1,0)</f>
        <v>0</v>
      </c>
      <c r="T279" s="76">
        <f t="shared" si="14"/>
        <v>0</v>
      </c>
      <c r="U279" s="8">
        <f>C278/'Pump Data'!$L$21*1000/60</f>
        <v>8.1913804337708285E-2</v>
      </c>
      <c r="V279" s="8"/>
      <c r="W279" s="8"/>
    </row>
    <row r="280" spans="1:23" ht="14.25" x14ac:dyDescent="0.45">
      <c r="A280" s="125">
        <v>41908</v>
      </c>
      <c r="B280" s="126">
        <v>8.1999999999999993</v>
      </c>
      <c r="C280" s="127">
        <f t="shared" si="15"/>
        <v>0.90199999999999991</v>
      </c>
      <c r="D280" s="127">
        <f t="shared" si="16"/>
        <v>0.64100000000000001</v>
      </c>
      <c r="E280" s="127">
        <f t="shared" si="27"/>
        <v>2.0030000000000001</v>
      </c>
      <c r="F280" s="130">
        <f>Parameters!$B$32*'Pump Data'!$L$21^2+Parameters!$B$33*'Pump Data'!$L$21+Parameters!$B$34</f>
        <v>115.93397007999999</v>
      </c>
      <c r="G280" s="130">
        <f t="shared" si="17"/>
        <v>166.250088575208</v>
      </c>
      <c r="H280" s="131">
        <f t="shared" si="18"/>
        <v>0.16625008857520801</v>
      </c>
      <c r="I280" s="126">
        <f t="shared" si="19"/>
        <v>4509.9999999999991</v>
      </c>
      <c r="J280" s="126">
        <f t="shared" si="20"/>
        <v>4.5099999999999989</v>
      </c>
      <c r="K280" s="126">
        <f t="shared" si="21"/>
        <v>9019999.9999999981</v>
      </c>
      <c r="L280" s="131">
        <f t="shared" si="22"/>
        <v>9.0199999999999978</v>
      </c>
      <c r="M280" s="126">
        <f t="shared" si="23"/>
        <v>864</v>
      </c>
      <c r="N280" s="131">
        <f t="shared" si="24"/>
        <v>3.1103999999999998</v>
      </c>
      <c r="O280" s="131">
        <f t="shared" si="25"/>
        <v>12.296650088575205</v>
      </c>
      <c r="P280" s="8">
        <f t="shared" si="26"/>
        <v>149053.00000000003</v>
      </c>
      <c r="Q280" s="8">
        <f>IF(Parameters!$G$29="y",IF(INT($P280/Parameters!$K$29)&gt;INT($P279/Parameters!$K$29),1,0),0)</f>
        <v>0</v>
      </c>
      <c r="R280" s="8">
        <f>IF(Parameters!$G$30="y",IF(INT($P280/Parameters!$K$30)&gt;INT($P279/Parameters!$K$30),1,0),0)</f>
        <v>0</v>
      </c>
      <c r="S280" s="8">
        <f>IF(INT($P280/Parameters!$K$31)&gt;INT($P279/Parameters!$K$31),1,0)</f>
        <v>0</v>
      </c>
      <c r="T280" s="76">
        <f t="shared" si="14"/>
        <v>0</v>
      </c>
      <c r="U280" s="8">
        <f>C279/'Pump Data'!$L$21*1000/60</f>
        <v>3.0717676626640596E-2</v>
      </c>
      <c r="V280" s="8"/>
      <c r="W280" s="8"/>
    </row>
    <row r="281" spans="1:23" ht="14.25" x14ac:dyDescent="0.45">
      <c r="A281" s="125">
        <v>41909</v>
      </c>
      <c r="B281" s="126">
        <v>0</v>
      </c>
      <c r="C281" s="127">
        <f t="shared" si="15"/>
        <v>0</v>
      </c>
      <c r="D281" s="127">
        <f t="shared" si="16"/>
        <v>0.64100000000000001</v>
      </c>
      <c r="E281" s="127">
        <f t="shared" si="27"/>
        <v>1.3620000000000001</v>
      </c>
      <c r="F281" s="130">
        <f>Parameters!$B$32*'Pump Data'!$L$21^2+Parameters!$B$33*'Pump Data'!$L$21+Parameters!$B$34</f>
        <v>115.93397007999999</v>
      </c>
      <c r="G281" s="130">
        <f t="shared" si="17"/>
        <v>0</v>
      </c>
      <c r="H281" s="131">
        <f t="shared" si="18"/>
        <v>0</v>
      </c>
      <c r="I281" s="126">
        <f t="shared" si="19"/>
        <v>0</v>
      </c>
      <c r="J281" s="126">
        <f t="shared" si="20"/>
        <v>0</v>
      </c>
      <c r="K281" s="126">
        <f t="shared" si="21"/>
        <v>0</v>
      </c>
      <c r="L281" s="131">
        <f t="shared" si="22"/>
        <v>0</v>
      </c>
      <c r="M281" s="126">
        <f t="shared" si="23"/>
        <v>864</v>
      </c>
      <c r="N281" s="131">
        <f t="shared" si="24"/>
        <v>3.1103999999999998</v>
      </c>
      <c r="O281" s="131">
        <f t="shared" si="25"/>
        <v>3.1103999999999998</v>
      </c>
      <c r="P281" s="8">
        <f t="shared" si="26"/>
        <v>149053.00000000003</v>
      </c>
      <c r="Q281" s="8">
        <f>IF(Parameters!$G$29="y",IF(INT($P281/Parameters!$K$29)&gt;INT($P280/Parameters!$K$29),1,0),0)</f>
        <v>0</v>
      </c>
      <c r="R281" s="8">
        <f>IF(Parameters!$G$30="y",IF(INT($P281/Parameters!$K$30)&gt;INT($P280/Parameters!$K$30),1,0),0)</f>
        <v>0</v>
      </c>
      <c r="S281" s="8">
        <f>IF(INT($P281/Parameters!$K$31)&gt;INT($P280/Parameters!$K$31),1,0)</f>
        <v>0</v>
      </c>
      <c r="T281" s="76">
        <f t="shared" si="14"/>
        <v>0</v>
      </c>
      <c r="U281" s="8">
        <f>C280/'Pump Data'!$L$21*1000/60</f>
        <v>0.41980824723075483</v>
      </c>
      <c r="V281" s="8"/>
      <c r="W281" s="8"/>
    </row>
    <row r="282" spans="1:23" ht="14.25" x14ac:dyDescent="0.45">
      <c r="A282" s="125">
        <v>41910</v>
      </c>
      <c r="B282" s="126">
        <v>12.4</v>
      </c>
      <c r="C282" s="127">
        <f t="shared" si="15"/>
        <v>1.3639999999999999</v>
      </c>
      <c r="D282" s="127">
        <f t="shared" si="16"/>
        <v>0.64100000000000001</v>
      </c>
      <c r="E282" s="127">
        <f t="shared" si="27"/>
        <v>2.085</v>
      </c>
      <c r="F282" s="130">
        <f>Parameters!$B$32*'Pump Data'!$L$21^2+Parameters!$B$33*'Pump Data'!$L$21+Parameters!$B$34</f>
        <v>115.93397007999999</v>
      </c>
      <c r="G282" s="130">
        <f t="shared" si="17"/>
        <v>251.40257296738767</v>
      </c>
      <c r="H282" s="131">
        <f t="shared" si="18"/>
        <v>0.25140257296738766</v>
      </c>
      <c r="I282" s="126">
        <f t="shared" si="19"/>
        <v>6819.9999999999982</v>
      </c>
      <c r="J282" s="126">
        <f t="shared" si="20"/>
        <v>6.8199999999999985</v>
      </c>
      <c r="K282" s="126">
        <f t="shared" si="21"/>
        <v>13639999.999999996</v>
      </c>
      <c r="L282" s="131">
        <f t="shared" si="22"/>
        <v>13.639999999999997</v>
      </c>
      <c r="M282" s="126">
        <f t="shared" si="23"/>
        <v>864</v>
      </c>
      <c r="N282" s="131">
        <f t="shared" si="24"/>
        <v>3.1103999999999998</v>
      </c>
      <c r="O282" s="131">
        <f t="shared" si="25"/>
        <v>17.001802572967385</v>
      </c>
      <c r="P282" s="8">
        <f t="shared" si="26"/>
        <v>150417.00000000003</v>
      </c>
      <c r="Q282" s="8">
        <f>IF(Parameters!$G$29="y",IF(INT($P282/Parameters!$K$29)&gt;INT($P281/Parameters!$K$29),1,0),0)</f>
        <v>1</v>
      </c>
      <c r="R282" s="8">
        <f>IF(Parameters!$G$30="y",IF(INT($P282/Parameters!$K$30)&gt;INT($P281/Parameters!$K$30),1,0),0)</f>
        <v>0</v>
      </c>
      <c r="S282" s="8">
        <f>IF(INT($P282/Parameters!$K$31)&gt;INT($P281/Parameters!$K$31),1,0)</f>
        <v>0</v>
      </c>
      <c r="T282" s="76">
        <f t="shared" si="14"/>
        <v>1</v>
      </c>
      <c r="U282" s="8">
        <f>C281/'Pump Data'!$L$21*1000/60</f>
        <v>0</v>
      </c>
      <c r="V282" s="8"/>
      <c r="W282" s="8"/>
    </row>
    <row r="283" spans="1:23" ht="14.25" x14ac:dyDescent="0.45">
      <c r="A283" s="125">
        <v>41911</v>
      </c>
      <c r="B283" s="126">
        <v>5.6</v>
      </c>
      <c r="C283" s="127">
        <f t="shared" si="15"/>
        <v>0.61599999999999999</v>
      </c>
      <c r="D283" s="127">
        <f t="shared" si="16"/>
        <v>0.64100000000000001</v>
      </c>
      <c r="E283" s="127">
        <f t="shared" si="27"/>
        <v>2.06</v>
      </c>
      <c r="F283" s="130">
        <f>Parameters!$B$32*'Pump Data'!$L$21^2+Parameters!$B$33*'Pump Data'!$L$21+Parameters!$B$34</f>
        <v>115.93397007999999</v>
      </c>
      <c r="G283" s="130">
        <f t="shared" si="17"/>
        <v>113.53664585623962</v>
      </c>
      <c r="H283" s="131">
        <f t="shared" si="18"/>
        <v>0.11353664585623961</v>
      </c>
      <c r="I283" s="126">
        <f t="shared" si="19"/>
        <v>3080</v>
      </c>
      <c r="J283" s="126">
        <f t="shared" si="20"/>
        <v>3.08</v>
      </c>
      <c r="K283" s="126">
        <f t="shared" si="21"/>
        <v>6160000</v>
      </c>
      <c r="L283" s="131">
        <f t="shared" si="22"/>
        <v>6.16</v>
      </c>
      <c r="M283" s="126">
        <f t="shared" si="23"/>
        <v>864</v>
      </c>
      <c r="N283" s="131">
        <f t="shared" si="24"/>
        <v>3.1103999999999998</v>
      </c>
      <c r="O283" s="131">
        <f t="shared" si="25"/>
        <v>9.3839366458562399</v>
      </c>
      <c r="P283" s="8">
        <f t="shared" si="26"/>
        <v>151033.00000000006</v>
      </c>
      <c r="Q283" s="8">
        <f>IF(Parameters!$G$29="y",IF(INT($P283/Parameters!$K$29)&gt;INT($P282/Parameters!$K$29),1,0),0)</f>
        <v>0</v>
      </c>
      <c r="R283" s="8">
        <f>IF(Parameters!$G$30="y",IF(INT($P283/Parameters!$K$30)&gt;INT($P282/Parameters!$K$30),1,0),0)</f>
        <v>0</v>
      </c>
      <c r="S283" s="8">
        <f>IF(INT($P283/Parameters!$K$31)&gt;INT($P282/Parameters!$K$31),1,0)</f>
        <v>0</v>
      </c>
      <c r="T283" s="76">
        <f t="shared" si="14"/>
        <v>0</v>
      </c>
      <c r="U283" s="8">
        <f>C282/'Pump Data'!$L$21*1000/60</f>
        <v>0.63483198361723903</v>
      </c>
      <c r="V283" s="8"/>
      <c r="W283" s="8"/>
    </row>
    <row r="284" spans="1:23" ht="14.25" x14ac:dyDescent="0.45">
      <c r="A284" s="125">
        <v>41912</v>
      </c>
      <c r="B284" s="126">
        <v>0</v>
      </c>
      <c r="C284" s="127">
        <f t="shared" si="15"/>
        <v>0</v>
      </c>
      <c r="D284" s="127">
        <f t="shared" si="16"/>
        <v>0.64100000000000001</v>
      </c>
      <c r="E284" s="127">
        <f t="shared" si="27"/>
        <v>1.419</v>
      </c>
      <c r="F284" s="130">
        <f>Parameters!$B$32*'Pump Data'!$L$21^2+Parameters!$B$33*'Pump Data'!$L$21+Parameters!$B$34</f>
        <v>115.93397007999999</v>
      </c>
      <c r="G284" s="130">
        <f t="shared" si="17"/>
        <v>0</v>
      </c>
      <c r="H284" s="131">
        <f t="shared" si="18"/>
        <v>0</v>
      </c>
      <c r="I284" s="126">
        <f t="shared" si="19"/>
        <v>0</v>
      </c>
      <c r="J284" s="126">
        <f t="shared" si="20"/>
        <v>0</v>
      </c>
      <c r="K284" s="126">
        <f t="shared" si="21"/>
        <v>0</v>
      </c>
      <c r="L284" s="131">
        <f t="shared" si="22"/>
        <v>0</v>
      </c>
      <c r="M284" s="126">
        <f t="shared" si="23"/>
        <v>864</v>
      </c>
      <c r="N284" s="131">
        <f t="shared" si="24"/>
        <v>3.1103999999999998</v>
      </c>
      <c r="O284" s="131">
        <f t="shared" si="25"/>
        <v>3.1103999999999998</v>
      </c>
      <c r="P284" s="8">
        <f t="shared" si="26"/>
        <v>151033.00000000006</v>
      </c>
      <c r="Q284" s="8">
        <f>IF(Parameters!$G$29="y",IF(INT($P284/Parameters!$K$29)&gt;INT($P283/Parameters!$K$29),1,0),0)</f>
        <v>0</v>
      </c>
      <c r="R284" s="8">
        <f>IF(Parameters!$G$30="y",IF(INT($P284/Parameters!$K$30)&gt;INT($P283/Parameters!$K$30),1,0),0)</f>
        <v>0</v>
      </c>
      <c r="S284" s="8">
        <f>IF(INT($P284/Parameters!$K$31)&gt;INT($P283/Parameters!$K$31),1,0)</f>
        <v>0</v>
      </c>
      <c r="T284" s="76">
        <f t="shared" si="14"/>
        <v>0</v>
      </c>
      <c r="U284" s="8">
        <f>C283/'Pump Data'!$L$21*1000/60</f>
        <v>0.28669831518197891</v>
      </c>
      <c r="V284" s="8"/>
      <c r="W284" s="8"/>
    </row>
    <row r="285" spans="1:23" ht="14.25" x14ac:dyDescent="0.45">
      <c r="A285" s="125">
        <v>41913</v>
      </c>
      <c r="B285" s="126">
        <v>0</v>
      </c>
      <c r="C285" s="127">
        <f t="shared" si="15"/>
        <v>0</v>
      </c>
      <c r="D285" s="127">
        <f t="shared" si="16"/>
        <v>0.64100000000000001</v>
      </c>
      <c r="E285" s="127">
        <f t="shared" si="27"/>
        <v>0.77800000000000002</v>
      </c>
      <c r="F285" s="130">
        <f>Parameters!$B$32*'Pump Data'!$L$21^2+Parameters!$B$33*'Pump Data'!$L$21+Parameters!$B$34</f>
        <v>115.93397007999999</v>
      </c>
      <c r="G285" s="130">
        <f t="shared" si="17"/>
        <v>0</v>
      </c>
      <c r="H285" s="131">
        <f t="shared" si="18"/>
        <v>0</v>
      </c>
      <c r="I285" s="126">
        <f t="shared" si="19"/>
        <v>0</v>
      </c>
      <c r="J285" s="126">
        <f t="shared" si="20"/>
        <v>0</v>
      </c>
      <c r="K285" s="126">
        <f t="shared" si="21"/>
        <v>0</v>
      </c>
      <c r="L285" s="131">
        <f t="shared" si="22"/>
        <v>0</v>
      </c>
      <c r="M285" s="126">
        <f t="shared" si="23"/>
        <v>864</v>
      </c>
      <c r="N285" s="131">
        <f t="shared" si="24"/>
        <v>3.1103999999999998</v>
      </c>
      <c r="O285" s="131">
        <f t="shared" si="25"/>
        <v>3.1103999999999998</v>
      </c>
      <c r="P285" s="8">
        <f t="shared" si="26"/>
        <v>151033.00000000006</v>
      </c>
      <c r="Q285" s="8">
        <f>IF(Parameters!$G$29="y",IF(INT($P285/Parameters!$K$29)&gt;INT($P284/Parameters!$K$29),1,0),0)</f>
        <v>0</v>
      </c>
      <c r="R285" s="8">
        <f>IF(Parameters!$G$30="y",IF(INT($P285/Parameters!$K$30)&gt;INT($P284/Parameters!$K$30),1,0),0)</f>
        <v>0</v>
      </c>
      <c r="S285" s="8">
        <f>IF(INT($P285/Parameters!$K$31)&gt;INT($P284/Parameters!$K$31),1,0)</f>
        <v>0</v>
      </c>
      <c r="T285" s="76">
        <f t="shared" si="14"/>
        <v>0</v>
      </c>
      <c r="U285" s="8">
        <f>C284/'Pump Data'!$L$21*1000/60</f>
        <v>0</v>
      </c>
      <c r="V285" s="8"/>
      <c r="W285" s="8"/>
    </row>
    <row r="286" spans="1:23" ht="14.25" x14ac:dyDescent="0.45">
      <c r="A286" s="125">
        <v>41914</v>
      </c>
      <c r="B286" s="126">
        <v>0</v>
      </c>
      <c r="C286" s="127">
        <f t="shared" si="15"/>
        <v>0</v>
      </c>
      <c r="D286" s="127">
        <f t="shared" si="16"/>
        <v>0.64100000000000001</v>
      </c>
      <c r="E286" s="127">
        <f t="shared" si="27"/>
        <v>0.13700000000000001</v>
      </c>
      <c r="F286" s="130">
        <f>Parameters!$B$32*'Pump Data'!$L$21^2+Parameters!$B$33*'Pump Data'!$L$21+Parameters!$B$34</f>
        <v>115.93397007999999</v>
      </c>
      <c r="G286" s="130">
        <f t="shared" si="17"/>
        <v>0</v>
      </c>
      <c r="H286" s="131">
        <f t="shared" si="18"/>
        <v>0</v>
      </c>
      <c r="I286" s="126">
        <f t="shared" si="19"/>
        <v>0</v>
      </c>
      <c r="J286" s="126">
        <f t="shared" si="20"/>
        <v>0</v>
      </c>
      <c r="K286" s="126">
        <f t="shared" si="21"/>
        <v>0</v>
      </c>
      <c r="L286" s="131">
        <f t="shared" si="22"/>
        <v>0</v>
      </c>
      <c r="M286" s="126">
        <f t="shared" si="23"/>
        <v>864</v>
      </c>
      <c r="N286" s="131">
        <f t="shared" si="24"/>
        <v>3.1103999999999998</v>
      </c>
      <c r="O286" s="131">
        <f t="shared" si="25"/>
        <v>3.1103999999999998</v>
      </c>
      <c r="P286" s="8">
        <f t="shared" si="26"/>
        <v>151033.00000000006</v>
      </c>
      <c r="Q286" s="8">
        <f>IF(Parameters!$G$29="y",IF(INT($P286/Parameters!$K$29)&gt;INT($P285/Parameters!$K$29),1,0),0)</f>
        <v>0</v>
      </c>
      <c r="R286" s="8">
        <f>IF(Parameters!$G$30="y",IF(INT($P286/Parameters!$K$30)&gt;INT($P285/Parameters!$K$30),1,0),0)</f>
        <v>0</v>
      </c>
      <c r="S286" s="8">
        <f>IF(INT($P286/Parameters!$K$31)&gt;INT($P285/Parameters!$K$31),1,0)</f>
        <v>0</v>
      </c>
      <c r="T286" s="76">
        <f t="shared" si="14"/>
        <v>0</v>
      </c>
      <c r="U286" s="8">
        <f>C285/'Pump Data'!$L$21*1000/60</f>
        <v>0</v>
      </c>
      <c r="V286" s="8"/>
      <c r="W286" s="8"/>
    </row>
    <row r="287" spans="1:23" ht="14.25" x14ac:dyDescent="0.45">
      <c r="A287" s="125">
        <v>41915</v>
      </c>
      <c r="B287" s="126">
        <v>57.8</v>
      </c>
      <c r="C287" s="127">
        <f t="shared" si="15"/>
        <v>2.5</v>
      </c>
      <c r="D287" s="127">
        <f t="shared" si="16"/>
        <v>0.64100000000000001</v>
      </c>
      <c r="E287" s="127">
        <f t="shared" si="27"/>
        <v>1.996</v>
      </c>
      <c r="F287" s="130">
        <f>Parameters!$B$32*'Pump Data'!$L$21^2+Parameters!$B$33*'Pump Data'!$L$21+Parameters!$B$34</f>
        <v>115.93397007999999</v>
      </c>
      <c r="G287" s="130">
        <f t="shared" si="17"/>
        <v>460.7818419490244</v>
      </c>
      <c r="H287" s="131">
        <f t="shared" si="18"/>
        <v>0.46078184194902438</v>
      </c>
      <c r="I287" s="126">
        <f t="shared" si="19"/>
        <v>12500</v>
      </c>
      <c r="J287" s="126">
        <f t="shared" si="20"/>
        <v>12.5</v>
      </c>
      <c r="K287" s="126">
        <f t="shared" si="21"/>
        <v>25000000</v>
      </c>
      <c r="L287" s="131">
        <f t="shared" si="22"/>
        <v>25</v>
      </c>
      <c r="M287" s="126">
        <f t="shared" si="23"/>
        <v>864</v>
      </c>
      <c r="N287" s="131">
        <f t="shared" si="24"/>
        <v>3.1103999999999998</v>
      </c>
      <c r="O287" s="131">
        <f t="shared" si="25"/>
        <v>28.571181841949024</v>
      </c>
      <c r="P287" s="8">
        <f t="shared" si="26"/>
        <v>153533.00000000006</v>
      </c>
      <c r="Q287" s="8">
        <f>IF(Parameters!$G$29="y",IF(INT($P287/Parameters!$K$29)&gt;INT($P286/Parameters!$K$29),1,0),0)</f>
        <v>0</v>
      </c>
      <c r="R287" s="8">
        <f>IF(Parameters!$G$30="y",IF(INT($P287/Parameters!$K$30)&gt;INT($P286/Parameters!$K$30),1,0),0)</f>
        <v>0</v>
      </c>
      <c r="S287" s="8">
        <f>IF(INT($P287/Parameters!$K$31)&gt;INT($P286/Parameters!$K$31),1,0)</f>
        <v>0</v>
      </c>
      <c r="T287" s="76">
        <f t="shared" si="14"/>
        <v>0</v>
      </c>
      <c r="U287" s="8">
        <f>C286/'Pump Data'!$L$21*1000/60</f>
        <v>0</v>
      </c>
      <c r="V287" s="8"/>
      <c r="W287" s="8"/>
    </row>
    <row r="288" spans="1:23" ht="14.25" x14ac:dyDescent="0.45">
      <c r="A288" s="125">
        <v>41916</v>
      </c>
      <c r="B288" s="126">
        <v>6</v>
      </c>
      <c r="C288" s="127">
        <f t="shared" si="15"/>
        <v>0.66</v>
      </c>
      <c r="D288" s="127">
        <f t="shared" si="16"/>
        <v>0.64100000000000001</v>
      </c>
      <c r="E288" s="127">
        <f t="shared" si="27"/>
        <v>2.0150000000000001</v>
      </c>
      <c r="F288" s="130">
        <f>Parameters!$B$32*'Pump Data'!$L$21^2+Parameters!$B$33*'Pump Data'!$L$21+Parameters!$B$34</f>
        <v>115.93397007999999</v>
      </c>
      <c r="G288" s="130">
        <f t="shared" si="17"/>
        <v>121.64640627454246</v>
      </c>
      <c r="H288" s="131">
        <f t="shared" si="18"/>
        <v>0.12164640627454246</v>
      </c>
      <c r="I288" s="126">
        <f t="shared" si="19"/>
        <v>3300</v>
      </c>
      <c r="J288" s="126">
        <f t="shared" si="20"/>
        <v>3.3</v>
      </c>
      <c r="K288" s="126">
        <f t="shared" si="21"/>
        <v>6600000</v>
      </c>
      <c r="L288" s="131">
        <f t="shared" si="22"/>
        <v>6.6</v>
      </c>
      <c r="M288" s="126">
        <f t="shared" si="23"/>
        <v>864</v>
      </c>
      <c r="N288" s="131">
        <f t="shared" si="24"/>
        <v>3.1103999999999998</v>
      </c>
      <c r="O288" s="131">
        <f t="shared" si="25"/>
        <v>9.8320464062745412</v>
      </c>
      <c r="P288" s="8">
        <f t="shared" si="26"/>
        <v>154193.00000000003</v>
      </c>
      <c r="Q288" s="8">
        <f>IF(Parameters!$G$29="y",IF(INT($P288/Parameters!$K$29)&gt;INT($P287/Parameters!$K$29),1,0),0)</f>
        <v>0</v>
      </c>
      <c r="R288" s="8">
        <f>IF(Parameters!$G$30="y",IF(INT($P288/Parameters!$K$30)&gt;INT($P287/Parameters!$K$30),1,0),0)</f>
        <v>0</v>
      </c>
      <c r="S288" s="8">
        <f>IF(INT($P288/Parameters!$K$31)&gt;INT($P287/Parameters!$K$31),1,0)</f>
        <v>0</v>
      </c>
      <c r="T288" s="76">
        <f t="shared" si="14"/>
        <v>0</v>
      </c>
      <c r="U288" s="8">
        <f>C287/'Pump Data'!$L$21*1000/60</f>
        <v>1.1635483570697196</v>
      </c>
      <c r="V288" s="8"/>
      <c r="W288" s="8"/>
    </row>
    <row r="289" spans="1:23" ht="14.25" x14ac:dyDescent="0.45">
      <c r="A289" s="125">
        <v>41917</v>
      </c>
      <c r="B289" s="126">
        <v>9.1999999999999993</v>
      </c>
      <c r="C289" s="127">
        <f t="shared" si="15"/>
        <v>1.012</v>
      </c>
      <c r="D289" s="127">
        <f t="shared" si="16"/>
        <v>0.64100000000000001</v>
      </c>
      <c r="E289" s="127">
        <f t="shared" si="27"/>
        <v>2.3860000000000001</v>
      </c>
      <c r="F289" s="130">
        <f>Parameters!$B$32*'Pump Data'!$L$21^2+Parameters!$B$33*'Pump Data'!$L$21+Parameters!$B$34</f>
        <v>115.93397007999999</v>
      </c>
      <c r="G289" s="130">
        <f t="shared" si="17"/>
        <v>186.52448962096508</v>
      </c>
      <c r="H289" s="131">
        <f t="shared" si="18"/>
        <v>0.18652448962096507</v>
      </c>
      <c r="I289" s="126">
        <f t="shared" si="19"/>
        <v>5060</v>
      </c>
      <c r="J289" s="126">
        <f t="shared" si="20"/>
        <v>5.0599999999999996</v>
      </c>
      <c r="K289" s="126">
        <f t="shared" si="21"/>
        <v>10120000</v>
      </c>
      <c r="L289" s="131">
        <f t="shared" si="22"/>
        <v>10.119999999999999</v>
      </c>
      <c r="M289" s="126">
        <f t="shared" si="23"/>
        <v>864</v>
      </c>
      <c r="N289" s="131">
        <f t="shared" si="24"/>
        <v>3.1103999999999998</v>
      </c>
      <c r="O289" s="131">
        <f t="shared" si="25"/>
        <v>13.416924489620964</v>
      </c>
      <c r="P289" s="8">
        <f t="shared" si="26"/>
        <v>155205.00000000003</v>
      </c>
      <c r="Q289" s="8">
        <f>IF(Parameters!$G$29="y",IF(INT($P289/Parameters!$K$29)&gt;INT($P288/Parameters!$K$29),1,0),0)</f>
        <v>0</v>
      </c>
      <c r="R289" s="8">
        <f>IF(Parameters!$G$30="y",IF(INT($P289/Parameters!$K$30)&gt;INT($P288/Parameters!$K$30),1,0),0)</f>
        <v>0</v>
      </c>
      <c r="S289" s="8">
        <f>IF(INT($P289/Parameters!$K$31)&gt;INT($P288/Parameters!$K$31),1,0)</f>
        <v>0</v>
      </c>
      <c r="T289" s="76">
        <f t="shared" si="14"/>
        <v>0</v>
      </c>
      <c r="U289" s="8">
        <f>C288/'Pump Data'!$L$21*1000/60</f>
        <v>0.30717676626640605</v>
      </c>
      <c r="V289" s="8"/>
      <c r="W289" s="8"/>
    </row>
    <row r="290" spans="1:23" ht="14.25" x14ac:dyDescent="0.45">
      <c r="A290" s="125">
        <v>41918</v>
      </c>
      <c r="B290" s="126">
        <v>0.4</v>
      </c>
      <c r="C290" s="127">
        <f t="shared" si="15"/>
        <v>4.4000000000000004E-2</v>
      </c>
      <c r="D290" s="127">
        <f t="shared" si="16"/>
        <v>0.64100000000000001</v>
      </c>
      <c r="E290" s="127">
        <f t="shared" si="27"/>
        <v>1.7890000000000001</v>
      </c>
      <c r="F290" s="130">
        <f>Parameters!$B$32*'Pump Data'!$L$21^2+Parameters!$B$33*'Pump Data'!$L$21+Parameters!$B$34</f>
        <v>115.93397007999999</v>
      </c>
      <c r="G290" s="130">
        <f t="shared" si="17"/>
        <v>8.1097604183028302</v>
      </c>
      <c r="H290" s="131">
        <f t="shared" si="18"/>
        <v>8.1097604183028305E-3</v>
      </c>
      <c r="I290" s="126">
        <f t="shared" si="19"/>
        <v>220.00000000000006</v>
      </c>
      <c r="J290" s="126">
        <f t="shared" si="20"/>
        <v>0.22000000000000006</v>
      </c>
      <c r="K290" s="126">
        <f t="shared" si="21"/>
        <v>440000.00000000012</v>
      </c>
      <c r="L290" s="131">
        <f t="shared" si="22"/>
        <v>0.44000000000000011</v>
      </c>
      <c r="M290" s="126">
        <f t="shared" si="23"/>
        <v>864</v>
      </c>
      <c r="N290" s="131">
        <f t="shared" si="24"/>
        <v>3.1103999999999998</v>
      </c>
      <c r="O290" s="131">
        <f t="shared" si="25"/>
        <v>3.5585097604183029</v>
      </c>
      <c r="P290" s="8">
        <f t="shared" si="26"/>
        <v>155249.00000000006</v>
      </c>
      <c r="Q290" s="8">
        <f>IF(Parameters!$G$29="y",IF(INT($P290/Parameters!$K$29)&gt;INT($P289/Parameters!$K$29),1,0),0)</f>
        <v>0</v>
      </c>
      <c r="R290" s="8">
        <f>IF(Parameters!$G$30="y",IF(INT($P290/Parameters!$K$30)&gt;INT($P289/Parameters!$K$30),1,0),0)</f>
        <v>0</v>
      </c>
      <c r="S290" s="8">
        <f>IF(INT($P290/Parameters!$K$31)&gt;INT($P289/Parameters!$K$31),1,0)</f>
        <v>0</v>
      </c>
      <c r="T290" s="76">
        <f t="shared" si="14"/>
        <v>0</v>
      </c>
      <c r="U290" s="8">
        <f>C289/'Pump Data'!$L$21*1000/60</f>
        <v>0.47100437494182251</v>
      </c>
      <c r="V290" s="8"/>
      <c r="W290" s="8"/>
    </row>
    <row r="291" spans="1:23" ht="14.25" x14ac:dyDescent="0.45">
      <c r="A291" s="125">
        <v>41919</v>
      </c>
      <c r="B291" s="126">
        <v>0</v>
      </c>
      <c r="C291" s="127">
        <f t="shared" si="15"/>
        <v>0</v>
      </c>
      <c r="D291" s="127">
        <f t="shared" si="16"/>
        <v>0.64100000000000001</v>
      </c>
      <c r="E291" s="127">
        <f t="shared" si="27"/>
        <v>1.1480000000000001</v>
      </c>
      <c r="F291" s="130">
        <f>Parameters!$B$32*'Pump Data'!$L$21^2+Parameters!$B$33*'Pump Data'!$L$21+Parameters!$B$34</f>
        <v>115.93397007999999</v>
      </c>
      <c r="G291" s="130">
        <f t="shared" si="17"/>
        <v>0</v>
      </c>
      <c r="H291" s="131">
        <f t="shared" si="18"/>
        <v>0</v>
      </c>
      <c r="I291" s="126">
        <f t="shared" si="19"/>
        <v>0</v>
      </c>
      <c r="J291" s="126">
        <f t="shared" si="20"/>
        <v>0</v>
      </c>
      <c r="K291" s="126">
        <f t="shared" si="21"/>
        <v>0</v>
      </c>
      <c r="L291" s="131">
        <f t="shared" si="22"/>
        <v>0</v>
      </c>
      <c r="M291" s="126">
        <f t="shared" si="23"/>
        <v>864</v>
      </c>
      <c r="N291" s="131">
        <f t="shared" si="24"/>
        <v>3.1103999999999998</v>
      </c>
      <c r="O291" s="131">
        <f t="shared" si="25"/>
        <v>3.1103999999999998</v>
      </c>
      <c r="P291" s="8">
        <f t="shared" si="26"/>
        <v>155249.00000000006</v>
      </c>
      <c r="Q291" s="8">
        <f>IF(Parameters!$G$29="y",IF(INT($P291/Parameters!$K$29)&gt;INT($P290/Parameters!$K$29),1,0),0)</f>
        <v>0</v>
      </c>
      <c r="R291" s="8">
        <f>IF(Parameters!$G$30="y",IF(INT($P291/Parameters!$K$30)&gt;INT($P290/Parameters!$K$30),1,0),0)</f>
        <v>0</v>
      </c>
      <c r="S291" s="8">
        <f>IF(INT($P291/Parameters!$K$31)&gt;INT($P290/Parameters!$K$31),1,0)</f>
        <v>0</v>
      </c>
      <c r="T291" s="76">
        <f t="shared" si="14"/>
        <v>0</v>
      </c>
      <c r="U291" s="8">
        <f>C290/'Pump Data'!$L$21*1000/60</f>
        <v>2.0478451084427071E-2</v>
      </c>
      <c r="V291" s="8"/>
      <c r="W291" s="8"/>
    </row>
    <row r="292" spans="1:23" ht="14.25" x14ac:dyDescent="0.45">
      <c r="A292" s="125">
        <v>41920</v>
      </c>
      <c r="B292" s="126">
        <v>1.4</v>
      </c>
      <c r="C292" s="127">
        <f t="shared" si="15"/>
        <v>0.154</v>
      </c>
      <c r="D292" s="127">
        <f t="shared" si="16"/>
        <v>0.64100000000000001</v>
      </c>
      <c r="E292" s="127">
        <f t="shared" si="27"/>
        <v>0.66100000000000003</v>
      </c>
      <c r="F292" s="130">
        <f>Parameters!$B$32*'Pump Data'!$L$21^2+Parameters!$B$33*'Pump Data'!$L$21+Parameters!$B$34</f>
        <v>115.93397007999999</v>
      </c>
      <c r="G292" s="130">
        <f t="shared" si="17"/>
        <v>28.384161464059904</v>
      </c>
      <c r="H292" s="131">
        <f t="shared" si="18"/>
        <v>2.8384161464059903E-2</v>
      </c>
      <c r="I292" s="126">
        <f t="shared" si="19"/>
        <v>770</v>
      </c>
      <c r="J292" s="126">
        <f t="shared" si="20"/>
        <v>0.77</v>
      </c>
      <c r="K292" s="126">
        <f t="shared" si="21"/>
        <v>1540000</v>
      </c>
      <c r="L292" s="131">
        <f t="shared" si="22"/>
        <v>1.54</v>
      </c>
      <c r="M292" s="126">
        <f t="shared" si="23"/>
        <v>864</v>
      </c>
      <c r="N292" s="131">
        <f t="shared" si="24"/>
        <v>3.1103999999999998</v>
      </c>
      <c r="O292" s="131">
        <f t="shared" si="25"/>
        <v>4.6787841614640602</v>
      </c>
      <c r="P292" s="8">
        <f t="shared" si="26"/>
        <v>155403.00000000006</v>
      </c>
      <c r="Q292" s="8">
        <f>IF(Parameters!$G$29="y",IF(INT($P292/Parameters!$K$29)&gt;INT($P291/Parameters!$K$29),1,0),0)</f>
        <v>0</v>
      </c>
      <c r="R292" s="8">
        <f>IF(Parameters!$G$30="y",IF(INT($P292/Parameters!$K$30)&gt;INT($P291/Parameters!$K$30),1,0),0)</f>
        <v>0</v>
      </c>
      <c r="S292" s="8">
        <f>IF(INT($P292/Parameters!$K$31)&gt;INT($P291/Parameters!$K$31),1,0)</f>
        <v>0</v>
      </c>
      <c r="T292" s="76">
        <f t="shared" si="14"/>
        <v>0</v>
      </c>
      <c r="U292" s="8">
        <f>C291/'Pump Data'!$L$21*1000/60</f>
        <v>0</v>
      </c>
      <c r="V292" s="8"/>
      <c r="W292" s="8"/>
    </row>
    <row r="293" spans="1:23" ht="14.25" x14ac:dyDescent="0.45">
      <c r="A293" s="125">
        <v>41921</v>
      </c>
      <c r="B293" s="126">
        <v>1.8</v>
      </c>
      <c r="C293" s="127">
        <f t="shared" si="15"/>
        <v>0.19799999999999998</v>
      </c>
      <c r="D293" s="127">
        <f t="shared" si="16"/>
        <v>0.64100000000000001</v>
      </c>
      <c r="E293" s="127">
        <f t="shared" si="27"/>
        <v>0.21799999999999997</v>
      </c>
      <c r="F293" s="130">
        <f>Parameters!$B$32*'Pump Data'!$L$21^2+Parameters!$B$33*'Pump Data'!$L$21+Parameters!$B$34</f>
        <v>115.93397007999999</v>
      </c>
      <c r="G293" s="130">
        <f t="shared" si="17"/>
        <v>36.493921882362727</v>
      </c>
      <c r="H293" s="131">
        <f t="shared" si="18"/>
        <v>3.649392188236273E-2</v>
      </c>
      <c r="I293" s="126">
        <f t="shared" si="19"/>
        <v>989.99999999999977</v>
      </c>
      <c r="J293" s="126">
        <f t="shared" si="20"/>
        <v>0.98999999999999977</v>
      </c>
      <c r="K293" s="126">
        <f t="shared" si="21"/>
        <v>1979999.9999999995</v>
      </c>
      <c r="L293" s="131">
        <f t="shared" si="22"/>
        <v>1.9799999999999995</v>
      </c>
      <c r="M293" s="126">
        <f t="shared" si="23"/>
        <v>864</v>
      </c>
      <c r="N293" s="131">
        <f t="shared" si="24"/>
        <v>3.1103999999999998</v>
      </c>
      <c r="O293" s="131">
        <f t="shared" si="25"/>
        <v>5.1268939218823615</v>
      </c>
      <c r="P293" s="8">
        <f t="shared" si="26"/>
        <v>155601.00000000006</v>
      </c>
      <c r="Q293" s="8">
        <f>IF(Parameters!$G$29="y",IF(INT($P293/Parameters!$K$29)&gt;INT($P292/Parameters!$K$29),1,0),0)</f>
        <v>0</v>
      </c>
      <c r="R293" s="8">
        <f>IF(Parameters!$G$30="y",IF(INT($P293/Parameters!$K$30)&gt;INT($P292/Parameters!$K$30),1,0),0)</f>
        <v>0</v>
      </c>
      <c r="S293" s="8">
        <f>IF(INT($P293/Parameters!$K$31)&gt;INT($P292/Parameters!$K$31),1,0)</f>
        <v>0</v>
      </c>
      <c r="T293" s="76">
        <f t="shared" si="14"/>
        <v>0</v>
      </c>
      <c r="U293" s="8">
        <f>C292/'Pump Data'!$L$21*1000/60</f>
        <v>7.1674578795494728E-2</v>
      </c>
      <c r="V293" s="8"/>
      <c r="W293" s="8"/>
    </row>
    <row r="294" spans="1:23" ht="14.25" x14ac:dyDescent="0.45">
      <c r="A294" s="125">
        <v>41922</v>
      </c>
      <c r="B294" s="126">
        <v>17.8</v>
      </c>
      <c r="C294" s="127">
        <f t="shared" si="15"/>
        <v>1.958</v>
      </c>
      <c r="D294" s="127">
        <f t="shared" si="16"/>
        <v>0.64100000000000001</v>
      </c>
      <c r="E294" s="127">
        <f t="shared" si="27"/>
        <v>1.5350000000000001</v>
      </c>
      <c r="F294" s="130">
        <f>Parameters!$B$32*'Pump Data'!$L$21^2+Parameters!$B$33*'Pump Data'!$L$21+Parameters!$B$34</f>
        <v>115.93397007999999</v>
      </c>
      <c r="G294" s="130">
        <f t="shared" si="17"/>
        <v>360.88433861447589</v>
      </c>
      <c r="H294" s="131">
        <f t="shared" si="18"/>
        <v>0.36088433861447589</v>
      </c>
      <c r="I294" s="126">
        <f t="shared" si="19"/>
        <v>9790</v>
      </c>
      <c r="J294" s="126">
        <f t="shared" si="20"/>
        <v>9.7899999999999991</v>
      </c>
      <c r="K294" s="126">
        <f t="shared" si="21"/>
        <v>19580000</v>
      </c>
      <c r="L294" s="131">
        <f t="shared" si="22"/>
        <v>19.579999999999998</v>
      </c>
      <c r="M294" s="126">
        <f t="shared" si="23"/>
        <v>864</v>
      </c>
      <c r="N294" s="131">
        <f t="shared" si="24"/>
        <v>3.1103999999999998</v>
      </c>
      <c r="O294" s="131">
        <f t="shared" si="25"/>
        <v>23.051284338614472</v>
      </c>
      <c r="P294" s="8">
        <f t="shared" si="26"/>
        <v>157559.00000000006</v>
      </c>
      <c r="Q294" s="8">
        <f>IF(Parameters!$G$29="y",IF(INT($P294/Parameters!$K$29)&gt;INT($P293/Parameters!$K$29),1,0),0)</f>
        <v>0</v>
      </c>
      <c r="R294" s="8">
        <f>IF(Parameters!$G$30="y",IF(INT($P294/Parameters!$K$30)&gt;INT($P293/Parameters!$K$30),1,0),0)</f>
        <v>0</v>
      </c>
      <c r="S294" s="8">
        <f>IF(INT($P294/Parameters!$K$31)&gt;INT($P293/Parameters!$K$31),1,0)</f>
        <v>0</v>
      </c>
      <c r="T294" s="76">
        <f t="shared" si="14"/>
        <v>0</v>
      </c>
      <c r="U294" s="8">
        <f>C293/'Pump Data'!$L$21*1000/60</f>
        <v>9.21530298799218E-2</v>
      </c>
      <c r="V294" s="8"/>
      <c r="W294" s="8"/>
    </row>
    <row r="295" spans="1:23" ht="14.25" x14ac:dyDescent="0.45">
      <c r="A295" s="125">
        <v>41923</v>
      </c>
      <c r="B295" s="126">
        <v>15.4</v>
      </c>
      <c r="C295" s="127">
        <f t="shared" si="15"/>
        <v>1.694</v>
      </c>
      <c r="D295" s="127">
        <f t="shared" si="16"/>
        <v>0.64100000000000001</v>
      </c>
      <c r="E295" s="127">
        <f t="shared" si="27"/>
        <v>2.5880000000000001</v>
      </c>
      <c r="F295" s="130">
        <f>Parameters!$B$32*'Pump Data'!$L$21^2+Parameters!$B$33*'Pump Data'!$L$21+Parameters!$B$34</f>
        <v>115.93397007999999</v>
      </c>
      <c r="G295" s="130">
        <f t="shared" si="17"/>
        <v>312.22577610465896</v>
      </c>
      <c r="H295" s="131">
        <f t="shared" si="18"/>
        <v>0.31222577610465896</v>
      </c>
      <c r="I295" s="126">
        <f t="shared" si="19"/>
        <v>8470</v>
      </c>
      <c r="J295" s="126">
        <f t="shared" si="20"/>
        <v>8.4700000000000006</v>
      </c>
      <c r="K295" s="126">
        <f t="shared" si="21"/>
        <v>16940000</v>
      </c>
      <c r="L295" s="131">
        <f t="shared" si="22"/>
        <v>16.940000000000001</v>
      </c>
      <c r="M295" s="126">
        <f t="shared" si="23"/>
        <v>864</v>
      </c>
      <c r="N295" s="131">
        <f t="shared" si="24"/>
        <v>3.1103999999999998</v>
      </c>
      <c r="O295" s="131">
        <f t="shared" si="25"/>
        <v>20.362625776104657</v>
      </c>
      <c r="P295" s="8">
        <f t="shared" si="26"/>
        <v>159253.00000000003</v>
      </c>
      <c r="Q295" s="8">
        <f>IF(Parameters!$G$29="y",IF(INT($P295/Parameters!$K$29)&gt;INT($P294/Parameters!$K$29),1,0),0)</f>
        <v>0</v>
      </c>
      <c r="R295" s="8">
        <f>IF(Parameters!$G$30="y",IF(INT($P295/Parameters!$K$30)&gt;INT($P294/Parameters!$K$30),1,0),0)</f>
        <v>0</v>
      </c>
      <c r="S295" s="8">
        <f>IF(INT($P295/Parameters!$K$31)&gt;INT($P294/Parameters!$K$31),1,0)</f>
        <v>0</v>
      </c>
      <c r="T295" s="76">
        <f t="shared" si="14"/>
        <v>0</v>
      </c>
      <c r="U295" s="8">
        <f>C294/'Pump Data'!$L$21*1000/60</f>
        <v>0.91129107325700442</v>
      </c>
      <c r="V295" s="8"/>
      <c r="W295" s="8"/>
    </row>
    <row r="296" spans="1:23" ht="14.25" x14ac:dyDescent="0.45">
      <c r="A296" s="125">
        <v>41924</v>
      </c>
      <c r="B296" s="126">
        <v>33</v>
      </c>
      <c r="C296" s="127">
        <f t="shared" si="15"/>
        <v>2.5</v>
      </c>
      <c r="D296" s="127">
        <f t="shared" si="16"/>
        <v>0.64100000000000001</v>
      </c>
      <c r="E296" s="127">
        <f t="shared" si="27"/>
        <v>4.4470000000000001</v>
      </c>
      <c r="F296" s="130">
        <f>Parameters!$B$32*'Pump Data'!$L$21^2+Parameters!$B$33*'Pump Data'!$L$21+Parameters!$B$34</f>
        <v>115.93397007999999</v>
      </c>
      <c r="G296" s="130">
        <f t="shared" si="17"/>
        <v>460.7818419490244</v>
      </c>
      <c r="H296" s="131">
        <f t="shared" si="18"/>
        <v>0.46078184194902438</v>
      </c>
      <c r="I296" s="126">
        <f t="shared" si="19"/>
        <v>12500</v>
      </c>
      <c r="J296" s="126">
        <f t="shared" si="20"/>
        <v>12.5</v>
      </c>
      <c r="K296" s="126">
        <f t="shared" si="21"/>
        <v>25000000</v>
      </c>
      <c r="L296" s="131">
        <f t="shared" si="22"/>
        <v>25</v>
      </c>
      <c r="M296" s="126">
        <f t="shared" si="23"/>
        <v>864</v>
      </c>
      <c r="N296" s="131">
        <f t="shared" si="24"/>
        <v>3.1103999999999998</v>
      </c>
      <c r="O296" s="131">
        <f t="shared" si="25"/>
        <v>28.571181841949024</v>
      </c>
      <c r="P296" s="8">
        <f t="shared" si="26"/>
        <v>161753.00000000003</v>
      </c>
      <c r="Q296" s="8">
        <f>IF(Parameters!$G$29="y",IF(INT($P296/Parameters!$K$29)&gt;INT($P295/Parameters!$K$29),1,0),0)</f>
        <v>0</v>
      </c>
      <c r="R296" s="8">
        <f>IF(Parameters!$G$30="y",IF(INT($P296/Parameters!$K$30)&gt;INT($P295/Parameters!$K$30),1,0),0)</f>
        <v>1</v>
      </c>
      <c r="S296" s="8">
        <f>IF(INT($P296/Parameters!$K$31)&gt;INT($P295/Parameters!$K$31),1,0)</f>
        <v>1</v>
      </c>
      <c r="T296" s="76">
        <f t="shared" si="14"/>
        <v>1</v>
      </c>
      <c r="U296" s="8">
        <f>C295/'Pump Data'!$L$21*1000/60</f>
        <v>0.78842036675044203</v>
      </c>
      <c r="V296" s="8"/>
      <c r="W296" s="8"/>
    </row>
    <row r="297" spans="1:23" ht="14.25" x14ac:dyDescent="0.45">
      <c r="A297" s="125">
        <v>41925</v>
      </c>
      <c r="B297" s="126">
        <v>31.4</v>
      </c>
      <c r="C297" s="127">
        <f t="shared" si="15"/>
        <v>2.5</v>
      </c>
      <c r="D297" s="127">
        <f t="shared" si="16"/>
        <v>0.64100000000000001</v>
      </c>
      <c r="E297" s="127">
        <f t="shared" si="27"/>
        <v>6.306</v>
      </c>
      <c r="F297" s="130">
        <f>Parameters!$B$32*'Pump Data'!$L$21^2+Parameters!$B$33*'Pump Data'!$L$21+Parameters!$B$34</f>
        <v>115.93397007999999</v>
      </c>
      <c r="G297" s="130">
        <f t="shared" si="17"/>
        <v>460.7818419490244</v>
      </c>
      <c r="H297" s="131">
        <f t="shared" si="18"/>
        <v>0.46078184194902438</v>
      </c>
      <c r="I297" s="126">
        <f t="shared" si="19"/>
        <v>12500</v>
      </c>
      <c r="J297" s="126">
        <f t="shared" si="20"/>
        <v>12.5</v>
      </c>
      <c r="K297" s="126">
        <f t="shared" si="21"/>
        <v>25000000</v>
      </c>
      <c r="L297" s="131">
        <f t="shared" si="22"/>
        <v>25</v>
      </c>
      <c r="M297" s="126">
        <f t="shared" si="23"/>
        <v>864</v>
      </c>
      <c r="N297" s="131">
        <f t="shared" si="24"/>
        <v>3.1103999999999998</v>
      </c>
      <c r="O297" s="131">
        <f t="shared" si="25"/>
        <v>28.571181841949024</v>
      </c>
      <c r="P297" s="8">
        <f t="shared" si="26"/>
        <v>164253.00000000003</v>
      </c>
      <c r="Q297" s="8">
        <f>IF(Parameters!$G$29="y",IF(INT($P297/Parameters!$K$29)&gt;INT($P296/Parameters!$K$29),1,0),0)</f>
        <v>0</v>
      </c>
      <c r="R297" s="8">
        <f>IF(Parameters!$G$30="y",IF(INT($P297/Parameters!$K$30)&gt;INT($P296/Parameters!$K$30),1,0),0)</f>
        <v>0</v>
      </c>
      <c r="S297" s="8">
        <f>IF(INT($P297/Parameters!$K$31)&gt;INT($P296/Parameters!$K$31),1,0)</f>
        <v>0</v>
      </c>
      <c r="T297" s="76">
        <f t="shared" si="14"/>
        <v>0</v>
      </c>
      <c r="U297" s="8">
        <f>C296/'Pump Data'!$L$21*1000/60</f>
        <v>1.1635483570697196</v>
      </c>
      <c r="V297" s="8"/>
      <c r="W297" s="8"/>
    </row>
    <row r="298" spans="1:23" ht="14.25" x14ac:dyDescent="0.45">
      <c r="A298" s="125">
        <v>41926</v>
      </c>
      <c r="B298" s="126">
        <v>28.4</v>
      </c>
      <c r="C298" s="127">
        <f t="shared" si="15"/>
        <v>2.5</v>
      </c>
      <c r="D298" s="127">
        <f t="shared" si="16"/>
        <v>0.64100000000000001</v>
      </c>
      <c r="E298" s="127">
        <f t="shared" si="27"/>
        <v>8.1650000000000009</v>
      </c>
      <c r="F298" s="130">
        <f>Parameters!$B$32*'Pump Data'!$L$21^2+Parameters!$B$33*'Pump Data'!$L$21+Parameters!$B$34</f>
        <v>115.93397007999999</v>
      </c>
      <c r="G298" s="130">
        <f t="shared" si="17"/>
        <v>460.7818419490244</v>
      </c>
      <c r="H298" s="131">
        <f t="shared" si="18"/>
        <v>0.46078184194902438</v>
      </c>
      <c r="I298" s="126">
        <f t="shared" si="19"/>
        <v>12500</v>
      </c>
      <c r="J298" s="126">
        <f t="shared" si="20"/>
        <v>12.5</v>
      </c>
      <c r="K298" s="126">
        <f t="shared" si="21"/>
        <v>25000000</v>
      </c>
      <c r="L298" s="131">
        <f t="shared" si="22"/>
        <v>25</v>
      </c>
      <c r="M298" s="126">
        <f t="shared" si="23"/>
        <v>864</v>
      </c>
      <c r="N298" s="131">
        <f t="shared" si="24"/>
        <v>3.1103999999999998</v>
      </c>
      <c r="O298" s="131">
        <f t="shared" si="25"/>
        <v>28.571181841949024</v>
      </c>
      <c r="P298" s="8">
        <f t="shared" si="26"/>
        <v>166753.00000000003</v>
      </c>
      <c r="Q298" s="8">
        <f>IF(Parameters!$G$29="y",IF(INT($P298/Parameters!$K$29)&gt;INT($P297/Parameters!$K$29),1,0),0)</f>
        <v>0</v>
      </c>
      <c r="R298" s="8">
        <f>IF(Parameters!$G$30="y",IF(INT($P298/Parameters!$K$30)&gt;INT($P297/Parameters!$K$30),1,0),0)</f>
        <v>0</v>
      </c>
      <c r="S298" s="8">
        <f>IF(INT($P298/Parameters!$K$31)&gt;INT($P297/Parameters!$K$31),1,0)</f>
        <v>0</v>
      </c>
      <c r="T298" s="76">
        <f t="shared" si="14"/>
        <v>0</v>
      </c>
      <c r="U298" s="8">
        <f>C297/'Pump Data'!$L$21*1000/60</f>
        <v>1.1635483570697196</v>
      </c>
      <c r="V298" s="8"/>
      <c r="W298" s="8"/>
    </row>
    <row r="299" spans="1:23" ht="14.25" x14ac:dyDescent="0.45">
      <c r="A299" s="125">
        <v>41927</v>
      </c>
      <c r="B299" s="126">
        <v>6.4</v>
      </c>
      <c r="C299" s="127">
        <f t="shared" si="15"/>
        <v>0.70400000000000007</v>
      </c>
      <c r="D299" s="127">
        <f t="shared" si="16"/>
        <v>0.64100000000000001</v>
      </c>
      <c r="E299" s="127">
        <f t="shared" si="27"/>
        <v>8.2280000000000015</v>
      </c>
      <c r="F299" s="130">
        <f>Parameters!$B$32*'Pump Data'!$L$21^2+Parameters!$B$33*'Pump Data'!$L$21+Parameters!$B$34</f>
        <v>115.93397007999999</v>
      </c>
      <c r="G299" s="130">
        <f t="shared" si="17"/>
        <v>129.75616669284528</v>
      </c>
      <c r="H299" s="131">
        <f t="shared" si="18"/>
        <v>0.12975616669284529</v>
      </c>
      <c r="I299" s="126">
        <f t="shared" si="19"/>
        <v>3520.0000000000009</v>
      </c>
      <c r="J299" s="126">
        <f t="shared" si="20"/>
        <v>3.5200000000000009</v>
      </c>
      <c r="K299" s="126">
        <f t="shared" si="21"/>
        <v>7040000.0000000019</v>
      </c>
      <c r="L299" s="131">
        <f t="shared" si="22"/>
        <v>7.0400000000000018</v>
      </c>
      <c r="M299" s="126">
        <f t="shared" si="23"/>
        <v>864</v>
      </c>
      <c r="N299" s="131">
        <f t="shared" si="24"/>
        <v>3.1103999999999998</v>
      </c>
      <c r="O299" s="131">
        <f t="shared" si="25"/>
        <v>10.280156166692848</v>
      </c>
      <c r="P299" s="8">
        <f t="shared" si="26"/>
        <v>167457.00000000006</v>
      </c>
      <c r="Q299" s="8">
        <f>IF(Parameters!$G$29="y",IF(INT($P299/Parameters!$K$29)&gt;INT($P298/Parameters!$K$29),1,0),0)</f>
        <v>0</v>
      </c>
      <c r="R299" s="8">
        <f>IF(Parameters!$G$30="y",IF(INT($P299/Parameters!$K$30)&gt;INT($P298/Parameters!$K$30),1,0),0)</f>
        <v>0</v>
      </c>
      <c r="S299" s="8">
        <f>IF(INT($P299/Parameters!$K$31)&gt;INT($P298/Parameters!$K$31),1,0)</f>
        <v>0</v>
      </c>
      <c r="T299" s="76">
        <f t="shared" si="14"/>
        <v>0</v>
      </c>
      <c r="U299" s="8">
        <f>C298/'Pump Data'!$L$21*1000/60</f>
        <v>1.1635483570697196</v>
      </c>
      <c r="V299" s="8"/>
      <c r="W299" s="8"/>
    </row>
    <row r="300" spans="1:23" ht="14.25" x14ac:dyDescent="0.45">
      <c r="A300" s="125">
        <v>41928</v>
      </c>
      <c r="B300" s="126">
        <v>17.2</v>
      </c>
      <c r="C300" s="127">
        <f t="shared" si="15"/>
        <v>1.8919999999999999</v>
      </c>
      <c r="D300" s="127">
        <f t="shared" si="16"/>
        <v>0.64100000000000001</v>
      </c>
      <c r="E300" s="127">
        <f t="shared" si="27"/>
        <v>9.479000000000001</v>
      </c>
      <c r="F300" s="130">
        <f>Parameters!$B$32*'Pump Data'!$L$21^2+Parameters!$B$33*'Pump Data'!$L$21+Parameters!$B$34</f>
        <v>115.93397007999999</v>
      </c>
      <c r="G300" s="130">
        <f t="shared" si="17"/>
        <v>348.71969798702168</v>
      </c>
      <c r="H300" s="131">
        <f t="shared" si="18"/>
        <v>0.34871969798702168</v>
      </c>
      <c r="I300" s="126">
        <f t="shared" si="19"/>
        <v>9460</v>
      </c>
      <c r="J300" s="126">
        <f t="shared" si="20"/>
        <v>9.4600000000000009</v>
      </c>
      <c r="K300" s="126">
        <f t="shared" si="21"/>
        <v>18920000</v>
      </c>
      <c r="L300" s="131">
        <f t="shared" si="22"/>
        <v>18.920000000000002</v>
      </c>
      <c r="M300" s="126">
        <f t="shared" si="23"/>
        <v>864</v>
      </c>
      <c r="N300" s="131">
        <f t="shared" si="24"/>
        <v>3.1103999999999998</v>
      </c>
      <c r="O300" s="131">
        <f t="shared" si="25"/>
        <v>22.379119697987022</v>
      </c>
      <c r="P300" s="8">
        <f t="shared" si="26"/>
        <v>169349.00000000006</v>
      </c>
      <c r="Q300" s="8">
        <f>IF(Parameters!$G$29="y",IF(INT($P300/Parameters!$K$29)&gt;INT($P299/Parameters!$K$29),1,0),0)</f>
        <v>0</v>
      </c>
      <c r="R300" s="8">
        <f>IF(Parameters!$G$30="y",IF(INT($P300/Parameters!$K$30)&gt;INT($P299/Parameters!$K$30),1,0),0)</f>
        <v>0</v>
      </c>
      <c r="S300" s="8">
        <f>IF(INT($P300/Parameters!$K$31)&gt;INT($P299/Parameters!$K$31),1,0)</f>
        <v>0</v>
      </c>
      <c r="T300" s="76">
        <f t="shared" si="14"/>
        <v>0</v>
      </c>
      <c r="U300" s="8">
        <f>C299/'Pump Data'!$L$21*1000/60</f>
        <v>0.32765521735083314</v>
      </c>
      <c r="V300" s="8"/>
      <c r="W300" s="8"/>
    </row>
    <row r="301" spans="1:23" ht="14.25" x14ac:dyDescent="0.45">
      <c r="A301" s="125">
        <v>41929</v>
      </c>
      <c r="B301" s="126">
        <v>27</v>
      </c>
      <c r="C301" s="127">
        <f t="shared" si="15"/>
        <v>2.5</v>
      </c>
      <c r="D301" s="127">
        <f t="shared" si="16"/>
        <v>0.64100000000000001</v>
      </c>
      <c r="E301" s="127">
        <f t="shared" si="27"/>
        <v>11.338000000000001</v>
      </c>
      <c r="F301" s="130">
        <f>Parameters!$B$32*'Pump Data'!$L$21^2+Parameters!$B$33*'Pump Data'!$L$21+Parameters!$B$34</f>
        <v>115.93397007999999</v>
      </c>
      <c r="G301" s="130">
        <f t="shared" si="17"/>
        <v>460.7818419490244</v>
      </c>
      <c r="H301" s="131">
        <f t="shared" si="18"/>
        <v>0.46078184194902438</v>
      </c>
      <c r="I301" s="126">
        <f t="shared" si="19"/>
        <v>12500</v>
      </c>
      <c r="J301" s="126">
        <f t="shared" si="20"/>
        <v>12.5</v>
      </c>
      <c r="K301" s="126">
        <f t="shared" si="21"/>
        <v>25000000</v>
      </c>
      <c r="L301" s="131">
        <f t="shared" si="22"/>
        <v>25</v>
      </c>
      <c r="M301" s="126">
        <f t="shared" si="23"/>
        <v>864</v>
      </c>
      <c r="N301" s="131">
        <f t="shared" si="24"/>
        <v>3.1103999999999998</v>
      </c>
      <c r="O301" s="131">
        <f t="shared" si="25"/>
        <v>28.571181841949024</v>
      </c>
      <c r="P301" s="8">
        <f t="shared" si="26"/>
        <v>171849.00000000006</v>
      </c>
      <c r="Q301" s="8">
        <f>IF(Parameters!$G$29="y",IF(INT($P301/Parameters!$K$29)&gt;INT($P300/Parameters!$K$29),1,0),0)</f>
        <v>0</v>
      </c>
      <c r="R301" s="8">
        <f>IF(Parameters!$G$30="y",IF(INT($P301/Parameters!$K$30)&gt;INT($P300/Parameters!$K$30),1,0),0)</f>
        <v>0</v>
      </c>
      <c r="S301" s="8">
        <f>IF(INT($P301/Parameters!$K$31)&gt;INT($P300/Parameters!$K$31),1,0)</f>
        <v>0</v>
      </c>
      <c r="T301" s="76">
        <f t="shared" si="14"/>
        <v>0</v>
      </c>
      <c r="U301" s="8">
        <f>C300/'Pump Data'!$L$21*1000/60</f>
        <v>0.88057339663036382</v>
      </c>
      <c r="V301" s="8"/>
      <c r="W301" s="8"/>
    </row>
    <row r="302" spans="1:23" ht="14.25" x14ac:dyDescent="0.45">
      <c r="A302" s="125">
        <v>41930</v>
      </c>
      <c r="B302" s="126">
        <v>16.8</v>
      </c>
      <c r="C302" s="127">
        <f t="shared" si="15"/>
        <v>1.8480000000000003</v>
      </c>
      <c r="D302" s="127">
        <f t="shared" si="16"/>
        <v>0.64100000000000001</v>
      </c>
      <c r="E302" s="127">
        <f t="shared" si="27"/>
        <v>12.545000000000002</v>
      </c>
      <c r="F302" s="130">
        <f>Parameters!$B$32*'Pump Data'!$L$21^2+Parameters!$B$33*'Pump Data'!$L$21+Parameters!$B$34</f>
        <v>115.93397007999999</v>
      </c>
      <c r="G302" s="130">
        <f t="shared" si="17"/>
        <v>340.60993756871886</v>
      </c>
      <c r="H302" s="131">
        <f t="shared" si="18"/>
        <v>0.34060993756871888</v>
      </c>
      <c r="I302" s="126">
        <f t="shared" si="19"/>
        <v>9240.0000000000018</v>
      </c>
      <c r="J302" s="126">
        <f t="shared" si="20"/>
        <v>9.240000000000002</v>
      </c>
      <c r="K302" s="126">
        <f t="shared" si="21"/>
        <v>18480000.000000004</v>
      </c>
      <c r="L302" s="131">
        <f t="shared" si="22"/>
        <v>18.480000000000004</v>
      </c>
      <c r="M302" s="126">
        <f t="shared" si="23"/>
        <v>864</v>
      </c>
      <c r="N302" s="131">
        <f t="shared" si="24"/>
        <v>3.1103999999999998</v>
      </c>
      <c r="O302" s="131">
        <f t="shared" si="25"/>
        <v>21.931009937568721</v>
      </c>
      <c r="P302" s="8">
        <f t="shared" si="26"/>
        <v>173697.00000000006</v>
      </c>
      <c r="Q302" s="8">
        <f>IF(Parameters!$G$29="y",IF(INT($P302/Parameters!$K$29)&gt;INT($P301/Parameters!$K$29),1,0),0)</f>
        <v>0</v>
      </c>
      <c r="R302" s="8">
        <f>IF(Parameters!$G$30="y",IF(INT($P302/Parameters!$K$30)&gt;INT($P301/Parameters!$K$30),1,0),0)</f>
        <v>0</v>
      </c>
      <c r="S302" s="8">
        <f>IF(INT($P302/Parameters!$K$31)&gt;INT($P301/Parameters!$K$31),1,0)</f>
        <v>0</v>
      </c>
      <c r="T302" s="76">
        <f t="shared" si="14"/>
        <v>0</v>
      </c>
      <c r="U302" s="8">
        <f>C301/'Pump Data'!$L$21*1000/60</f>
        <v>1.1635483570697196</v>
      </c>
      <c r="V302" s="8"/>
      <c r="W302" s="8"/>
    </row>
    <row r="303" spans="1:23" ht="14.25" x14ac:dyDescent="0.45">
      <c r="A303" s="125">
        <v>41931</v>
      </c>
      <c r="B303" s="126">
        <v>46.2</v>
      </c>
      <c r="C303" s="127">
        <f t="shared" si="15"/>
        <v>2.5</v>
      </c>
      <c r="D303" s="127">
        <f t="shared" si="16"/>
        <v>0.64100000000000001</v>
      </c>
      <c r="E303" s="127">
        <f t="shared" si="27"/>
        <v>14.404000000000002</v>
      </c>
      <c r="F303" s="130">
        <f>Parameters!$B$32*'Pump Data'!$L$21^2+Parameters!$B$33*'Pump Data'!$L$21+Parameters!$B$34</f>
        <v>115.93397007999999</v>
      </c>
      <c r="G303" s="130">
        <f t="shared" si="17"/>
        <v>460.7818419490244</v>
      </c>
      <c r="H303" s="131">
        <f t="shared" si="18"/>
        <v>0.46078184194902438</v>
      </c>
      <c r="I303" s="126">
        <f t="shared" si="19"/>
        <v>12500</v>
      </c>
      <c r="J303" s="126">
        <f t="shared" si="20"/>
        <v>12.5</v>
      </c>
      <c r="K303" s="126">
        <f t="shared" si="21"/>
        <v>25000000</v>
      </c>
      <c r="L303" s="131">
        <f t="shared" si="22"/>
        <v>25</v>
      </c>
      <c r="M303" s="126">
        <f t="shared" si="23"/>
        <v>864</v>
      </c>
      <c r="N303" s="131">
        <f t="shared" si="24"/>
        <v>3.1103999999999998</v>
      </c>
      <c r="O303" s="131">
        <f t="shared" si="25"/>
        <v>28.571181841949024</v>
      </c>
      <c r="P303" s="8">
        <f t="shared" si="26"/>
        <v>176197.00000000006</v>
      </c>
      <c r="Q303" s="8">
        <f>IF(Parameters!$G$29="y",IF(INT($P303/Parameters!$K$29)&gt;INT($P302/Parameters!$K$29),1,0),0)</f>
        <v>1</v>
      </c>
      <c r="R303" s="8">
        <f>IF(Parameters!$G$30="y",IF(INT($P303/Parameters!$K$30)&gt;INT($P302/Parameters!$K$30),1,0),0)</f>
        <v>0</v>
      </c>
      <c r="S303" s="8">
        <f>IF(INT($P303/Parameters!$K$31)&gt;INT($P302/Parameters!$K$31),1,0)</f>
        <v>0</v>
      </c>
      <c r="T303" s="76">
        <f t="shared" si="14"/>
        <v>1</v>
      </c>
      <c r="U303" s="8">
        <f>C302/'Pump Data'!$L$21*1000/60</f>
        <v>0.86009494554593691</v>
      </c>
      <c r="V303" s="8"/>
      <c r="W303" s="8"/>
    </row>
    <row r="304" spans="1:23" ht="14.25" x14ac:dyDescent="0.45">
      <c r="A304" s="125">
        <v>41932</v>
      </c>
      <c r="B304" s="126">
        <v>10.8</v>
      </c>
      <c r="C304" s="127">
        <f t="shared" si="15"/>
        <v>1.1880000000000002</v>
      </c>
      <c r="D304" s="127">
        <f t="shared" si="16"/>
        <v>0.64100000000000001</v>
      </c>
      <c r="E304" s="127">
        <f t="shared" si="27"/>
        <v>14.951000000000002</v>
      </c>
      <c r="F304" s="130">
        <f>Parameters!$B$32*'Pump Data'!$L$21^2+Parameters!$B$33*'Pump Data'!$L$21+Parameters!$B$34</f>
        <v>115.93397007999999</v>
      </c>
      <c r="G304" s="130">
        <f t="shared" si="17"/>
        <v>218.96353129417642</v>
      </c>
      <c r="H304" s="131">
        <f t="shared" si="18"/>
        <v>0.21896353129417642</v>
      </c>
      <c r="I304" s="126">
        <f t="shared" si="19"/>
        <v>5940.0000000000018</v>
      </c>
      <c r="J304" s="126">
        <f t="shared" si="20"/>
        <v>5.9400000000000022</v>
      </c>
      <c r="K304" s="126">
        <f t="shared" si="21"/>
        <v>11880000.000000004</v>
      </c>
      <c r="L304" s="131">
        <f t="shared" si="22"/>
        <v>11.880000000000004</v>
      </c>
      <c r="M304" s="126">
        <f t="shared" si="23"/>
        <v>864</v>
      </c>
      <c r="N304" s="131">
        <f t="shared" si="24"/>
        <v>3.1103999999999998</v>
      </c>
      <c r="O304" s="131">
        <f t="shared" si="25"/>
        <v>15.209363531294182</v>
      </c>
      <c r="P304" s="8">
        <f t="shared" si="26"/>
        <v>177385.00000000006</v>
      </c>
      <c r="Q304" s="8">
        <f>IF(Parameters!$G$29="y",IF(INT($P304/Parameters!$K$29)&gt;INT($P303/Parameters!$K$29),1,0),0)</f>
        <v>0</v>
      </c>
      <c r="R304" s="8">
        <f>IF(Parameters!$G$30="y",IF(INT($P304/Parameters!$K$30)&gt;INT($P303/Parameters!$K$30),1,0),0)</f>
        <v>0</v>
      </c>
      <c r="S304" s="8">
        <f>IF(INT($P304/Parameters!$K$31)&gt;INT($P303/Parameters!$K$31),1,0)</f>
        <v>0</v>
      </c>
      <c r="T304" s="76">
        <f t="shared" si="14"/>
        <v>0</v>
      </c>
      <c r="U304" s="8">
        <f>C303/'Pump Data'!$L$21*1000/60</f>
        <v>1.1635483570697196</v>
      </c>
      <c r="V304" s="8"/>
      <c r="W304" s="8"/>
    </row>
    <row r="305" spans="1:23" ht="14.25" x14ac:dyDescent="0.45">
      <c r="A305" s="125">
        <v>41933</v>
      </c>
      <c r="B305" s="126">
        <v>40.200000000000003</v>
      </c>
      <c r="C305" s="127">
        <f t="shared" si="15"/>
        <v>2.5</v>
      </c>
      <c r="D305" s="127">
        <f t="shared" si="16"/>
        <v>0.64100000000000001</v>
      </c>
      <c r="E305" s="127">
        <f t="shared" si="27"/>
        <v>16.810000000000002</v>
      </c>
      <c r="F305" s="130">
        <f>Parameters!$B$32*'Pump Data'!$L$21^2+Parameters!$B$33*'Pump Data'!$L$21+Parameters!$B$34</f>
        <v>115.93397007999999</v>
      </c>
      <c r="G305" s="130">
        <f t="shared" si="17"/>
        <v>460.7818419490244</v>
      </c>
      <c r="H305" s="131">
        <f t="shared" si="18"/>
        <v>0.46078184194902438</v>
      </c>
      <c r="I305" s="126">
        <f t="shared" si="19"/>
        <v>12500</v>
      </c>
      <c r="J305" s="126">
        <f t="shared" si="20"/>
        <v>12.5</v>
      </c>
      <c r="K305" s="126">
        <f t="shared" si="21"/>
        <v>25000000</v>
      </c>
      <c r="L305" s="131">
        <f t="shared" si="22"/>
        <v>25</v>
      </c>
      <c r="M305" s="126">
        <f t="shared" si="23"/>
        <v>864</v>
      </c>
      <c r="N305" s="131">
        <f t="shared" si="24"/>
        <v>3.1103999999999998</v>
      </c>
      <c r="O305" s="131">
        <f t="shared" si="25"/>
        <v>28.571181841949024</v>
      </c>
      <c r="P305" s="8">
        <f t="shared" si="26"/>
        <v>179885.00000000006</v>
      </c>
      <c r="Q305" s="8">
        <f>IF(Parameters!$G$29="y",IF(INT($P305/Parameters!$K$29)&gt;INT($P304/Parameters!$K$29),1,0),0)</f>
        <v>0</v>
      </c>
      <c r="R305" s="8">
        <f>IF(Parameters!$G$30="y",IF(INT($P305/Parameters!$K$30)&gt;INT($P304/Parameters!$K$30),1,0),0)</f>
        <v>0</v>
      </c>
      <c r="S305" s="8">
        <f>IF(INT($P305/Parameters!$K$31)&gt;INT($P304/Parameters!$K$31),1,0)</f>
        <v>0</v>
      </c>
      <c r="T305" s="76">
        <f t="shared" si="14"/>
        <v>0</v>
      </c>
      <c r="U305" s="8">
        <f>C304/'Pump Data'!$L$21*1000/60</f>
        <v>0.55291817927953091</v>
      </c>
      <c r="V305" s="8"/>
      <c r="W305" s="8"/>
    </row>
    <row r="306" spans="1:23" ht="14.25" x14ac:dyDescent="0.45">
      <c r="A306" s="125">
        <v>41934</v>
      </c>
      <c r="B306" s="126">
        <v>21.4</v>
      </c>
      <c r="C306" s="127">
        <f t="shared" si="15"/>
        <v>2.3540000000000001</v>
      </c>
      <c r="D306" s="127">
        <f t="shared" si="16"/>
        <v>0.64100000000000001</v>
      </c>
      <c r="E306" s="127">
        <f t="shared" si="27"/>
        <v>18.523000000000003</v>
      </c>
      <c r="F306" s="130">
        <f>Parameters!$B$32*'Pump Data'!$L$21^2+Parameters!$B$33*'Pump Data'!$L$21+Parameters!$B$34</f>
        <v>115.93397007999999</v>
      </c>
      <c r="G306" s="130">
        <f t="shared" si="17"/>
        <v>433.87218237920143</v>
      </c>
      <c r="H306" s="131">
        <f t="shared" si="18"/>
        <v>0.43387218237920144</v>
      </c>
      <c r="I306" s="126">
        <f t="shared" si="19"/>
        <v>11770</v>
      </c>
      <c r="J306" s="126">
        <f t="shared" si="20"/>
        <v>11.77</v>
      </c>
      <c r="K306" s="126">
        <f t="shared" si="21"/>
        <v>23540000</v>
      </c>
      <c r="L306" s="131">
        <f t="shared" si="22"/>
        <v>23.54</v>
      </c>
      <c r="M306" s="126">
        <f t="shared" si="23"/>
        <v>864</v>
      </c>
      <c r="N306" s="131">
        <f t="shared" si="24"/>
        <v>3.1103999999999998</v>
      </c>
      <c r="O306" s="131">
        <f t="shared" si="25"/>
        <v>27.084272182379198</v>
      </c>
      <c r="P306" s="8">
        <f t="shared" si="26"/>
        <v>182239.00000000006</v>
      </c>
      <c r="Q306" s="8">
        <f>IF(Parameters!$G$29="y",IF(INT($P306/Parameters!$K$29)&gt;INT($P305/Parameters!$K$29),1,0),0)</f>
        <v>0</v>
      </c>
      <c r="R306" s="8">
        <f>IF(Parameters!$G$30="y",IF(INT($P306/Parameters!$K$30)&gt;INT($P305/Parameters!$K$30),1,0),0)</f>
        <v>1</v>
      </c>
      <c r="S306" s="8">
        <f>IF(INT($P306/Parameters!$K$31)&gt;INT($P305/Parameters!$K$31),1,0)</f>
        <v>1</v>
      </c>
      <c r="T306" s="76">
        <f t="shared" si="14"/>
        <v>1</v>
      </c>
      <c r="U306" s="8">
        <f>C305/'Pump Data'!$L$21*1000/60</f>
        <v>1.1635483570697196</v>
      </c>
      <c r="V306" s="8"/>
      <c r="W306" s="8"/>
    </row>
    <row r="307" spans="1:23" ht="14.25" x14ac:dyDescent="0.45">
      <c r="A307" s="125">
        <v>41935</v>
      </c>
      <c r="B307" s="126">
        <v>9.4</v>
      </c>
      <c r="C307" s="127">
        <f t="shared" si="15"/>
        <v>1.034</v>
      </c>
      <c r="D307" s="127">
        <f t="shared" si="16"/>
        <v>0.64100000000000001</v>
      </c>
      <c r="E307" s="127">
        <f t="shared" si="27"/>
        <v>18.916000000000004</v>
      </c>
      <c r="F307" s="130">
        <f>Parameters!$B$32*'Pump Data'!$L$21^2+Parameters!$B$33*'Pump Data'!$L$21+Parameters!$B$34</f>
        <v>115.93397007999999</v>
      </c>
      <c r="G307" s="130">
        <f t="shared" si="17"/>
        <v>190.57936983011649</v>
      </c>
      <c r="H307" s="131">
        <f t="shared" si="18"/>
        <v>0.1905793698301165</v>
      </c>
      <c r="I307" s="126">
        <f t="shared" si="19"/>
        <v>5170</v>
      </c>
      <c r="J307" s="126">
        <f t="shared" si="20"/>
        <v>5.17</v>
      </c>
      <c r="K307" s="126">
        <f t="shared" si="21"/>
        <v>10340000</v>
      </c>
      <c r="L307" s="131">
        <f t="shared" si="22"/>
        <v>10.34</v>
      </c>
      <c r="M307" s="126">
        <f t="shared" si="23"/>
        <v>864</v>
      </c>
      <c r="N307" s="131">
        <f t="shared" si="24"/>
        <v>3.1103999999999998</v>
      </c>
      <c r="O307" s="131">
        <f t="shared" si="25"/>
        <v>13.640979369830116</v>
      </c>
      <c r="P307" s="8">
        <f t="shared" si="26"/>
        <v>183273.00000000006</v>
      </c>
      <c r="Q307" s="8">
        <f>IF(Parameters!$G$29="y",IF(INT($P307/Parameters!$K$29)&gt;INT($P306/Parameters!$K$29),1,0),0)</f>
        <v>0</v>
      </c>
      <c r="R307" s="8">
        <f>IF(Parameters!$G$30="y",IF(INT($P307/Parameters!$K$30)&gt;INT($P306/Parameters!$K$30),1,0),0)</f>
        <v>0</v>
      </c>
      <c r="S307" s="8">
        <f>IF(INT($P307/Parameters!$K$31)&gt;INT($P306/Parameters!$K$31),1,0)</f>
        <v>0</v>
      </c>
      <c r="T307" s="76">
        <f t="shared" si="14"/>
        <v>0</v>
      </c>
      <c r="U307" s="8">
        <f>C306/'Pump Data'!$L$21*1000/60</f>
        <v>1.0955971330168484</v>
      </c>
      <c r="V307" s="8"/>
      <c r="W307" s="8"/>
    </row>
    <row r="308" spans="1:23" ht="14.25" x14ac:dyDescent="0.45">
      <c r="A308" s="125">
        <v>41936</v>
      </c>
      <c r="B308" s="126">
        <v>1.6</v>
      </c>
      <c r="C308" s="127">
        <f t="shared" si="15"/>
        <v>0.17600000000000002</v>
      </c>
      <c r="D308" s="127">
        <f t="shared" si="16"/>
        <v>0.64100000000000001</v>
      </c>
      <c r="E308" s="127">
        <f t="shared" si="27"/>
        <v>18.451000000000001</v>
      </c>
      <c r="F308" s="130">
        <f>Parameters!$B$32*'Pump Data'!$L$21^2+Parameters!$B$33*'Pump Data'!$L$21+Parameters!$B$34</f>
        <v>115.93397007999999</v>
      </c>
      <c r="G308" s="130">
        <f t="shared" si="17"/>
        <v>32.439041673211321</v>
      </c>
      <c r="H308" s="131">
        <f t="shared" si="18"/>
        <v>3.2439041673211322E-2</v>
      </c>
      <c r="I308" s="126">
        <f t="shared" si="19"/>
        <v>880.00000000000023</v>
      </c>
      <c r="J308" s="126">
        <f t="shared" si="20"/>
        <v>0.88000000000000023</v>
      </c>
      <c r="K308" s="126">
        <f t="shared" si="21"/>
        <v>1760000.0000000005</v>
      </c>
      <c r="L308" s="131">
        <f t="shared" si="22"/>
        <v>1.7600000000000005</v>
      </c>
      <c r="M308" s="126">
        <f t="shared" si="23"/>
        <v>864</v>
      </c>
      <c r="N308" s="131">
        <f t="shared" si="24"/>
        <v>3.1103999999999998</v>
      </c>
      <c r="O308" s="131">
        <f t="shared" si="25"/>
        <v>4.9028390416732117</v>
      </c>
      <c r="P308" s="8">
        <f t="shared" si="26"/>
        <v>183449.00000000003</v>
      </c>
      <c r="Q308" s="8">
        <f>IF(Parameters!$G$29="y",IF(INT($P308/Parameters!$K$29)&gt;INT($P307/Parameters!$K$29),1,0),0)</f>
        <v>0</v>
      </c>
      <c r="R308" s="8">
        <f>IF(Parameters!$G$30="y",IF(INT($P308/Parameters!$K$30)&gt;INT($P307/Parameters!$K$30),1,0),0)</f>
        <v>0</v>
      </c>
      <c r="S308" s="8">
        <f>IF(INT($P308/Parameters!$K$31)&gt;INT($P307/Parameters!$K$31),1,0)</f>
        <v>0</v>
      </c>
      <c r="T308" s="76">
        <f t="shared" si="14"/>
        <v>0</v>
      </c>
      <c r="U308" s="8">
        <f>C307/'Pump Data'!$L$21*1000/60</f>
        <v>0.48124360048403608</v>
      </c>
      <c r="V308" s="8"/>
      <c r="W308" s="8"/>
    </row>
    <row r="309" spans="1:23" ht="14.25" x14ac:dyDescent="0.45">
      <c r="A309" s="125">
        <v>41937</v>
      </c>
      <c r="B309" s="126">
        <v>21.8</v>
      </c>
      <c r="C309" s="127">
        <f t="shared" si="15"/>
        <v>2.3980000000000001</v>
      </c>
      <c r="D309" s="127">
        <f t="shared" si="16"/>
        <v>0.64100000000000001</v>
      </c>
      <c r="E309" s="127">
        <f t="shared" si="27"/>
        <v>20.207999999999998</v>
      </c>
      <c r="F309" s="130">
        <f>Parameters!$B$32*'Pump Data'!$L$21^2+Parameters!$B$33*'Pump Data'!$L$21+Parameters!$B$34</f>
        <v>115.93397007999999</v>
      </c>
      <c r="G309" s="130">
        <f t="shared" si="17"/>
        <v>441.98194279750425</v>
      </c>
      <c r="H309" s="131">
        <f t="shared" si="18"/>
        <v>0.44198194279750425</v>
      </c>
      <c r="I309" s="126">
        <f t="shared" si="19"/>
        <v>11990</v>
      </c>
      <c r="J309" s="126">
        <f t="shared" si="20"/>
        <v>11.99</v>
      </c>
      <c r="K309" s="126">
        <f t="shared" si="21"/>
        <v>23980000</v>
      </c>
      <c r="L309" s="131">
        <f t="shared" si="22"/>
        <v>23.98</v>
      </c>
      <c r="M309" s="126">
        <f t="shared" si="23"/>
        <v>864</v>
      </c>
      <c r="N309" s="131">
        <f t="shared" si="24"/>
        <v>3.1103999999999998</v>
      </c>
      <c r="O309" s="131">
        <f t="shared" si="25"/>
        <v>27.532381942797503</v>
      </c>
      <c r="P309" s="8">
        <f t="shared" si="26"/>
        <v>185847.00000000003</v>
      </c>
      <c r="Q309" s="8">
        <f>IF(Parameters!$G$29="y",IF(INT($P309/Parameters!$K$29)&gt;INT($P308/Parameters!$K$29),1,0),0)</f>
        <v>0</v>
      </c>
      <c r="R309" s="8">
        <f>IF(Parameters!$G$30="y",IF(INT($P309/Parameters!$K$30)&gt;INT($P308/Parameters!$K$30),1,0),0)</f>
        <v>0</v>
      </c>
      <c r="S309" s="8">
        <f>IF(INT($P309/Parameters!$K$31)&gt;INT($P308/Parameters!$K$31),1,0)</f>
        <v>0</v>
      </c>
      <c r="T309" s="76">
        <f t="shared" si="14"/>
        <v>0</v>
      </c>
      <c r="U309" s="8">
        <f>C308/'Pump Data'!$L$21*1000/60</f>
        <v>8.1913804337708285E-2</v>
      </c>
      <c r="V309" s="8"/>
      <c r="W309" s="8"/>
    </row>
    <row r="310" spans="1:23" ht="14.25" x14ac:dyDescent="0.45">
      <c r="A310" s="125">
        <v>41938</v>
      </c>
      <c r="B310" s="126">
        <v>2.4</v>
      </c>
      <c r="C310" s="127">
        <f t="shared" si="15"/>
        <v>0.26399999999999996</v>
      </c>
      <c r="D310" s="127">
        <f t="shared" si="16"/>
        <v>0.64100000000000001</v>
      </c>
      <c r="E310" s="127">
        <f t="shared" si="27"/>
        <v>19.830999999999996</v>
      </c>
      <c r="F310" s="130">
        <f>Parameters!$B$32*'Pump Data'!$L$21^2+Parameters!$B$33*'Pump Data'!$L$21+Parameters!$B$34</f>
        <v>115.93397007999999</v>
      </c>
      <c r="G310" s="130">
        <f t="shared" si="17"/>
        <v>48.658562509816967</v>
      </c>
      <c r="H310" s="131">
        <f t="shared" si="18"/>
        <v>4.8658562509816969E-2</v>
      </c>
      <c r="I310" s="126">
        <f t="shared" si="19"/>
        <v>1319.9999999999995</v>
      </c>
      <c r="J310" s="126">
        <f t="shared" si="20"/>
        <v>1.3199999999999996</v>
      </c>
      <c r="K310" s="126">
        <f t="shared" si="21"/>
        <v>2639999.9999999991</v>
      </c>
      <c r="L310" s="131">
        <f t="shared" si="22"/>
        <v>2.6399999999999992</v>
      </c>
      <c r="M310" s="126">
        <f t="shared" si="23"/>
        <v>864</v>
      </c>
      <c r="N310" s="131">
        <f t="shared" si="24"/>
        <v>3.1103999999999998</v>
      </c>
      <c r="O310" s="131">
        <f t="shared" si="25"/>
        <v>5.7990585625098161</v>
      </c>
      <c r="P310" s="8">
        <f t="shared" si="26"/>
        <v>186111.00000000006</v>
      </c>
      <c r="Q310" s="8">
        <f>IF(Parameters!$G$29="y",IF(INT($P310/Parameters!$K$29)&gt;INT($P309/Parameters!$K$29),1,0),0)</f>
        <v>0</v>
      </c>
      <c r="R310" s="8">
        <f>IF(Parameters!$G$30="y",IF(INT($P310/Parameters!$K$30)&gt;INT($P309/Parameters!$K$30),1,0),0)</f>
        <v>0</v>
      </c>
      <c r="S310" s="8">
        <f>IF(INT($P310/Parameters!$K$31)&gt;INT($P309/Parameters!$K$31),1,0)</f>
        <v>0</v>
      </c>
      <c r="T310" s="76">
        <f t="shared" si="14"/>
        <v>0</v>
      </c>
      <c r="U310" s="8">
        <f>C309/'Pump Data'!$L$21*1000/60</f>
        <v>1.1160755841012751</v>
      </c>
      <c r="V310" s="8"/>
      <c r="W310" s="8"/>
    </row>
    <row r="311" spans="1:23" ht="14.25" x14ac:dyDescent="0.45">
      <c r="A311" s="125">
        <v>41939</v>
      </c>
      <c r="B311" s="126">
        <v>33.6</v>
      </c>
      <c r="C311" s="127">
        <f t="shared" si="15"/>
        <v>2.5</v>
      </c>
      <c r="D311" s="127">
        <f t="shared" si="16"/>
        <v>0.64100000000000001</v>
      </c>
      <c r="E311" s="127">
        <f t="shared" si="27"/>
        <v>21.689999999999998</v>
      </c>
      <c r="F311" s="130">
        <f>Parameters!$B$32*'Pump Data'!$L$21^2+Parameters!$B$33*'Pump Data'!$L$21+Parameters!$B$34</f>
        <v>115.93397007999999</v>
      </c>
      <c r="G311" s="130">
        <f t="shared" si="17"/>
        <v>460.7818419490244</v>
      </c>
      <c r="H311" s="131">
        <f t="shared" si="18"/>
        <v>0.46078184194902438</v>
      </c>
      <c r="I311" s="126">
        <f t="shared" si="19"/>
        <v>12500</v>
      </c>
      <c r="J311" s="126">
        <f t="shared" si="20"/>
        <v>12.5</v>
      </c>
      <c r="K311" s="126">
        <f t="shared" si="21"/>
        <v>25000000</v>
      </c>
      <c r="L311" s="131">
        <f t="shared" si="22"/>
        <v>25</v>
      </c>
      <c r="M311" s="126">
        <f t="shared" si="23"/>
        <v>864</v>
      </c>
      <c r="N311" s="131">
        <f t="shared" si="24"/>
        <v>3.1103999999999998</v>
      </c>
      <c r="O311" s="131">
        <f t="shared" si="25"/>
        <v>28.571181841949024</v>
      </c>
      <c r="P311" s="8">
        <f t="shared" si="26"/>
        <v>188611.00000000006</v>
      </c>
      <c r="Q311" s="8">
        <f>IF(Parameters!$G$29="y",IF(INT($P311/Parameters!$K$29)&gt;INT($P310/Parameters!$K$29),1,0),0)</f>
        <v>0</v>
      </c>
      <c r="R311" s="8">
        <f>IF(Parameters!$G$30="y",IF(INT($P311/Parameters!$K$30)&gt;INT($P310/Parameters!$K$30),1,0),0)</f>
        <v>0</v>
      </c>
      <c r="S311" s="8">
        <f>IF(INT($P311/Parameters!$K$31)&gt;INT($P310/Parameters!$K$31),1,0)</f>
        <v>0</v>
      </c>
      <c r="T311" s="76">
        <f t="shared" si="14"/>
        <v>0</v>
      </c>
      <c r="U311" s="8">
        <f>C310/'Pump Data'!$L$21*1000/60</f>
        <v>0.12287070650656239</v>
      </c>
      <c r="V311" s="8"/>
      <c r="W311" s="8"/>
    </row>
    <row r="312" spans="1:23" ht="14.25" x14ac:dyDescent="0.45">
      <c r="A312" s="125">
        <v>41940</v>
      </c>
      <c r="B312" s="126">
        <v>24.4</v>
      </c>
      <c r="C312" s="127">
        <f t="shared" si="15"/>
        <v>2.5</v>
      </c>
      <c r="D312" s="127">
        <f t="shared" si="16"/>
        <v>0.64100000000000001</v>
      </c>
      <c r="E312" s="127">
        <f t="shared" si="27"/>
        <v>23.548999999999999</v>
      </c>
      <c r="F312" s="130">
        <f>Parameters!$B$32*'Pump Data'!$L$21^2+Parameters!$B$33*'Pump Data'!$L$21+Parameters!$B$34</f>
        <v>115.93397007999999</v>
      </c>
      <c r="G312" s="130">
        <f t="shared" si="17"/>
        <v>460.7818419490244</v>
      </c>
      <c r="H312" s="131">
        <f t="shared" si="18"/>
        <v>0.46078184194902438</v>
      </c>
      <c r="I312" s="126">
        <f t="shared" si="19"/>
        <v>12500</v>
      </c>
      <c r="J312" s="126">
        <f t="shared" si="20"/>
        <v>12.5</v>
      </c>
      <c r="K312" s="126">
        <f t="shared" si="21"/>
        <v>25000000</v>
      </c>
      <c r="L312" s="131">
        <f t="shared" si="22"/>
        <v>25</v>
      </c>
      <c r="M312" s="126">
        <f t="shared" si="23"/>
        <v>864</v>
      </c>
      <c r="N312" s="131">
        <f t="shared" si="24"/>
        <v>3.1103999999999998</v>
      </c>
      <c r="O312" s="131">
        <f t="shared" si="25"/>
        <v>28.571181841949024</v>
      </c>
      <c r="P312" s="8">
        <f t="shared" si="26"/>
        <v>191111.00000000006</v>
      </c>
      <c r="Q312" s="8">
        <f>IF(Parameters!$G$29="y",IF(INT($P312/Parameters!$K$29)&gt;INT($P311/Parameters!$K$29),1,0),0)</f>
        <v>0</v>
      </c>
      <c r="R312" s="8">
        <f>IF(Parameters!$G$30="y",IF(INT($P312/Parameters!$K$30)&gt;INT($P311/Parameters!$K$30),1,0),0)</f>
        <v>0</v>
      </c>
      <c r="S312" s="8">
        <f>IF(INT($P312/Parameters!$K$31)&gt;INT($P311/Parameters!$K$31),1,0)</f>
        <v>0</v>
      </c>
      <c r="T312" s="76">
        <f t="shared" si="14"/>
        <v>0</v>
      </c>
      <c r="U312" s="8">
        <f>C311/'Pump Data'!$L$21*1000/60</f>
        <v>1.1635483570697196</v>
      </c>
      <c r="V312" s="8"/>
      <c r="W312" s="8"/>
    </row>
    <row r="313" spans="1:23" ht="14.25" x14ac:dyDescent="0.45">
      <c r="A313" s="125">
        <v>41941</v>
      </c>
      <c r="B313" s="126">
        <v>7</v>
      </c>
      <c r="C313" s="127">
        <f t="shared" si="15"/>
        <v>0.77</v>
      </c>
      <c r="D313" s="127">
        <f t="shared" si="16"/>
        <v>0.64100000000000001</v>
      </c>
      <c r="E313" s="127">
        <f t="shared" si="27"/>
        <v>23.677999999999997</v>
      </c>
      <c r="F313" s="130">
        <f>Parameters!$B$32*'Pump Data'!$L$21^2+Parameters!$B$33*'Pump Data'!$L$21+Parameters!$B$34</f>
        <v>115.93397007999999</v>
      </c>
      <c r="G313" s="130">
        <f t="shared" si="17"/>
        <v>141.92080732029953</v>
      </c>
      <c r="H313" s="131">
        <f t="shared" si="18"/>
        <v>0.14192080732029952</v>
      </c>
      <c r="I313" s="126">
        <f t="shared" si="19"/>
        <v>3850</v>
      </c>
      <c r="J313" s="126">
        <f t="shared" si="20"/>
        <v>3.85</v>
      </c>
      <c r="K313" s="126">
        <f t="shared" si="21"/>
        <v>7700000</v>
      </c>
      <c r="L313" s="131">
        <f t="shared" si="22"/>
        <v>7.7</v>
      </c>
      <c r="M313" s="126">
        <f t="shared" si="23"/>
        <v>864</v>
      </c>
      <c r="N313" s="131">
        <f t="shared" si="24"/>
        <v>3.1103999999999998</v>
      </c>
      <c r="O313" s="131">
        <f t="shared" si="25"/>
        <v>10.9523208073203</v>
      </c>
      <c r="P313" s="8">
        <f t="shared" si="26"/>
        <v>191881.00000000006</v>
      </c>
      <c r="Q313" s="8">
        <f>IF(Parameters!$G$29="y",IF(INT($P313/Parameters!$K$29)&gt;INT($P312/Parameters!$K$29),1,0),0)</f>
        <v>0</v>
      </c>
      <c r="R313" s="8">
        <f>IF(Parameters!$G$30="y",IF(INT($P313/Parameters!$K$30)&gt;INT($P312/Parameters!$K$30),1,0),0)</f>
        <v>0</v>
      </c>
      <c r="S313" s="8">
        <f>IF(INT($P313/Parameters!$K$31)&gt;INT($P312/Parameters!$K$31),1,0)</f>
        <v>0</v>
      </c>
      <c r="T313" s="76">
        <f t="shared" si="14"/>
        <v>0</v>
      </c>
      <c r="U313" s="8">
        <f>C312/'Pump Data'!$L$21*1000/60</f>
        <v>1.1635483570697196</v>
      </c>
      <c r="V313" s="8"/>
      <c r="W313" s="8"/>
    </row>
    <row r="314" spans="1:23" ht="14.25" x14ac:dyDescent="0.45">
      <c r="A314" s="125">
        <v>41942</v>
      </c>
      <c r="B314" s="126">
        <v>9</v>
      </c>
      <c r="C314" s="127">
        <f t="shared" si="15"/>
        <v>0.98999999999999988</v>
      </c>
      <c r="D314" s="127">
        <f t="shared" si="16"/>
        <v>0.64100000000000001</v>
      </c>
      <c r="E314" s="127">
        <f t="shared" si="27"/>
        <v>24.026999999999994</v>
      </c>
      <c r="F314" s="130">
        <f>Parameters!$B$32*'Pump Data'!$L$21^2+Parameters!$B$33*'Pump Data'!$L$21+Parameters!$B$34</f>
        <v>115.93397007999999</v>
      </c>
      <c r="G314" s="130">
        <f t="shared" si="17"/>
        <v>182.46960941181365</v>
      </c>
      <c r="H314" s="131">
        <f t="shared" si="18"/>
        <v>0.18246960941181364</v>
      </c>
      <c r="I314" s="126">
        <f t="shared" si="19"/>
        <v>4949.9999999999991</v>
      </c>
      <c r="J314" s="126">
        <f t="shared" si="20"/>
        <v>4.9499999999999993</v>
      </c>
      <c r="K314" s="126">
        <f t="shared" si="21"/>
        <v>9899999.9999999981</v>
      </c>
      <c r="L314" s="131">
        <f t="shared" si="22"/>
        <v>9.8999999999999986</v>
      </c>
      <c r="M314" s="126">
        <f t="shared" si="23"/>
        <v>864</v>
      </c>
      <c r="N314" s="131">
        <f t="shared" si="24"/>
        <v>3.1103999999999998</v>
      </c>
      <c r="O314" s="131">
        <f t="shared" si="25"/>
        <v>13.192869609411812</v>
      </c>
      <c r="P314" s="8">
        <f t="shared" si="26"/>
        <v>192871.00000000006</v>
      </c>
      <c r="Q314" s="8">
        <f>IF(Parameters!$G$29="y",IF(INT($P314/Parameters!$K$29)&gt;INT($P313/Parameters!$K$29),1,0),0)</f>
        <v>0</v>
      </c>
      <c r="R314" s="8">
        <f>IF(Parameters!$G$30="y",IF(INT($P314/Parameters!$K$30)&gt;INT($P313/Parameters!$K$30),1,0),0)</f>
        <v>0</v>
      </c>
      <c r="S314" s="8">
        <f>IF(INT($P314/Parameters!$K$31)&gt;INT($P313/Parameters!$K$31),1,0)</f>
        <v>0</v>
      </c>
      <c r="T314" s="76">
        <f t="shared" si="14"/>
        <v>0</v>
      </c>
      <c r="U314" s="8">
        <f>C313/'Pump Data'!$L$21*1000/60</f>
        <v>0.35837289397747368</v>
      </c>
      <c r="V314" s="8"/>
      <c r="W314" s="8"/>
    </row>
    <row r="315" spans="1:23" ht="14.25" x14ac:dyDescent="0.45">
      <c r="A315" s="125">
        <v>41943</v>
      </c>
      <c r="B315" s="126">
        <v>15</v>
      </c>
      <c r="C315" s="127">
        <f t="shared" si="15"/>
        <v>1.65</v>
      </c>
      <c r="D315" s="127">
        <f t="shared" si="16"/>
        <v>0.64100000000000001</v>
      </c>
      <c r="E315" s="127">
        <f t="shared" si="27"/>
        <v>25.035999999999994</v>
      </c>
      <c r="F315" s="130">
        <f>Parameters!$B$32*'Pump Data'!$L$21^2+Parameters!$B$33*'Pump Data'!$L$21+Parameters!$B$34</f>
        <v>115.93397007999999</v>
      </c>
      <c r="G315" s="130">
        <f t="shared" si="17"/>
        <v>304.11601568635609</v>
      </c>
      <c r="H315" s="131">
        <f t="shared" si="18"/>
        <v>0.3041160156863561</v>
      </c>
      <c r="I315" s="126">
        <f t="shared" si="19"/>
        <v>8250</v>
      </c>
      <c r="J315" s="126">
        <f t="shared" si="20"/>
        <v>8.25</v>
      </c>
      <c r="K315" s="126">
        <f t="shared" si="21"/>
        <v>16500000</v>
      </c>
      <c r="L315" s="131">
        <f t="shared" si="22"/>
        <v>16.5</v>
      </c>
      <c r="M315" s="126">
        <f t="shared" si="23"/>
        <v>864</v>
      </c>
      <c r="N315" s="131">
        <f t="shared" si="24"/>
        <v>3.1103999999999998</v>
      </c>
      <c r="O315" s="131">
        <f t="shared" si="25"/>
        <v>19.914516015686356</v>
      </c>
      <c r="P315" s="8">
        <f t="shared" si="26"/>
        <v>194521.00000000006</v>
      </c>
      <c r="Q315" s="8">
        <f>IF(Parameters!$G$29="y",IF(INT($P315/Parameters!$K$29)&gt;INT($P314/Parameters!$K$29),1,0),0)</f>
        <v>0</v>
      </c>
      <c r="R315" s="8">
        <f>IF(Parameters!$G$30="y",IF(INT($P315/Parameters!$K$30)&gt;INT($P314/Parameters!$K$30),1,0),0)</f>
        <v>0</v>
      </c>
      <c r="S315" s="8">
        <f>IF(INT($P315/Parameters!$K$31)&gt;INT($P314/Parameters!$K$31),1,0)</f>
        <v>0</v>
      </c>
      <c r="T315" s="76">
        <f t="shared" si="14"/>
        <v>0</v>
      </c>
      <c r="U315" s="8">
        <f>C314/'Pump Data'!$L$21*1000/60</f>
        <v>0.46076514939960894</v>
      </c>
      <c r="V315" s="8"/>
      <c r="W315" s="8"/>
    </row>
    <row r="316" spans="1:23" ht="14.25" x14ac:dyDescent="0.45">
      <c r="A316" s="125">
        <v>41944</v>
      </c>
      <c r="B316" s="126">
        <v>6.4</v>
      </c>
      <c r="C316" s="127">
        <f t="shared" si="15"/>
        <v>0.70400000000000007</v>
      </c>
      <c r="D316" s="127">
        <f t="shared" si="16"/>
        <v>0.64100000000000001</v>
      </c>
      <c r="E316" s="127">
        <f t="shared" si="27"/>
        <v>25.098999999999997</v>
      </c>
      <c r="F316" s="130">
        <f>Parameters!$B$32*'Pump Data'!$L$21^2+Parameters!$B$33*'Pump Data'!$L$21+Parameters!$B$34</f>
        <v>115.93397007999999</v>
      </c>
      <c r="G316" s="130">
        <f t="shared" si="17"/>
        <v>129.75616669284528</v>
      </c>
      <c r="H316" s="131">
        <f t="shared" si="18"/>
        <v>0.12975616669284529</v>
      </c>
      <c r="I316" s="126">
        <f t="shared" si="19"/>
        <v>3520.0000000000009</v>
      </c>
      <c r="J316" s="126">
        <f t="shared" si="20"/>
        <v>3.5200000000000009</v>
      </c>
      <c r="K316" s="126">
        <f t="shared" si="21"/>
        <v>7040000.0000000019</v>
      </c>
      <c r="L316" s="131">
        <f t="shared" si="22"/>
        <v>7.0400000000000018</v>
      </c>
      <c r="M316" s="126">
        <f t="shared" si="23"/>
        <v>864</v>
      </c>
      <c r="N316" s="131">
        <f t="shared" si="24"/>
        <v>3.1103999999999998</v>
      </c>
      <c r="O316" s="131">
        <f t="shared" si="25"/>
        <v>10.280156166692848</v>
      </c>
      <c r="P316" s="8">
        <f t="shared" si="26"/>
        <v>195225.00000000009</v>
      </c>
      <c r="Q316" s="8">
        <f>IF(Parameters!$G$29="y",IF(INT($P316/Parameters!$K$29)&gt;INT($P315/Parameters!$K$29),1,0),0)</f>
        <v>0</v>
      </c>
      <c r="R316" s="8">
        <f>IF(Parameters!$G$30="y",IF(INT($P316/Parameters!$K$30)&gt;INT($P315/Parameters!$K$30),1,0),0)</f>
        <v>0</v>
      </c>
      <c r="S316" s="8">
        <f>IF(INT($P316/Parameters!$K$31)&gt;INT($P315/Parameters!$K$31),1,0)</f>
        <v>0</v>
      </c>
      <c r="T316" s="76">
        <f t="shared" si="14"/>
        <v>0</v>
      </c>
      <c r="U316" s="8">
        <f>C315/'Pump Data'!$L$21*1000/60</f>
        <v>0.767941915666015</v>
      </c>
      <c r="V316" s="8"/>
      <c r="W316" s="8"/>
    </row>
    <row r="317" spans="1:23" ht="14.25" x14ac:dyDescent="0.45">
      <c r="A317" s="125">
        <v>41945</v>
      </c>
      <c r="B317" s="126">
        <v>37.6</v>
      </c>
      <c r="C317" s="127">
        <f t="shared" si="15"/>
        <v>2.5</v>
      </c>
      <c r="D317" s="127">
        <f t="shared" si="16"/>
        <v>0.64100000000000001</v>
      </c>
      <c r="E317" s="127">
        <f t="shared" si="27"/>
        <v>26.957999999999998</v>
      </c>
      <c r="F317" s="130">
        <f>Parameters!$B$32*'Pump Data'!$L$21^2+Parameters!$B$33*'Pump Data'!$L$21+Parameters!$B$34</f>
        <v>115.93397007999999</v>
      </c>
      <c r="G317" s="130">
        <f t="shared" si="17"/>
        <v>460.7818419490244</v>
      </c>
      <c r="H317" s="131">
        <f t="shared" si="18"/>
        <v>0.46078184194902438</v>
      </c>
      <c r="I317" s="126">
        <f t="shared" si="19"/>
        <v>12500</v>
      </c>
      <c r="J317" s="126">
        <f t="shared" si="20"/>
        <v>12.5</v>
      </c>
      <c r="K317" s="126">
        <f t="shared" si="21"/>
        <v>25000000</v>
      </c>
      <c r="L317" s="131">
        <f t="shared" si="22"/>
        <v>25</v>
      </c>
      <c r="M317" s="126">
        <f t="shared" si="23"/>
        <v>864</v>
      </c>
      <c r="N317" s="131">
        <f t="shared" si="24"/>
        <v>3.1103999999999998</v>
      </c>
      <c r="O317" s="131">
        <f t="shared" si="25"/>
        <v>28.571181841949024</v>
      </c>
      <c r="P317" s="8">
        <f t="shared" si="26"/>
        <v>197725.00000000009</v>
      </c>
      <c r="Q317" s="8">
        <f>IF(Parameters!$G$29="y",IF(INT($P317/Parameters!$K$29)&gt;INT($P316/Parameters!$K$29),1,0),0)</f>
        <v>0</v>
      </c>
      <c r="R317" s="8">
        <f>IF(Parameters!$G$30="y",IF(INT($P317/Parameters!$K$30)&gt;INT($P316/Parameters!$K$30),1,0),0)</f>
        <v>0</v>
      </c>
      <c r="S317" s="8">
        <f>IF(INT($P317/Parameters!$K$31)&gt;INT($P316/Parameters!$K$31),1,0)</f>
        <v>0</v>
      </c>
      <c r="T317" s="76">
        <f t="shared" si="14"/>
        <v>0</v>
      </c>
      <c r="U317" s="8">
        <f>C316/'Pump Data'!$L$21*1000/60</f>
        <v>0.32765521735083314</v>
      </c>
      <c r="V317" s="8"/>
      <c r="W317" s="8"/>
    </row>
    <row r="318" spans="1:23" ht="14.25" x14ac:dyDescent="0.45">
      <c r="A318" s="125">
        <v>41946</v>
      </c>
      <c r="B318" s="126">
        <v>35.200000000000003</v>
      </c>
      <c r="C318" s="127">
        <f t="shared" si="15"/>
        <v>2.5</v>
      </c>
      <c r="D318" s="127">
        <f t="shared" si="16"/>
        <v>0.64100000000000001</v>
      </c>
      <c r="E318" s="127">
        <f t="shared" si="27"/>
        <v>28.817</v>
      </c>
      <c r="F318" s="130">
        <f>Parameters!$B$32*'Pump Data'!$L$21^2+Parameters!$B$33*'Pump Data'!$L$21+Parameters!$B$34</f>
        <v>115.93397007999999</v>
      </c>
      <c r="G318" s="130">
        <f t="shared" si="17"/>
        <v>460.7818419490244</v>
      </c>
      <c r="H318" s="131">
        <f t="shared" si="18"/>
        <v>0.46078184194902438</v>
      </c>
      <c r="I318" s="126">
        <f t="shared" si="19"/>
        <v>12500</v>
      </c>
      <c r="J318" s="126">
        <f t="shared" si="20"/>
        <v>12.5</v>
      </c>
      <c r="K318" s="126">
        <f t="shared" si="21"/>
        <v>25000000</v>
      </c>
      <c r="L318" s="131">
        <f t="shared" si="22"/>
        <v>25</v>
      </c>
      <c r="M318" s="126">
        <f t="shared" si="23"/>
        <v>864</v>
      </c>
      <c r="N318" s="131">
        <f t="shared" si="24"/>
        <v>3.1103999999999998</v>
      </c>
      <c r="O318" s="131">
        <f t="shared" si="25"/>
        <v>28.571181841949024</v>
      </c>
      <c r="P318" s="8">
        <f t="shared" si="26"/>
        <v>200225.00000000009</v>
      </c>
      <c r="Q318" s="8">
        <f>IF(Parameters!$G$29="y",IF(INT($P318/Parameters!$K$29)&gt;INT($P317/Parameters!$K$29),1,0),0)</f>
        <v>1</v>
      </c>
      <c r="R318" s="8">
        <f>IF(Parameters!$G$30="y",IF(INT($P318/Parameters!$K$30)&gt;INT($P317/Parameters!$K$30),1,0),0)</f>
        <v>1</v>
      </c>
      <c r="S318" s="8">
        <f>IF(INT($P318/Parameters!$K$31)&gt;INT($P317/Parameters!$K$31),1,0)</f>
        <v>1</v>
      </c>
      <c r="T318" s="76">
        <f t="shared" si="14"/>
        <v>1</v>
      </c>
      <c r="U318" s="8">
        <f>C317/'Pump Data'!$L$21*1000/60</f>
        <v>1.1635483570697196</v>
      </c>
      <c r="V318" s="8"/>
      <c r="W318" s="8"/>
    </row>
    <row r="319" spans="1:23" ht="14.25" x14ac:dyDescent="0.45">
      <c r="A319" s="125">
        <v>41947</v>
      </c>
      <c r="B319" s="126">
        <v>9</v>
      </c>
      <c r="C319" s="127">
        <f t="shared" si="15"/>
        <v>0.98999999999999988</v>
      </c>
      <c r="D319" s="127">
        <f t="shared" si="16"/>
        <v>0.64100000000000001</v>
      </c>
      <c r="E319" s="127">
        <f t="shared" si="27"/>
        <v>29.165999999999997</v>
      </c>
      <c r="F319" s="130">
        <f>Parameters!$B$32*'Pump Data'!$L$21^2+Parameters!$B$33*'Pump Data'!$L$21+Parameters!$B$34</f>
        <v>115.93397007999999</v>
      </c>
      <c r="G319" s="130">
        <f t="shared" si="17"/>
        <v>182.46960941181365</v>
      </c>
      <c r="H319" s="131">
        <f t="shared" si="18"/>
        <v>0.18246960941181364</v>
      </c>
      <c r="I319" s="126">
        <f t="shared" si="19"/>
        <v>4949.9999999999991</v>
      </c>
      <c r="J319" s="126">
        <f t="shared" si="20"/>
        <v>4.9499999999999993</v>
      </c>
      <c r="K319" s="126">
        <f t="shared" si="21"/>
        <v>9899999.9999999981</v>
      </c>
      <c r="L319" s="131">
        <f t="shared" si="22"/>
        <v>9.8999999999999986</v>
      </c>
      <c r="M319" s="126">
        <f t="shared" si="23"/>
        <v>864</v>
      </c>
      <c r="N319" s="131">
        <f t="shared" si="24"/>
        <v>3.1103999999999998</v>
      </c>
      <c r="O319" s="131">
        <f t="shared" si="25"/>
        <v>13.192869609411812</v>
      </c>
      <c r="P319" s="8">
        <f t="shared" si="26"/>
        <v>201215.00000000009</v>
      </c>
      <c r="Q319" s="8">
        <f>IF(Parameters!$G$29="y",IF(INT($P319/Parameters!$K$29)&gt;INT($P318/Parameters!$K$29),1,0),0)</f>
        <v>0</v>
      </c>
      <c r="R319" s="8">
        <f>IF(Parameters!$G$30="y",IF(INT($P319/Parameters!$K$30)&gt;INT($P318/Parameters!$K$30),1,0),0)</f>
        <v>0</v>
      </c>
      <c r="S319" s="8">
        <f>IF(INT($P319/Parameters!$K$31)&gt;INT($P318/Parameters!$K$31),1,0)</f>
        <v>0</v>
      </c>
      <c r="T319" s="76">
        <f t="shared" si="14"/>
        <v>0</v>
      </c>
      <c r="U319" s="8">
        <f>C318/'Pump Data'!$L$21*1000/60</f>
        <v>1.1635483570697196</v>
      </c>
      <c r="V319" s="8"/>
      <c r="W319" s="8"/>
    </row>
    <row r="320" spans="1:23" ht="14.25" x14ac:dyDescent="0.45">
      <c r="A320" s="125">
        <v>41948</v>
      </c>
      <c r="B320" s="126">
        <v>4.4000000000000004</v>
      </c>
      <c r="C320" s="127">
        <f t="shared" si="15"/>
        <v>0.48400000000000004</v>
      </c>
      <c r="D320" s="127">
        <f t="shared" si="16"/>
        <v>0.64100000000000001</v>
      </c>
      <c r="E320" s="127">
        <f t="shared" si="27"/>
        <v>29.009</v>
      </c>
      <c r="F320" s="130">
        <f>Parameters!$B$32*'Pump Data'!$L$21^2+Parameters!$B$33*'Pump Data'!$L$21+Parameters!$B$34</f>
        <v>115.93397007999999</v>
      </c>
      <c r="G320" s="130">
        <f t="shared" si="17"/>
        <v>89.207364601331136</v>
      </c>
      <c r="H320" s="131">
        <f t="shared" si="18"/>
        <v>8.9207364601331135E-2</v>
      </c>
      <c r="I320" s="126">
        <f t="shared" si="19"/>
        <v>2420.0000000000005</v>
      </c>
      <c r="J320" s="126">
        <f t="shared" si="20"/>
        <v>2.4200000000000004</v>
      </c>
      <c r="K320" s="126">
        <f t="shared" si="21"/>
        <v>4840000.0000000009</v>
      </c>
      <c r="L320" s="131">
        <f t="shared" si="22"/>
        <v>4.8400000000000007</v>
      </c>
      <c r="M320" s="126">
        <f t="shared" si="23"/>
        <v>864</v>
      </c>
      <c r="N320" s="131">
        <f t="shared" si="24"/>
        <v>3.1103999999999998</v>
      </c>
      <c r="O320" s="131">
        <f t="shared" si="25"/>
        <v>8.0396073646013324</v>
      </c>
      <c r="P320" s="8">
        <f t="shared" si="26"/>
        <v>201699.00000000009</v>
      </c>
      <c r="Q320" s="8">
        <f>IF(Parameters!$G$29="y",IF(INT($P320/Parameters!$K$29)&gt;INT($P319/Parameters!$K$29),1,0),0)</f>
        <v>0</v>
      </c>
      <c r="R320" s="8">
        <f>IF(Parameters!$G$30="y",IF(INT($P320/Parameters!$K$30)&gt;INT($P319/Parameters!$K$30),1,0),0)</f>
        <v>0</v>
      </c>
      <c r="S320" s="8">
        <f>IF(INT($P320/Parameters!$K$31)&gt;INT($P319/Parameters!$K$31),1,0)</f>
        <v>0</v>
      </c>
      <c r="T320" s="76">
        <f t="shared" si="14"/>
        <v>0</v>
      </c>
      <c r="U320" s="8">
        <f>C319/'Pump Data'!$L$21*1000/60</f>
        <v>0.46076514939960894</v>
      </c>
      <c r="V320" s="8"/>
      <c r="W320" s="8"/>
    </row>
    <row r="321" spans="1:23" ht="14.25" x14ac:dyDescent="0.45">
      <c r="A321" s="125">
        <v>41949</v>
      </c>
      <c r="B321" s="126">
        <v>20.2</v>
      </c>
      <c r="C321" s="127">
        <f t="shared" si="15"/>
        <v>2.222</v>
      </c>
      <c r="D321" s="127">
        <f t="shared" si="16"/>
        <v>0.64100000000000001</v>
      </c>
      <c r="E321" s="127">
        <f t="shared" si="27"/>
        <v>30.590000000000003</v>
      </c>
      <c r="F321" s="130">
        <f>Parameters!$B$32*'Pump Data'!$L$21^2+Parameters!$B$33*'Pump Data'!$L$21+Parameters!$B$34</f>
        <v>115.93397007999999</v>
      </c>
      <c r="G321" s="130">
        <f t="shared" si="17"/>
        <v>409.54290112429288</v>
      </c>
      <c r="H321" s="131">
        <f t="shared" si="18"/>
        <v>0.40954290112429287</v>
      </c>
      <c r="I321" s="126">
        <f t="shared" si="19"/>
        <v>11110</v>
      </c>
      <c r="J321" s="126">
        <f t="shared" si="20"/>
        <v>11.11</v>
      </c>
      <c r="K321" s="126">
        <f t="shared" si="21"/>
        <v>22220000</v>
      </c>
      <c r="L321" s="131">
        <f t="shared" si="22"/>
        <v>22.22</v>
      </c>
      <c r="M321" s="126">
        <f t="shared" si="23"/>
        <v>864</v>
      </c>
      <c r="N321" s="131">
        <f t="shared" si="24"/>
        <v>3.1103999999999998</v>
      </c>
      <c r="O321" s="131">
        <f t="shared" si="25"/>
        <v>25.739942901124291</v>
      </c>
      <c r="P321" s="8">
        <f t="shared" si="26"/>
        <v>203921.00000000012</v>
      </c>
      <c r="Q321" s="8">
        <f>IF(Parameters!$G$29="y",IF(INT($P321/Parameters!$K$29)&gt;INT($P320/Parameters!$K$29),1,0),0)</f>
        <v>0</v>
      </c>
      <c r="R321" s="8">
        <f>IF(Parameters!$G$30="y",IF(INT($P321/Parameters!$K$30)&gt;INT($P320/Parameters!$K$30),1,0),0)</f>
        <v>0</v>
      </c>
      <c r="S321" s="8">
        <f>IF(INT($P321/Parameters!$K$31)&gt;INT($P320/Parameters!$K$31),1,0)</f>
        <v>0</v>
      </c>
      <c r="T321" s="76">
        <f t="shared" si="14"/>
        <v>0</v>
      </c>
      <c r="U321" s="8">
        <f>C320/'Pump Data'!$L$21*1000/60</f>
        <v>0.22526296192869777</v>
      </c>
      <c r="V321" s="8"/>
      <c r="W321" s="8"/>
    </row>
    <row r="322" spans="1:23" ht="14.25" x14ac:dyDescent="0.45">
      <c r="A322" s="125">
        <v>41950</v>
      </c>
      <c r="B322" s="126">
        <v>1.4</v>
      </c>
      <c r="C322" s="127">
        <f t="shared" si="15"/>
        <v>0.154</v>
      </c>
      <c r="D322" s="127">
        <f t="shared" si="16"/>
        <v>0.64100000000000001</v>
      </c>
      <c r="E322" s="127">
        <f t="shared" si="27"/>
        <v>30.103000000000002</v>
      </c>
      <c r="F322" s="130">
        <f>Parameters!$B$32*'Pump Data'!$L$21^2+Parameters!$B$33*'Pump Data'!$L$21+Parameters!$B$34</f>
        <v>115.93397007999999</v>
      </c>
      <c r="G322" s="130">
        <f t="shared" si="17"/>
        <v>28.384161464059904</v>
      </c>
      <c r="H322" s="131">
        <f t="shared" si="18"/>
        <v>2.8384161464059903E-2</v>
      </c>
      <c r="I322" s="126">
        <f t="shared" si="19"/>
        <v>770</v>
      </c>
      <c r="J322" s="126">
        <f t="shared" si="20"/>
        <v>0.77</v>
      </c>
      <c r="K322" s="126">
        <f t="shared" si="21"/>
        <v>1540000</v>
      </c>
      <c r="L322" s="131">
        <f t="shared" si="22"/>
        <v>1.54</v>
      </c>
      <c r="M322" s="126">
        <f t="shared" si="23"/>
        <v>864</v>
      </c>
      <c r="N322" s="131">
        <f t="shared" si="24"/>
        <v>3.1103999999999998</v>
      </c>
      <c r="O322" s="131">
        <f t="shared" si="25"/>
        <v>4.6787841614640602</v>
      </c>
      <c r="P322" s="8">
        <f t="shared" si="26"/>
        <v>204075.00000000012</v>
      </c>
      <c r="Q322" s="8">
        <f>IF(Parameters!$G$29="y",IF(INT($P322/Parameters!$K$29)&gt;INT($P321/Parameters!$K$29),1,0),0)</f>
        <v>0</v>
      </c>
      <c r="R322" s="8">
        <f>IF(Parameters!$G$30="y",IF(INT($P322/Parameters!$K$30)&gt;INT($P321/Parameters!$K$30),1,0),0)</f>
        <v>0</v>
      </c>
      <c r="S322" s="8">
        <f>IF(INT($P322/Parameters!$K$31)&gt;INT($P321/Parameters!$K$31),1,0)</f>
        <v>0</v>
      </c>
      <c r="T322" s="76">
        <f t="shared" si="14"/>
        <v>0</v>
      </c>
      <c r="U322" s="8">
        <f>C321/'Pump Data'!$L$21*1000/60</f>
        <v>1.0341617797635669</v>
      </c>
      <c r="V322" s="8"/>
      <c r="W322" s="8"/>
    </row>
    <row r="323" spans="1:23" ht="14.25" x14ac:dyDescent="0.45">
      <c r="A323" s="125">
        <v>41951</v>
      </c>
      <c r="B323" s="126">
        <v>34</v>
      </c>
      <c r="C323" s="127">
        <f t="shared" si="15"/>
        <v>2.5</v>
      </c>
      <c r="D323" s="127">
        <f t="shared" si="16"/>
        <v>0.64100000000000001</v>
      </c>
      <c r="E323" s="127">
        <f t="shared" si="27"/>
        <v>31.962000000000003</v>
      </c>
      <c r="F323" s="130">
        <f>Parameters!$B$32*'Pump Data'!$L$21^2+Parameters!$B$33*'Pump Data'!$L$21+Parameters!$B$34</f>
        <v>115.93397007999999</v>
      </c>
      <c r="G323" s="130">
        <f t="shared" si="17"/>
        <v>460.7818419490244</v>
      </c>
      <c r="H323" s="131">
        <f t="shared" si="18"/>
        <v>0.46078184194902438</v>
      </c>
      <c r="I323" s="126">
        <f t="shared" si="19"/>
        <v>12500</v>
      </c>
      <c r="J323" s="126">
        <f t="shared" si="20"/>
        <v>12.5</v>
      </c>
      <c r="K323" s="126">
        <f t="shared" si="21"/>
        <v>25000000</v>
      </c>
      <c r="L323" s="131">
        <f t="shared" si="22"/>
        <v>25</v>
      </c>
      <c r="M323" s="126">
        <f t="shared" si="23"/>
        <v>864</v>
      </c>
      <c r="N323" s="131">
        <f t="shared" si="24"/>
        <v>3.1103999999999998</v>
      </c>
      <c r="O323" s="131">
        <f t="shared" si="25"/>
        <v>28.571181841949024</v>
      </c>
      <c r="P323" s="8">
        <f t="shared" si="26"/>
        <v>206575.00000000012</v>
      </c>
      <c r="Q323" s="8">
        <f>IF(Parameters!$G$29="y",IF(INT($P323/Parameters!$K$29)&gt;INT($P322/Parameters!$K$29),1,0),0)</f>
        <v>0</v>
      </c>
      <c r="R323" s="8">
        <f>IF(Parameters!$G$30="y",IF(INT($P323/Parameters!$K$30)&gt;INT($P322/Parameters!$K$30),1,0),0)</f>
        <v>0</v>
      </c>
      <c r="S323" s="8">
        <f>IF(INT($P323/Parameters!$K$31)&gt;INT($P322/Parameters!$K$31),1,0)</f>
        <v>0</v>
      </c>
      <c r="T323" s="76">
        <f t="shared" si="14"/>
        <v>0</v>
      </c>
      <c r="U323" s="8">
        <f>C322/'Pump Data'!$L$21*1000/60</f>
        <v>7.1674578795494728E-2</v>
      </c>
      <c r="V323" s="8"/>
      <c r="W323" s="8"/>
    </row>
    <row r="324" spans="1:23" ht="14.25" x14ac:dyDescent="0.45">
      <c r="A324" s="125">
        <v>41952</v>
      </c>
      <c r="B324" s="126">
        <v>0</v>
      </c>
      <c r="C324" s="127">
        <f t="shared" si="15"/>
        <v>0</v>
      </c>
      <c r="D324" s="127">
        <f t="shared" si="16"/>
        <v>0.64100000000000001</v>
      </c>
      <c r="E324" s="127">
        <f t="shared" si="27"/>
        <v>31.321000000000005</v>
      </c>
      <c r="F324" s="130">
        <f>Parameters!$B$32*'Pump Data'!$L$21^2+Parameters!$B$33*'Pump Data'!$L$21+Parameters!$B$34</f>
        <v>115.93397007999999</v>
      </c>
      <c r="G324" s="130">
        <f t="shared" si="17"/>
        <v>0</v>
      </c>
      <c r="H324" s="131">
        <f t="shared" si="18"/>
        <v>0</v>
      </c>
      <c r="I324" s="126">
        <f t="shared" si="19"/>
        <v>0</v>
      </c>
      <c r="J324" s="126">
        <f t="shared" si="20"/>
        <v>0</v>
      </c>
      <c r="K324" s="126">
        <f t="shared" si="21"/>
        <v>0</v>
      </c>
      <c r="L324" s="131">
        <f t="shared" si="22"/>
        <v>0</v>
      </c>
      <c r="M324" s="126">
        <f t="shared" si="23"/>
        <v>864</v>
      </c>
      <c r="N324" s="131">
        <f t="shared" si="24"/>
        <v>3.1103999999999998</v>
      </c>
      <c r="O324" s="131">
        <f t="shared" si="25"/>
        <v>3.1103999999999998</v>
      </c>
      <c r="P324" s="8">
        <f t="shared" si="26"/>
        <v>206575.00000000012</v>
      </c>
      <c r="Q324" s="8">
        <f>IF(Parameters!$G$29="y",IF(INT($P324/Parameters!$K$29)&gt;INT($P323/Parameters!$K$29),1,0),0)</f>
        <v>0</v>
      </c>
      <c r="R324" s="8">
        <f>IF(Parameters!$G$30="y",IF(INT($P324/Parameters!$K$30)&gt;INT($P323/Parameters!$K$30),1,0),0)</f>
        <v>0</v>
      </c>
      <c r="S324" s="8">
        <f>IF(INT($P324/Parameters!$K$31)&gt;INT($P323/Parameters!$K$31),1,0)</f>
        <v>0</v>
      </c>
      <c r="T324" s="76">
        <f t="shared" si="14"/>
        <v>0</v>
      </c>
      <c r="U324" s="8">
        <f>C323/'Pump Data'!$L$21*1000/60</f>
        <v>1.1635483570697196</v>
      </c>
      <c r="V324" s="8"/>
      <c r="W324" s="8"/>
    </row>
    <row r="325" spans="1:23" ht="14.25" x14ac:dyDescent="0.45">
      <c r="A325" s="125">
        <v>41953</v>
      </c>
      <c r="B325" s="126">
        <v>0</v>
      </c>
      <c r="C325" s="127">
        <f t="shared" si="15"/>
        <v>0</v>
      </c>
      <c r="D325" s="127">
        <f t="shared" si="16"/>
        <v>0.64100000000000001</v>
      </c>
      <c r="E325" s="127">
        <f t="shared" si="27"/>
        <v>30.680000000000007</v>
      </c>
      <c r="F325" s="130">
        <f>Parameters!$B$32*'Pump Data'!$L$21^2+Parameters!$B$33*'Pump Data'!$L$21+Parameters!$B$34</f>
        <v>115.93397007999999</v>
      </c>
      <c r="G325" s="130">
        <f t="shared" si="17"/>
        <v>0</v>
      </c>
      <c r="H325" s="131">
        <f t="shared" si="18"/>
        <v>0</v>
      </c>
      <c r="I325" s="126">
        <f t="shared" si="19"/>
        <v>0</v>
      </c>
      <c r="J325" s="126">
        <f t="shared" si="20"/>
        <v>0</v>
      </c>
      <c r="K325" s="126">
        <f t="shared" si="21"/>
        <v>0</v>
      </c>
      <c r="L325" s="131">
        <f t="shared" si="22"/>
        <v>0</v>
      </c>
      <c r="M325" s="126">
        <f t="shared" si="23"/>
        <v>864</v>
      </c>
      <c r="N325" s="131">
        <f t="shared" si="24"/>
        <v>3.1103999999999998</v>
      </c>
      <c r="O325" s="131">
        <f t="shared" si="25"/>
        <v>3.1103999999999998</v>
      </c>
      <c r="P325" s="8">
        <f t="shared" si="26"/>
        <v>206575.00000000012</v>
      </c>
      <c r="Q325" s="8">
        <f>IF(Parameters!$G$29="y",IF(INT($P325/Parameters!$K$29)&gt;INT($P324/Parameters!$K$29),1,0),0)</f>
        <v>0</v>
      </c>
      <c r="R325" s="8">
        <f>IF(Parameters!$G$30="y",IF(INT($P325/Parameters!$K$30)&gt;INT($P324/Parameters!$K$30),1,0),0)</f>
        <v>0</v>
      </c>
      <c r="S325" s="8">
        <f>IF(INT($P325/Parameters!$K$31)&gt;INT($P324/Parameters!$K$31),1,0)</f>
        <v>0</v>
      </c>
      <c r="T325" s="76">
        <f t="shared" si="14"/>
        <v>0</v>
      </c>
      <c r="U325" s="8">
        <f>C324/'Pump Data'!$L$21*1000/60</f>
        <v>0</v>
      </c>
      <c r="V325" s="8"/>
      <c r="W325" s="8"/>
    </row>
    <row r="326" spans="1:23" ht="14.25" x14ac:dyDescent="0.45">
      <c r="A326" s="125">
        <v>41954</v>
      </c>
      <c r="B326" s="126">
        <v>0</v>
      </c>
      <c r="C326" s="127">
        <f t="shared" si="15"/>
        <v>0</v>
      </c>
      <c r="D326" s="127">
        <f t="shared" si="16"/>
        <v>0.64100000000000001</v>
      </c>
      <c r="E326" s="127">
        <f t="shared" si="27"/>
        <v>30.039000000000009</v>
      </c>
      <c r="F326" s="130">
        <f>Parameters!$B$32*'Pump Data'!$L$21^2+Parameters!$B$33*'Pump Data'!$L$21+Parameters!$B$34</f>
        <v>115.93397007999999</v>
      </c>
      <c r="G326" s="130">
        <f t="shared" si="17"/>
        <v>0</v>
      </c>
      <c r="H326" s="131">
        <f t="shared" si="18"/>
        <v>0</v>
      </c>
      <c r="I326" s="126">
        <f t="shared" si="19"/>
        <v>0</v>
      </c>
      <c r="J326" s="126">
        <f t="shared" si="20"/>
        <v>0</v>
      </c>
      <c r="K326" s="126">
        <f t="shared" si="21"/>
        <v>0</v>
      </c>
      <c r="L326" s="131">
        <f t="shared" si="22"/>
        <v>0</v>
      </c>
      <c r="M326" s="126">
        <f t="shared" si="23"/>
        <v>864</v>
      </c>
      <c r="N326" s="131">
        <f t="shared" si="24"/>
        <v>3.1103999999999998</v>
      </c>
      <c r="O326" s="131">
        <f t="shared" si="25"/>
        <v>3.1103999999999998</v>
      </c>
      <c r="P326" s="8">
        <f t="shared" si="26"/>
        <v>206575.00000000012</v>
      </c>
      <c r="Q326" s="8">
        <f>IF(Parameters!$G$29="y",IF(INT($P326/Parameters!$K$29)&gt;INT($P325/Parameters!$K$29),1,0),0)</f>
        <v>0</v>
      </c>
      <c r="R326" s="8">
        <f>IF(Parameters!$G$30="y",IF(INT($P326/Parameters!$K$30)&gt;INT($P325/Parameters!$K$30),1,0),0)</f>
        <v>0</v>
      </c>
      <c r="S326" s="8">
        <f>IF(INT($P326/Parameters!$K$31)&gt;INT($P325/Parameters!$K$31),1,0)</f>
        <v>0</v>
      </c>
      <c r="T326" s="76">
        <f t="shared" si="14"/>
        <v>0</v>
      </c>
      <c r="U326" s="8">
        <f>C325/'Pump Data'!$L$21*1000/60</f>
        <v>0</v>
      </c>
      <c r="V326" s="8"/>
      <c r="W326" s="8"/>
    </row>
    <row r="327" spans="1:23" ht="14.25" x14ac:dyDescent="0.45">
      <c r="A327" s="125">
        <v>41955</v>
      </c>
      <c r="B327" s="126">
        <v>0</v>
      </c>
      <c r="C327" s="127">
        <f t="shared" si="15"/>
        <v>0</v>
      </c>
      <c r="D327" s="127">
        <f t="shared" si="16"/>
        <v>0.64100000000000001</v>
      </c>
      <c r="E327" s="127">
        <f t="shared" si="27"/>
        <v>29.39800000000001</v>
      </c>
      <c r="F327" s="130">
        <f>Parameters!$B$32*'Pump Data'!$L$21^2+Parameters!$B$33*'Pump Data'!$L$21+Parameters!$B$34</f>
        <v>115.93397007999999</v>
      </c>
      <c r="G327" s="130">
        <f t="shared" si="17"/>
        <v>0</v>
      </c>
      <c r="H327" s="131">
        <f t="shared" si="18"/>
        <v>0</v>
      </c>
      <c r="I327" s="126">
        <f t="shared" si="19"/>
        <v>0</v>
      </c>
      <c r="J327" s="126">
        <f t="shared" si="20"/>
        <v>0</v>
      </c>
      <c r="K327" s="126">
        <f t="shared" si="21"/>
        <v>0</v>
      </c>
      <c r="L327" s="131">
        <f t="shared" si="22"/>
        <v>0</v>
      </c>
      <c r="M327" s="126">
        <f t="shared" si="23"/>
        <v>864</v>
      </c>
      <c r="N327" s="131">
        <f t="shared" si="24"/>
        <v>3.1103999999999998</v>
      </c>
      <c r="O327" s="131">
        <f t="shared" si="25"/>
        <v>3.1103999999999998</v>
      </c>
      <c r="P327" s="8">
        <f t="shared" si="26"/>
        <v>206575.00000000012</v>
      </c>
      <c r="Q327" s="8">
        <f>IF(Parameters!$G$29="y",IF(INT($P327/Parameters!$K$29)&gt;INT($P326/Parameters!$K$29),1,0),0)</f>
        <v>0</v>
      </c>
      <c r="R327" s="8">
        <f>IF(Parameters!$G$30="y",IF(INT($P327/Parameters!$K$30)&gt;INT($P326/Parameters!$K$30),1,0),0)</f>
        <v>0</v>
      </c>
      <c r="S327" s="8">
        <f>IF(INT($P327/Parameters!$K$31)&gt;INT($P326/Parameters!$K$31),1,0)</f>
        <v>0</v>
      </c>
      <c r="T327" s="76">
        <f t="shared" si="14"/>
        <v>0</v>
      </c>
      <c r="U327" s="8">
        <f>C326/'Pump Data'!$L$21*1000/60</f>
        <v>0</v>
      </c>
      <c r="V327" s="8"/>
      <c r="W327" s="8"/>
    </row>
    <row r="328" spans="1:23" ht="14.25" x14ac:dyDescent="0.45">
      <c r="A328" s="125">
        <v>41956</v>
      </c>
      <c r="B328" s="126">
        <v>0</v>
      </c>
      <c r="C328" s="127">
        <f t="shared" si="15"/>
        <v>0</v>
      </c>
      <c r="D328" s="127">
        <f t="shared" si="16"/>
        <v>0.64100000000000001</v>
      </c>
      <c r="E328" s="127">
        <f t="shared" si="27"/>
        <v>28.757000000000012</v>
      </c>
      <c r="F328" s="130">
        <f>Parameters!$B$32*'Pump Data'!$L$21^2+Parameters!$B$33*'Pump Data'!$L$21+Parameters!$B$34</f>
        <v>115.93397007999999</v>
      </c>
      <c r="G328" s="130">
        <f t="shared" si="17"/>
        <v>0</v>
      </c>
      <c r="H328" s="131">
        <f t="shared" si="18"/>
        <v>0</v>
      </c>
      <c r="I328" s="126">
        <f t="shared" si="19"/>
        <v>0</v>
      </c>
      <c r="J328" s="126">
        <f t="shared" si="20"/>
        <v>0</v>
      </c>
      <c r="K328" s="126">
        <f t="shared" si="21"/>
        <v>0</v>
      </c>
      <c r="L328" s="131">
        <f t="shared" si="22"/>
        <v>0</v>
      </c>
      <c r="M328" s="126">
        <f t="shared" si="23"/>
        <v>864</v>
      </c>
      <c r="N328" s="131">
        <f t="shared" si="24"/>
        <v>3.1103999999999998</v>
      </c>
      <c r="O328" s="131">
        <f t="shared" si="25"/>
        <v>3.1103999999999998</v>
      </c>
      <c r="P328" s="8">
        <f t="shared" si="26"/>
        <v>206575.00000000012</v>
      </c>
      <c r="Q328" s="8">
        <f>IF(Parameters!$G$29="y",IF(INT($P328/Parameters!$K$29)&gt;INT($P327/Parameters!$K$29),1,0),0)</f>
        <v>0</v>
      </c>
      <c r="R328" s="8">
        <f>IF(Parameters!$G$30="y",IF(INT($P328/Parameters!$K$30)&gt;INT($P327/Parameters!$K$30),1,0),0)</f>
        <v>0</v>
      </c>
      <c r="S328" s="8">
        <f>IF(INT($P328/Parameters!$K$31)&gt;INT($P327/Parameters!$K$31),1,0)</f>
        <v>0</v>
      </c>
      <c r="T328" s="76">
        <f t="shared" si="14"/>
        <v>0</v>
      </c>
      <c r="U328" s="8">
        <f>C327/'Pump Data'!$L$21*1000/60</f>
        <v>0</v>
      </c>
      <c r="V328" s="8"/>
      <c r="W328" s="8"/>
    </row>
    <row r="329" spans="1:23" ht="14.25" x14ac:dyDescent="0.45">
      <c r="A329" s="125">
        <v>41957</v>
      </c>
      <c r="B329" s="126">
        <v>0</v>
      </c>
      <c r="C329" s="127">
        <f t="shared" si="15"/>
        <v>0</v>
      </c>
      <c r="D329" s="127">
        <f t="shared" si="16"/>
        <v>0.64100000000000001</v>
      </c>
      <c r="E329" s="127">
        <f t="shared" si="27"/>
        <v>28.116000000000014</v>
      </c>
      <c r="F329" s="130">
        <f>Parameters!$B$32*'Pump Data'!$L$21^2+Parameters!$B$33*'Pump Data'!$L$21+Parameters!$B$34</f>
        <v>115.93397007999999</v>
      </c>
      <c r="G329" s="130">
        <f t="shared" si="17"/>
        <v>0</v>
      </c>
      <c r="H329" s="131">
        <f t="shared" si="18"/>
        <v>0</v>
      </c>
      <c r="I329" s="126">
        <f t="shared" si="19"/>
        <v>0</v>
      </c>
      <c r="J329" s="126">
        <f t="shared" si="20"/>
        <v>0</v>
      </c>
      <c r="K329" s="126">
        <f t="shared" si="21"/>
        <v>0</v>
      </c>
      <c r="L329" s="131">
        <f t="shared" si="22"/>
        <v>0</v>
      </c>
      <c r="M329" s="126">
        <f t="shared" si="23"/>
        <v>864</v>
      </c>
      <c r="N329" s="131">
        <f t="shared" si="24"/>
        <v>3.1103999999999998</v>
      </c>
      <c r="O329" s="131">
        <f t="shared" si="25"/>
        <v>3.1103999999999998</v>
      </c>
      <c r="P329" s="8">
        <f t="shared" si="26"/>
        <v>206575.00000000012</v>
      </c>
      <c r="Q329" s="8">
        <f>IF(Parameters!$G$29="y",IF(INT($P329/Parameters!$K$29)&gt;INT($P328/Parameters!$K$29),1,0),0)</f>
        <v>0</v>
      </c>
      <c r="R329" s="8">
        <f>IF(Parameters!$G$30="y",IF(INT($P329/Parameters!$K$30)&gt;INT($P328/Parameters!$K$30),1,0),0)</f>
        <v>0</v>
      </c>
      <c r="S329" s="8">
        <f>IF(INT($P329/Parameters!$K$31)&gt;INT($P328/Parameters!$K$31),1,0)</f>
        <v>0</v>
      </c>
      <c r="T329" s="76">
        <f t="shared" si="14"/>
        <v>0</v>
      </c>
      <c r="U329" s="8">
        <f>C328/'Pump Data'!$L$21*1000/60</f>
        <v>0</v>
      </c>
      <c r="V329" s="8"/>
      <c r="W329" s="8"/>
    </row>
    <row r="330" spans="1:23" ht="14.25" x14ac:dyDescent="0.45">
      <c r="A330" s="125">
        <v>41958</v>
      </c>
      <c r="B330" s="126">
        <v>0</v>
      </c>
      <c r="C330" s="127">
        <f t="shared" si="15"/>
        <v>0</v>
      </c>
      <c r="D330" s="127">
        <f t="shared" si="16"/>
        <v>0.64100000000000001</v>
      </c>
      <c r="E330" s="127">
        <f t="shared" si="27"/>
        <v>27.475000000000016</v>
      </c>
      <c r="F330" s="130">
        <f>Parameters!$B$32*'Pump Data'!$L$21^2+Parameters!$B$33*'Pump Data'!$L$21+Parameters!$B$34</f>
        <v>115.93397007999999</v>
      </c>
      <c r="G330" s="130">
        <f t="shared" si="17"/>
        <v>0</v>
      </c>
      <c r="H330" s="131">
        <f t="shared" si="18"/>
        <v>0</v>
      </c>
      <c r="I330" s="126">
        <f t="shared" si="19"/>
        <v>0</v>
      </c>
      <c r="J330" s="126">
        <f t="shared" si="20"/>
        <v>0</v>
      </c>
      <c r="K330" s="126">
        <f t="shared" si="21"/>
        <v>0</v>
      </c>
      <c r="L330" s="131">
        <f t="shared" si="22"/>
        <v>0</v>
      </c>
      <c r="M330" s="126">
        <f t="shared" si="23"/>
        <v>864</v>
      </c>
      <c r="N330" s="131">
        <f t="shared" si="24"/>
        <v>3.1103999999999998</v>
      </c>
      <c r="O330" s="131">
        <f t="shared" si="25"/>
        <v>3.1103999999999998</v>
      </c>
      <c r="P330" s="8">
        <f t="shared" si="26"/>
        <v>206575.00000000012</v>
      </c>
      <c r="Q330" s="8">
        <f>IF(Parameters!$G$29="y",IF(INT($P330/Parameters!$K$29)&gt;INT($P329/Parameters!$K$29),1,0),0)</f>
        <v>0</v>
      </c>
      <c r="R330" s="8">
        <f>IF(Parameters!$G$30="y",IF(INT($P330/Parameters!$K$30)&gt;INT($P329/Parameters!$K$30),1,0),0)</f>
        <v>0</v>
      </c>
      <c r="S330" s="8">
        <f>IF(INT($P330/Parameters!$K$31)&gt;INT($P329/Parameters!$K$31),1,0)</f>
        <v>0</v>
      </c>
      <c r="T330" s="76">
        <f t="shared" si="14"/>
        <v>0</v>
      </c>
      <c r="U330" s="8">
        <f>C329/'Pump Data'!$L$21*1000/60</f>
        <v>0</v>
      </c>
      <c r="V330" s="8"/>
      <c r="W330" s="8"/>
    </row>
    <row r="331" spans="1:23" ht="14.25" x14ac:dyDescent="0.45">
      <c r="A331" s="125">
        <v>41959</v>
      </c>
      <c r="B331" s="126">
        <v>0</v>
      </c>
      <c r="C331" s="127">
        <f t="shared" si="15"/>
        <v>0</v>
      </c>
      <c r="D331" s="127">
        <f t="shared" si="16"/>
        <v>0.64100000000000001</v>
      </c>
      <c r="E331" s="127">
        <f t="shared" si="27"/>
        <v>26.834000000000017</v>
      </c>
      <c r="F331" s="130">
        <f>Parameters!$B$32*'Pump Data'!$L$21^2+Parameters!$B$33*'Pump Data'!$L$21+Parameters!$B$34</f>
        <v>115.93397007999999</v>
      </c>
      <c r="G331" s="130">
        <f t="shared" si="17"/>
        <v>0</v>
      </c>
      <c r="H331" s="131">
        <f t="shared" si="18"/>
        <v>0</v>
      </c>
      <c r="I331" s="126">
        <f t="shared" si="19"/>
        <v>0</v>
      </c>
      <c r="J331" s="126">
        <f t="shared" si="20"/>
        <v>0</v>
      </c>
      <c r="K331" s="126">
        <f t="shared" si="21"/>
        <v>0</v>
      </c>
      <c r="L331" s="131">
        <f t="shared" si="22"/>
        <v>0</v>
      </c>
      <c r="M331" s="126">
        <f t="shared" si="23"/>
        <v>864</v>
      </c>
      <c r="N331" s="131">
        <f t="shared" si="24"/>
        <v>3.1103999999999998</v>
      </c>
      <c r="O331" s="131">
        <f t="shared" si="25"/>
        <v>3.1103999999999998</v>
      </c>
      <c r="P331" s="8">
        <f t="shared" si="26"/>
        <v>206575.00000000012</v>
      </c>
      <c r="Q331" s="8">
        <f>IF(Parameters!$G$29="y",IF(INT($P331/Parameters!$K$29)&gt;INT($P330/Parameters!$K$29),1,0),0)</f>
        <v>0</v>
      </c>
      <c r="R331" s="8">
        <f>IF(Parameters!$G$30="y",IF(INT($P331/Parameters!$K$30)&gt;INT($P330/Parameters!$K$30),1,0),0)</f>
        <v>0</v>
      </c>
      <c r="S331" s="8">
        <f>IF(INT($P331/Parameters!$K$31)&gt;INT($P330/Parameters!$K$31),1,0)</f>
        <v>0</v>
      </c>
      <c r="T331" s="76">
        <f t="shared" si="14"/>
        <v>0</v>
      </c>
      <c r="U331" s="8">
        <f>C330/'Pump Data'!$L$21*1000/60</f>
        <v>0</v>
      </c>
      <c r="V331" s="8"/>
      <c r="W331" s="8"/>
    </row>
    <row r="332" spans="1:23" ht="14.25" x14ac:dyDescent="0.45">
      <c r="A332" s="125">
        <v>41960</v>
      </c>
      <c r="B332" s="126">
        <v>0</v>
      </c>
      <c r="C332" s="127">
        <f t="shared" si="15"/>
        <v>0</v>
      </c>
      <c r="D332" s="127">
        <f t="shared" si="16"/>
        <v>0.64100000000000001</v>
      </c>
      <c r="E332" s="127">
        <f t="shared" si="27"/>
        <v>26.193000000000019</v>
      </c>
      <c r="F332" s="130">
        <f>Parameters!$B$32*'Pump Data'!$L$21^2+Parameters!$B$33*'Pump Data'!$L$21+Parameters!$B$34</f>
        <v>115.93397007999999</v>
      </c>
      <c r="G332" s="130">
        <f t="shared" si="17"/>
        <v>0</v>
      </c>
      <c r="H332" s="131">
        <f t="shared" si="18"/>
        <v>0</v>
      </c>
      <c r="I332" s="126">
        <f t="shared" si="19"/>
        <v>0</v>
      </c>
      <c r="J332" s="126">
        <f t="shared" si="20"/>
        <v>0</v>
      </c>
      <c r="K332" s="126">
        <f t="shared" si="21"/>
        <v>0</v>
      </c>
      <c r="L332" s="131">
        <f t="shared" si="22"/>
        <v>0</v>
      </c>
      <c r="M332" s="126">
        <f t="shared" si="23"/>
        <v>864</v>
      </c>
      <c r="N332" s="131">
        <f t="shared" si="24"/>
        <v>3.1103999999999998</v>
      </c>
      <c r="O332" s="131">
        <f t="shared" si="25"/>
        <v>3.1103999999999998</v>
      </c>
      <c r="P332" s="8">
        <f t="shared" si="26"/>
        <v>206575.00000000012</v>
      </c>
      <c r="Q332" s="8">
        <f>IF(Parameters!$G$29="y",IF(INT($P332/Parameters!$K$29)&gt;INT($P331/Parameters!$K$29),1,0),0)</f>
        <v>0</v>
      </c>
      <c r="R332" s="8">
        <f>IF(Parameters!$G$30="y",IF(INT($P332/Parameters!$K$30)&gt;INT($P331/Parameters!$K$30),1,0),0)</f>
        <v>0</v>
      </c>
      <c r="S332" s="8">
        <f>IF(INT($P332/Parameters!$K$31)&gt;INT($P331/Parameters!$K$31),1,0)</f>
        <v>0</v>
      </c>
      <c r="T332" s="76">
        <f t="shared" si="14"/>
        <v>0</v>
      </c>
      <c r="U332" s="8">
        <f>C331/'Pump Data'!$L$21*1000/60</f>
        <v>0</v>
      </c>
      <c r="V332" s="8"/>
      <c r="W332" s="8"/>
    </row>
    <row r="333" spans="1:23" ht="14.25" x14ac:dyDescent="0.45">
      <c r="A333" s="125">
        <v>41961</v>
      </c>
      <c r="B333" s="126">
        <v>0</v>
      </c>
      <c r="C333" s="127">
        <f t="shared" si="15"/>
        <v>0</v>
      </c>
      <c r="D333" s="127">
        <f t="shared" si="16"/>
        <v>0.64100000000000001</v>
      </c>
      <c r="E333" s="127">
        <f t="shared" si="27"/>
        <v>25.552000000000021</v>
      </c>
      <c r="F333" s="130">
        <f>Parameters!$B$32*'Pump Data'!$L$21^2+Parameters!$B$33*'Pump Data'!$L$21+Parameters!$B$34</f>
        <v>115.93397007999999</v>
      </c>
      <c r="G333" s="130">
        <f t="shared" si="17"/>
        <v>0</v>
      </c>
      <c r="H333" s="131">
        <f t="shared" si="18"/>
        <v>0</v>
      </c>
      <c r="I333" s="126">
        <f t="shared" si="19"/>
        <v>0</v>
      </c>
      <c r="J333" s="126">
        <f t="shared" si="20"/>
        <v>0</v>
      </c>
      <c r="K333" s="126">
        <f t="shared" si="21"/>
        <v>0</v>
      </c>
      <c r="L333" s="131">
        <f t="shared" si="22"/>
        <v>0</v>
      </c>
      <c r="M333" s="126">
        <f t="shared" si="23"/>
        <v>864</v>
      </c>
      <c r="N333" s="131">
        <f t="shared" si="24"/>
        <v>3.1103999999999998</v>
      </c>
      <c r="O333" s="131">
        <f t="shared" si="25"/>
        <v>3.1103999999999998</v>
      </c>
      <c r="P333" s="8">
        <f t="shared" si="26"/>
        <v>206575.00000000012</v>
      </c>
      <c r="Q333" s="8">
        <f>IF(Parameters!$G$29="y",IF(INT($P333/Parameters!$K$29)&gt;INT($P332/Parameters!$K$29),1,0),0)</f>
        <v>0</v>
      </c>
      <c r="R333" s="8">
        <f>IF(Parameters!$G$30="y",IF(INT($P333/Parameters!$K$30)&gt;INT($P332/Parameters!$K$30),1,0),0)</f>
        <v>0</v>
      </c>
      <c r="S333" s="8">
        <f>IF(INT($P333/Parameters!$K$31)&gt;INT($P332/Parameters!$K$31),1,0)</f>
        <v>0</v>
      </c>
      <c r="T333" s="76">
        <f t="shared" si="14"/>
        <v>0</v>
      </c>
      <c r="U333" s="8">
        <f>C332/'Pump Data'!$L$21*1000/60</f>
        <v>0</v>
      </c>
      <c r="V333" s="8"/>
      <c r="W333" s="8"/>
    </row>
    <row r="334" spans="1:23" ht="14.25" x14ac:dyDescent="0.45">
      <c r="A334" s="125">
        <v>41962</v>
      </c>
      <c r="B334" s="126">
        <v>3.4</v>
      </c>
      <c r="C334" s="127">
        <f t="shared" si="15"/>
        <v>0.374</v>
      </c>
      <c r="D334" s="127">
        <f t="shared" si="16"/>
        <v>0.64100000000000001</v>
      </c>
      <c r="E334" s="127">
        <f t="shared" si="27"/>
        <v>25.285000000000018</v>
      </c>
      <c r="F334" s="130">
        <f>Parameters!$B$32*'Pump Data'!$L$21^2+Parameters!$B$33*'Pump Data'!$L$21+Parameters!$B$34</f>
        <v>115.93397007999999</v>
      </c>
      <c r="G334" s="130">
        <f t="shared" si="17"/>
        <v>68.932963555574048</v>
      </c>
      <c r="H334" s="131">
        <f t="shared" si="18"/>
        <v>6.8932963555574045E-2</v>
      </c>
      <c r="I334" s="126">
        <f t="shared" si="19"/>
        <v>1870</v>
      </c>
      <c r="J334" s="126">
        <f t="shared" si="20"/>
        <v>1.87</v>
      </c>
      <c r="K334" s="126">
        <f t="shared" si="21"/>
        <v>3740000</v>
      </c>
      <c r="L334" s="131">
        <f t="shared" si="22"/>
        <v>3.74</v>
      </c>
      <c r="M334" s="126">
        <f t="shared" si="23"/>
        <v>864</v>
      </c>
      <c r="N334" s="131">
        <f t="shared" si="24"/>
        <v>3.1103999999999998</v>
      </c>
      <c r="O334" s="131">
        <f t="shared" si="25"/>
        <v>6.9193329635555738</v>
      </c>
      <c r="P334" s="8">
        <f t="shared" si="26"/>
        <v>206949.00000000009</v>
      </c>
      <c r="Q334" s="8">
        <f>IF(Parameters!$G$29="y",IF(INT($P334/Parameters!$K$29)&gt;INT($P333/Parameters!$K$29),1,0),0)</f>
        <v>0</v>
      </c>
      <c r="R334" s="8">
        <f>IF(Parameters!$G$30="y",IF(INT($P334/Parameters!$K$30)&gt;INT($P333/Parameters!$K$30),1,0),0)</f>
        <v>0</v>
      </c>
      <c r="S334" s="8">
        <f>IF(INT($P334/Parameters!$K$31)&gt;INT($P333/Parameters!$K$31),1,0)</f>
        <v>0</v>
      </c>
      <c r="T334" s="76">
        <f t="shared" si="14"/>
        <v>0</v>
      </c>
      <c r="U334" s="8">
        <f>C333/'Pump Data'!$L$21*1000/60</f>
        <v>0</v>
      </c>
      <c r="V334" s="8"/>
      <c r="W334" s="8"/>
    </row>
    <row r="335" spans="1:23" ht="14.25" x14ac:dyDescent="0.45">
      <c r="A335" s="125">
        <v>41963</v>
      </c>
      <c r="B335" s="126">
        <v>29.4</v>
      </c>
      <c r="C335" s="127">
        <f t="shared" si="15"/>
        <v>2.5</v>
      </c>
      <c r="D335" s="127">
        <f t="shared" si="16"/>
        <v>0.64100000000000001</v>
      </c>
      <c r="E335" s="127">
        <f t="shared" si="27"/>
        <v>27.14400000000002</v>
      </c>
      <c r="F335" s="130">
        <f>Parameters!$B$32*'Pump Data'!$L$21^2+Parameters!$B$33*'Pump Data'!$L$21+Parameters!$B$34</f>
        <v>115.93397007999999</v>
      </c>
      <c r="G335" s="130">
        <f t="shared" si="17"/>
        <v>460.7818419490244</v>
      </c>
      <c r="H335" s="131">
        <f t="shared" si="18"/>
        <v>0.46078184194902438</v>
      </c>
      <c r="I335" s="126">
        <f t="shared" si="19"/>
        <v>12500</v>
      </c>
      <c r="J335" s="126">
        <f t="shared" si="20"/>
        <v>12.5</v>
      </c>
      <c r="K335" s="126">
        <f t="shared" si="21"/>
        <v>25000000</v>
      </c>
      <c r="L335" s="131">
        <f t="shared" si="22"/>
        <v>25</v>
      </c>
      <c r="M335" s="126">
        <f t="shared" si="23"/>
        <v>864</v>
      </c>
      <c r="N335" s="131">
        <f t="shared" si="24"/>
        <v>3.1103999999999998</v>
      </c>
      <c r="O335" s="131">
        <f t="shared" si="25"/>
        <v>28.571181841949024</v>
      </c>
      <c r="P335" s="8">
        <f t="shared" si="26"/>
        <v>209449.00000000009</v>
      </c>
      <c r="Q335" s="8">
        <f>IF(Parameters!$G$29="y",IF(INT($P335/Parameters!$K$29)&gt;INT($P334/Parameters!$K$29),1,0),0)</f>
        <v>0</v>
      </c>
      <c r="R335" s="8">
        <f>IF(Parameters!$G$30="y",IF(INT($P335/Parameters!$K$30)&gt;INT($P334/Parameters!$K$30),1,0),0)</f>
        <v>0</v>
      </c>
      <c r="S335" s="8">
        <f>IF(INT($P335/Parameters!$K$31)&gt;INT($P334/Parameters!$K$31),1,0)</f>
        <v>0</v>
      </c>
      <c r="T335" s="76">
        <f t="shared" si="14"/>
        <v>0</v>
      </c>
      <c r="U335" s="8">
        <f>C334/'Pump Data'!$L$21*1000/60</f>
        <v>0.17406683421763006</v>
      </c>
      <c r="V335" s="8"/>
      <c r="W335" s="8"/>
    </row>
    <row r="336" spans="1:23" ht="14.25" x14ac:dyDescent="0.45">
      <c r="A336" s="125">
        <v>41964</v>
      </c>
      <c r="B336" s="126">
        <v>32.799999999999997</v>
      </c>
      <c r="C336" s="127">
        <f t="shared" si="15"/>
        <v>2.5</v>
      </c>
      <c r="D336" s="127">
        <f t="shared" si="16"/>
        <v>0.64100000000000001</v>
      </c>
      <c r="E336" s="127">
        <f t="shared" si="27"/>
        <v>29.003000000000021</v>
      </c>
      <c r="F336" s="130">
        <f>Parameters!$B$32*'Pump Data'!$L$21^2+Parameters!$B$33*'Pump Data'!$L$21+Parameters!$B$34</f>
        <v>115.93397007999999</v>
      </c>
      <c r="G336" s="130">
        <f t="shared" si="17"/>
        <v>460.7818419490244</v>
      </c>
      <c r="H336" s="131">
        <f t="shared" si="18"/>
        <v>0.46078184194902438</v>
      </c>
      <c r="I336" s="126">
        <f t="shared" si="19"/>
        <v>12500</v>
      </c>
      <c r="J336" s="126">
        <f t="shared" si="20"/>
        <v>12.5</v>
      </c>
      <c r="K336" s="126">
        <f t="shared" si="21"/>
        <v>25000000</v>
      </c>
      <c r="L336" s="131">
        <f t="shared" si="22"/>
        <v>25</v>
      </c>
      <c r="M336" s="126">
        <f t="shared" si="23"/>
        <v>864</v>
      </c>
      <c r="N336" s="131">
        <f t="shared" si="24"/>
        <v>3.1103999999999998</v>
      </c>
      <c r="O336" s="131">
        <f t="shared" si="25"/>
        <v>28.571181841949024</v>
      </c>
      <c r="P336" s="8">
        <f t="shared" si="26"/>
        <v>211949.00000000009</v>
      </c>
      <c r="Q336" s="8">
        <f>IF(Parameters!$G$29="y",IF(INT($P336/Parameters!$K$29)&gt;INT($P335/Parameters!$K$29),1,0),0)</f>
        <v>0</v>
      </c>
      <c r="R336" s="8">
        <f>IF(Parameters!$G$30="y",IF(INT($P336/Parameters!$K$30)&gt;INT($P335/Parameters!$K$30),1,0),0)</f>
        <v>0</v>
      </c>
      <c r="S336" s="8">
        <f>IF(INT($P336/Parameters!$K$31)&gt;INT($P335/Parameters!$K$31),1,0)</f>
        <v>0</v>
      </c>
      <c r="T336" s="76">
        <f t="shared" si="14"/>
        <v>0</v>
      </c>
      <c r="U336" s="8">
        <f>C335/'Pump Data'!$L$21*1000/60</f>
        <v>1.1635483570697196</v>
      </c>
      <c r="V336" s="8"/>
      <c r="W336" s="8"/>
    </row>
    <row r="337" spans="1:23" ht="14.25" x14ac:dyDescent="0.45">
      <c r="A337" s="125">
        <v>41965</v>
      </c>
      <c r="B337" s="126">
        <v>25.6</v>
      </c>
      <c r="C337" s="127">
        <f t="shared" si="15"/>
        <v>2.5</v>
      </c>
      <c r="D337" s="127">
        <f t="shared" si="16"/>
        <v>0.64100000000000001</v>
      </c>
      <c r="E337" s="127">
        <f t="shared" si="27"/>
        <v>30.862000000000023</v>
      </c>
      <c r="F337" s="130">
        <f>Parameters!$B$32*'Pump Data'!$L$21^2+Parameters!$B$33*'Pump Data'!$L$21+Parameters!$B$34</f>
        <v>115.93397007999999</v>
      </c>
      <c r="G337" s="130">
        <f t="shared" si="17"/>
        <v>460.7818419490244</v>
      </c>
      <c r="H337" s="131">
        <f t="shared" si="18"/>
        <v>0.46078184194902438</v>
      </c>
      <c r="I337" s="126">
        <f t="shared" si="19"/>
        <v>12500</v>
      </c>
      <c r="J337" s="126">
        <f t="shared" si="20"/>
        <v>12.5</v>
      </c>
      <c r="K337" s="126">
        <f t="shared" si="21"/>
        <v>25000000</v>
      </c>
      <c r="L337" s="131">
        <f t="shared" si="22"/>
        <v>25</v>
      </c>
      <c r="M337" s="126">
        <f t="shared" si="23"/>
        <v>864</v>
      </c>
      <c r="N337" s="131">
        <f t="shared" si="24"/>
        <v>3.1103999999999998</v>
      </c>
      <c r="O337" s="131">
        <f t="shared" si="25"/>
        <v>28.571181841949024</v>
      </c>
      <c r="P337" s="8">
        <f t="shared" si="26"/>
        <v>214449.00000000009</v>
      </c>
      <c r="Q337" s="8">
        <f>IF(Parameters!$G$29="y",IF(INT($P337/Parameters!$K$29)&gt;INT($P336/Parameters!$K$29),1,0),0)</f>
        <v>0</v>
      </c>
      <c r="R337" s="8">
        <f>IF(Parameters!$G$30="y",IF(INT($P337/Parameters!$K$30)&gt;INT($P336/Parameters!$K$30),1,0),0)</f>
        <v>0</v>
      </c>
      <c r="S337" s="8">
        <f>IF(INT($P337/Parameters!$K$31)&gt;INT($P336/Parameters!$K$31),1,0)</f>
        <v>0</v>
      </c>
      <c r="T337" s="76">
        <f t="shared" si="14"/>
        <v>0</v>
      </c>
      <c r="U337" s="8">
        <f>C336/'Pump Data'!$L$21*1000/60</f>
        <v>1.1635483570697196</v>
      </c>
      <c r="V337" s="8"/>
      <c r="W337" s="8"/>
    </row>
    <row r="338" spans="1:23" ht="14.25" x14ac:dyDescent="0.45">
      <c r="A338" s="125">
        <v>41966</v>
      </c>
      <c r="B338" s="126">
        <v>15.2</v>
      </c>
      <c r="C338" s="127">
        <f t="shared" si="15"/>
        <v>1.6719999999999999</v>
      </c>
      <c r="D338" s="127">
        <f t="shared" si="16"/>
        <v>0.64100000000000001</v>
      </c>
      <c r="E338" s="127">
        <f t="shared" si="27"/>
        <v>31.893000000000022</v>
      </c>
      <c r="F338" s="130">
        <f>Parameters!$B$32*'Pump Data'!$L$21^2+Parameters!$B$33*'Pump Data'!$L$21+Parameters!$B$34</f>
        <v>115.93397007999999</v>
      </c>
      <c r="G338" s="130">
        <f t="shared" si="17"/>
        <v>308.1708958955075</v>
      </c>
      <c r="H338" s="131">
        <f t="shared" si="18"/>
        <v>0.3081708958955075</v>
      </c>
      <c r="I338" s="126">
        <f t="shared" si="19"/>
        <v>8360</v>
      </c>
      <c r="J338" s="126">
        <f t="shared" si="20"/>
        <v>8.36</v>
      </c>
      <c r="K338" s="126">
        <f t="shared" si="21"/>
        <v>16719999.999999998</v>
      </c>
      <c r="L338" s="131">
        <f t="shared" si="22"/>
        <v>16.72</v>
      </c>
      <c r="M338" s="126">
        <f t="shared" si="23"/>
        <v>864</v>
      </c>
      <c r="N338" s="131">
        <f t="shared" si="24"/>
        <v>3.1103999999999998</v>
      </c>
      <c r="O338" s="131">
        <f t="shared" si="25"/>
        <v>20.138570895895505</v>
      </c>
      <c r="P338" s="8">
        <f t="shared" si="26"/>
        <v>216121.00000000009</v>
      </c>
      <c r="Q338" s="8">
        <f>IF(Parameters!$G$29="y",IF(INT($P338/Parameters!$K$29)&gt;INT($P337/Parameters!$K$29),1,0),0)</f>
        <v>0</v>
      </c>
      <c r="R338" s="8">
        <f>IF(Parameters!$G$30="y",IF(INT($P338/Parameters!$K$30)&gt;INT($P337/Parameters!$K$30),1,0),0)</f>
        <v>0</v>
      </c>
      <c r="S338" s="8">
        <f>IF(INT($P338/Parameters!$K$31)&gt;INT($P337/Parameters!$K$31),1,0)</f>
        <v>0</v>
      </c>
      <c r="T338" s="76">
        <f t="shared" si="14"/>
        <v>0</v>
      </c>
      <c r="U338" s="8">
        <f>C337/'Pump Data'!$L$21*1000/60</f>
        <v>1.1635483570697196</v>
      </c>
      <c r="V338" s="8"/>
      <c r="W338" s="8"/>
    </row>
    <row r="339" spans="1:23" ht="14.25" x14ac:dyDescent="0.45">
      <c r="A339" s="125">
        <v>41967</v>
      </c>
      <c r="B339" s="126">
        <v>60.6</v>
      </c>
      <c r="C339" s="127">
        <f t="shared" si="15"/>
        <v>2.5</v>
      </c>
      <c r="D339" s="127">
        <f t="shared" si="16"/>
        <v>0.64100000000000001</v>
      </c>
      <c r="E339" s="127">
        <f t="shared" si="27"/>
        <v>33.752000000000024</v>
      </c>
      <c r="F339" s="130">
        <f>Parameters!$B$32*'Pump Data'!$L$21^2+Parameters!$B$33*'Pump Data'!$L$21+Parameters!$B$34</f>
        <v>115.93397007999999</v>
      </c>
      <c r="G339" s="130">
        <f t="shared" si="17"/>
        <v>460.7818419490244</v>
      </c>
      <c r="H339" s="131">
        <f t="shared" si="18"/>
        <v>0.46078184194902438</v>
      </c>
      <c r="I339" s="126">
        <f t="shared" si="19"/>
        <v>12500</v>
      </c>
      <c r="J339" s="126">
        <f t="shared" si="20"/>
        <v>12.5</v>
      </c>
      <c r="K339" s="126">
        <f t="shared" si="21"/>
        <v>25000000</v>
      </c>
      <c r="L339" s="131">
        <f t="shared" si="22"/>
        <v>25</v>
      </c>
      <c r="M339" s="126">
        <f t="shared" si="23"/>
        <v>864</v>
      </c>
      <c r="N339" s="131">
        <f t="shared" si="24"/>
        <v>3.1103999999999998</v>
      </c>
      <c r="O339" s="131">
        <f t="shared" si="25"/>
        <v>28.571181841949024</v>
      </c>
      <c r="P339" s="8">
        <f t="shared" si="26"/>
        <v>218621.00000000009</v>
      </c>
      <c r="Q339" s="8">
        <f>IF(Parameters!$G$29="y",IF(INT($P339/Parameters!$K$29)&gt;INT($P338/Parameters!$K$29),1,0),0)</f>
        <v>0</v>
      </c>
      <c r="R339" s="8">
        <f>IF(Parameters!$G$30="y",IF(INT($P339/Parameters!$K$30)&gt;INT($P338/Parameters!$K$30),1,0),0)</f>
        <v>0</v>
      </c>
      <c r="S339" s="8">
        <f>IF(INT($P339/Parameters!$K$31)&gt;INT($P338/Parameters!$K$31),1,0)</f>
        <v>0</v>
      </c>
      <c r="T339" s="76">
        <f t="shared" si="14"/>
        <v>0</v>
      </c>
      <c r="U339" s="8">
        <f>C338/'Pump Data'!$L$21*1000/60</f>
        <v>0.77818114120822857</v>
      </c>
      <c r="V339" s="8"/>
      <c r="W339" s="8"/>
    </row>
    <row r="340" spans="1:23" ht="14.25" x14ac:dyDescent="0.45">
      <c r="A340" s="125">
        <v>41968</v>
      </c>
      <c r="B340" s="126">
        <v>15</v>
      </c>
      <c r="C340" s="127">
        <f t="shared" si="15"/>
        <v>1.65</v>
      </c>
      <c r="D340" s="127">
        <f t="shared" si="16"/>
        <v>0.64100000000000001</v>
      </c>
      <c r="E340" s="127">
        <f t="shared" si="27"/>
        <v>34.761000000000024</v>
      </c>
      <c r="F340" s="130">
        <f>Parameters!$B$32*'Pump Data'!$L$21^2+Parameters!$B$33*'Pump Data'!$L$21+Parameters!$B$34</f>
        <v>115.93397007999999</v>
      </c>
      <c r="G340" s="130">
        <f t="shared" si="17"/>
        <v>304.11601568635609</v>
      </c>
      <c r="H340" s="131">
        <f t="shared" si="18"/>
        <v>0.3041160156863561</v>
      </c>
      <c r="I340" s="126">
        <f t="shared" si="19"/>
        <v>8250</v>
      </c>
      <c r="J340" s="126">
        <f t="shared" si="20"/>
        <v>8.25</v>
      </c>
      <c r="K340" s="126">
        <f t="shared" si="21"/>
        <v>16500000</v>
      </c>
      <c r="L340" s="131">
        <f t="shared" si="22"/>
        <v>16.5</v>
      </c>
      <c r="M340" s="126">
        <f t="shared" si="23"/>
        <v>864</v>
      </c>
      <c r="N340" s="131">
        <f t="shared" si="24"/>
        <v>3.1103999999999998</v>
      </c>
      <c r="O340" s="131">
        <f t="shared" si="25"/>
        <v>19.914516015686356</v>
      </c>
      <c r="P340" s="8">
        <f t="shared" si="26"/>
        <v>220271.00000000009</v>
      </c>
      <c r="Q340" s="8">
        <f>IF(Parameters!$G$29="y",IF(INT($P340/Parameters!$K$29)&gt;INT($P339/Parameters!$K$29),1,0),0)</f>
        <v>0</v>
      </c>
      <c r="R340" s="8">
        <f>IF(Parameters!$G$30="y",IF(INT($P340/Parameters!$K$30)&gt;INT($P339/Parameters!$K$30),1,0),0)</f>
        <v>1</v>
      </c>
      <c r="S340" s="8">
        <f>IF(INT($P340/Parameters!$K$31)&gt;INT($P339/Parameters!$K$31),1,0)</f>
        <v>1</v>
      </c>
      <c r="T340" s="76">
        <f t="shared" si="14"/>
        <v>1</v>
      </c>
      <c r="U340" s="8">
        <f>C339/'Pump Data'!$L$21*1000/60</f>
        <v>1.1635483570697196</v>
      </c>
      <c r="V340" s="8"/>
      <c r="W340" s="8"/>
    </row>
    <row r="341" spans="1:23" ht="14.25" x14ac:dyDescent="0.45">
      <c r="A341" s="125">
        <v>41969</v>
      </c>
      <c r="B341" s="126">
        <v>43</v>
      </c>
      <c r="C341" s="127">
        <f t="shared" si="15"/>
        <v>2.5</v>
      </c>
      <c r="D341" s="127">
        <f t="shared" si="16"/>
        <v>0.64100000000000001</v>
      </c>
      <c r="E341" s="127">
        <f t="shared" si="27"/>
        <v>36.620000000000026</v>
      </c>
      <c r="F341" s="130">
        <f>Parameters!$B$32*'Pump Data'!$L$21^2+Parameters!$B$33*'Pump Data'!$L$21+Parameters!$B$34</f>
        <v>115.93397007999999</v>
      </c>
      <c r="G341" s="130">
        <f t="shared" si="17"/>
        <v>460.7818419490244</v>
      </c>
      <c r="H341" s="131">
        <f t="shared" si="18"/>
        <v>0.46078184194902438</v>
      </c>
      <c r="I341" s="126">
        <f t="shared" si="19"/>
        <v>12500</v>
      </c>
      <c r="J341" s="126">
        <f t="shared" si="20"/>
        <v>12.5</v>
      </c>
      <c r="K341" s="126">
        <f t="shared" si="21"/>
        <v>25000000</v>
      </c>
      <c r="L341" s="131">
        <f t="shared" si="22"/>
        <v>25</v>
      </c>
      <c r="M341" s="126">
        <f t="shared" si="23"/>
        <v>864</v>
      </c>
      <c r="N341" s="131">
        <f t="shared" si="24"/>
        <v>3.1103999999999998</v>
      </c>
      <c r="O341" s="131">
        <f t="shared" si="25"/>
        <v>28.571181841949024</v>
      </c>
      <c r="P341" s="8">
        <f t="shared" si="26"/>
        <v>222771.00000000009</v>
      </c>
      <c r="Q341" s="8">
        <f>IF(Parameters!$G$29="y",IF(INT($P341/Parameters!$K$29)&gt;INT($P340/Parameters!$K$29),1,0),0)</f>
        <v>0</v>
      </c>
      <c r="R341" s="8">
        <f>IF(Parameters!$G$30="y",IF(INT($P341/Parameters!$K$30)&gt;INT($P340/Parameters!$K$30),1,0),0)</f>
        <v>0</v>
      </c>
      <c r="S341" s="8">
        <f>IF(INT($P341/Parameters!$K$31)&gt;INT($P340/Parameters!$K$31),1,0)</f>
        <v>0</v>
      </c>
      <c r="T341" s="76">
        <f t="shared" si="14"/>
        <v>0</v>
      </c>
      <c r="U341" s="8">
        <f>C340/'Pump Data'!$L$21*1000/60</f>
        <v>0.767941915666015</v>
      </c>
      <c r="V341" s="8"/>
      <c r="W341" s="8"/>
    </row>
    <row r="342" spans="1:23" ht="14.25" x14ac:dyDescent="0.45">
      <c r="A342" s="125">
        <v>41970</v>
      </c>
      <c r="B342" s="126">
        <v>15</v>
      </c>
      <c r="C342" s="127">
        <f t="shared" si="15"/>
        <v>1.65</v>
      </c>
      <c r="D342" s="127">
        <f t="shared" si="16"/>
        <v>0.64100000000000001</v>
      </c>
      <c r="E342" s="127">
        <f t="shared" si="27"/>
        <v>37.629000000000026</v>
      </c>
      <c r="F342" s="130">
        <f>Parameters!$B$32*'Pump Data'!$L$21^2+Parameters!$B$33*'Pump Data'!$L$21+Parameters!$B$34</f>
        <v>115.93397007999999</v>
      </c>
      <c r="G342" s="130">
        <f t="shared" si="17"/>
        <v>304.11601568635609</v>
      </c>
      <c r="H342" s="131">
        <f t="shared" si="18"/>
        <v>0.3041160156863561</v>
      </c>
      <c r="I342" s="126">
        <f t="shared" si="19"/>
        <v>8250</v>
      </c>
      <c r="J342" s="126">
        <f t="shared" si="20"/>
        <v>8.25</v>
      </c>
      <c r="K342" s="126">
        <f t="shared" si="21"/>
        <v>16500000</v>
      </c>
      <c r="L342" s="131">
        <f t="shared" si="22"/>
        <v>16.5</v>
      </c>
      <c r="M342" s="126">
        <f t="shared" si="23"/>
        <v>864</v>
      </c>
      <c r="N342" s="131">
        <f t="shared" si="24"/>
        <v>3.1103999999999998</v>
      </c>
      <c r="O342" s="131">
        <f t="shared" si="25"/>
        <v>19.914516015686356</v>
      </c>
      <c r="P342" s="8">
        <f t="shared" si="26"/>
        <v>224421.00000000012</v>
      </c>
      <c r="Q342" s="8">
        <f>IF(Parameters!$G$29="y",IF(INT($P342/Parameters!$K$29)&gt;INT($P341/Parameters!$K$29),1,0),0)</f>
        <v>0</v>
      </c>
      <c r="R342" s="8">
        <f>IF(Parameters!$G$30="y",IF(INT($P342/Parameters!$K$30)&gt;INT($P341/Parameters!$K$30),1,0),0)</f>
        <v>0</v>
      </c>
      <c r="S342" s="8">
        <f>IF(INT($P342/Parameters!$K$31)&gt;INT($P341/Parameters!$K$31),1,0)</f>
        <v>0</v>
      </c>
      <c r="T342" s="76">
        <f t="shared" si="14"/>
        <v>0</v>
      </c>
      <c r="U342" s="8">
        <f>C341/'Pump Data'!$L$21*1000/60</f>
        <v>1.1635483570697196</v>
      </c>
      <c r="V342" s="8"/>
      <c r="W342" s="8"/>
    </row>
    <row r="343" spans="1:23" ht="14.25" x14ac:dyDescent="0.45">
      <c r="A343" s="125">
        <v>41971</v>
      </c>
      <c r="B343" s="126">
        <v>0</v>
      </c>
      <c r="C343" s="127">
        <f t="shared" si="15"/>
        <v>0</v>
      </c>
      <c r="D343" s="127">
        <f t="shared" si="16"/>
        <v>0.64100000000000001</v>
      </c>
      <c r="E343" s="127">
        <f t="shared" si="27"/>
        <v>36.988000000000028</v>
      </c>
      <c r="F343" s="130">
        <f>Parameters!$B$32*'Pump Data'!$L$21^2+Parameters!$B$33*'Pump Data'!$L$21+Parameters!$B$34</f>
        <v>115.93397007999999</v>
      </c>
      <c r="G343" s="130">
        <f t="shared" si="17"/>
        <v>0</v>
      </c>
      <c r="H343" s="131">
        <f t="shared" si="18"/>
        <v>0</v>
      </c>
      <c r="I343" s="126">
        <f t="shared" si="19"/>
        <v>0</v>
      </c>
      <c r="J343" s="126">
        <f t="shared" si="20"/>
        <v>0</v>
      </c>
      <c r="K343" s="126">
        <f t="shared" si="21"/>
        <v>0</v>
      </c>
      <c r="L343" s="131">
        <f t="shared" si="22"/>
        <v>0</v>
      </c>
      <c r="M343" s="126">
        <f t="shared" si="23"/>
        <v>864</v>
      </c>
      <c r="N343" s="131">
        <f t="shared" si="24"/>
        <v>3.1103999999999998</v>
      </c>
      <c r="O343" s="131">
        <f t="shared" si="25"/>
        <v>3.1103999999999998</v>
      </c>
      <c r="P343" s="8">
        <f t="shared" si="26"/>
        <v>224421.00000000012</v>
      </c>
      <c r="Q343" s="8">
        <f>IF(Parameters!$G$29="y",IF(INT($P343/Parameters!$K$29)&gt;INT($P342/Parameters!$K$29),1,0),0)</f>
        <v>0</v>
      </c>
      <c r="R343" s="8">
        <f>IF(Parameters!$G$30="y",IF(INT($P343/Parameters!$K$30)&gt;INT($P342/Parameters!$K$30),1,0),0)</f>
        <v>0</v>
      </c>
      <c r="S343" s="8">
        <f>IF(INT($P343/Parameters!$K$31)&gt;INT($P342/Parameters!$K$31),1,0)</f>
        <v>0</v>
      </c>
      <c r="T343" s="76">
        <f t="shared" si="14"/>
        <v>0</v>
      </c>
      <c r="U343" s="8">
        <f>C342/'Pump Data'!$L$21*1000/60</f>
        <v>0.767941915666015</v>
      </c>
      <c r="V343" s="8"/>
      <c r="W343" s="8"/>
    </row>
    <row r="344" spans="1:23" ht="14.25" x14ac:dyDescent="0.45">
      <c r="A344" s="125">
        <v>41972</v>
      </c>
      <c r="B344" s="126">
        <v>0</v>
      </c>
      <c r="C344" s="127">
        <f t="shared" si="15"/>
        <v>0</v>
      </c>
      <c r="D344" s="127">
        <f t="shared" si="16"/>
        <v>0.64100000000000001</v>
      </c>
      <c r="E344" s="127">
        <f t="shared" si="27"/>
        <v>36.34700000000003</v>
      </c>
      <c r="F344" s="130">
        <f>Parameters!$B$32*'Pump Data'!$L$21^2+Parameters!$B$33*'Pump Data'!$L$21+Parameters!$B$34</f>
        <v>115.93397007999999</v>
      </c>
      <c r="G344" s="130">
        <f t="shared" si="17"/>
        <v>0</v>
      </c>
      <c r="H344" s="131">
        <f t="shared" si="18"/>
        <v>0</v>
      </c>
      <c r="I344" s="126">
        <f t="shared" si="19"/>
        <v>0</v>
      </c>
      <c r="J344" s="126">
        <f t="shared" si="20"/>
        <v>0</v>
      </c>
      <c r="K344" s="126">
        <f t="shared" si="21"/>
        <v>0</v>
      </c>
      <c r="L344" s="131">
        <f t="shared" si="22"/>
        <v>0</v>
      </c>
      <c r="M344" s="126">
        <f t="shared" si="23"/>
        <v>864</v>
      </c>
      <c r="N344" s="131">
        <f t="shared" si="24"/>
        <v>3.1103999999999998</v>
      </c>
      <c r="O344" s="131">
        <f t="shared" si="25"/>
        <v>3.1103999999999998</v>
      </c>
      <c r="P344" s="8">
        <f t="shared" si="26"/>
        <v>224421.00000000012</v>
      </c>
      <c r="Q344" s="8">
        <f>IF(Parameters!$G$29="y",IF(INT($P344/Parameters!$K$29)&gt;INT($P343/Parameters!$K$29),1,0),0)</f>
        <v>0</v>
      </c>
      <c r="R344" s="8">
        <f>IF(Parameters!$G$30="y",IF(INT($P344/Parameters!$K$30)&gt;INT($P343/Parameters!$K$30),1,0),0)</f>
        <v>0</v>
      </c>
      <c r="S344" s="8">
        <f>IF(INT($P344/Parameters!$K$31)&gt;INT($P343/Parameters!$K$31),1,0)</f>
        <v>0</v>
      </c>
      <c r="T344" s="76">
        <f t="shared" si="14"/>
        <v>0</v>
      </c>
      <c r="U344" s="8">
        <f>C343/'Pump Data'!$L$21*1000/60</f>
        <v>0</v>
      </c>
      <c r="V344" s="8"/>
      <c r="W344" s="8"/>
    </row>
    <row r="345" spans="1:23" ht="14.25" x14ac:dyDescent="0.45">
      <c r="A345" s="125">
        <v>41973</v>
      </c>
      <c r="B345" s="126">
        <v>0</v>
      </c>
      <c r="C345" s="127">
        <f t="shared" si="15"/>
        <v>0</v>
      </c>
      <c r="D345" s="127">
        <f t="shared" si="16"/>
        <v>0.64100000000000001</v>
      </c>
      <c r="E345" s="127">
        <f t="shared" si="27"/>
        <v>35.706000000000031</v>
      </c>
      <c r="F345" s="130">
        <f>Parameters!$B$32*'Pump Data'!$L$21^2+Parameters!$B$33*'Pump Data'!$L$21+Parameters!$B$34</f>
        <v>115.93397007999999</v>
      </c>
      <c r="G345" s="130">
        <f t="shared" si="17"/>
        <v>0</v>
      </c>
      <c r="H345" s="131">
        <f t="shared" si="18"/>
        <v>0</v>
      </c>
      <c r="I345" s="126">
        <f t="shared" si="19"/>
        <v>0</v>
      </c>
      <c r="J345" s="126">
        <f t="shared" si="20"/>
        <v>0</v>
      </c>
      <c r="K345" s="126">
        <f t="shared" si="21"/>
        <v>0</v>
      </c>
      <c r="L345" s="131">
        <f t="shared" si="22"/>
        <v>0</v>
      </c>
      <c r="M345" s="126">
        <f t="shared" si="23"/>
        <v>864</v>
      </c>
      <c r="N345" s="131">
        <f t="shared" si="24"/>
        <v>3.1103999999999998</v>
      </c>
      <c r="O345" s="131">
        <f t="shared" si="25"/>
        <v>3.1103999999999998</v>
      </c>
      <c r="P345" s="8">
        <f t="shared" si="26"/>
        <v>224421.00000000012</v>
      </c>
      <c r="Q345" s="8">
        <f>IF(Parameters!$G$29="y",IF(INT($P345/Parameters!$K$29)&gt;INT($P344/Parameters!$K$29),1,0),0)</f>
        <v>0</v>
      </c>
      <c r="R345" s="8">
        <f>IF(Parameters!$G$30="y",IF(INT($P345/Parameters!$K$30)&gt;INT($P344/Parameters!$K$30),1,0),0)</f>
        <v>0</v>
      </c>
      <c r="S345" s="8">
        <f>IF(INT($P345/Parameters!$K$31)&gt;INT($P344/Parameters!$K$31),1,0)</f>
        <v>0</v>
      </c>
      <c r="T345" s="76">
        <f t="shared" si="14"/>
        <v>0</v>
      </c>
      <c r="U345" s="8">
        <f>C344/'Pump Data'!$L$21*1000/60</f>
        <v>0</v>
      </c>
      <c r="V345" s="8"/>
      <c r="W345" s="8"/>
    </row>
    <row r="346" spans="1:23" ht="14.25" x14ac:dyDescent="0.45">
      <c r="A346" s="125">
        <v>41974</v>
      </c>
      <c r="B346" s="126">
        <v>0</v>
      </c>
      <c r="C346" s="127">
        <f t="shared" si="15"/>
        <v>0</v>
      </c>
      <c r="D346" s="127">
        <f t="shared" si="16"/>
        <v>0.64100000000000001</v>
      </c>
      <c r="E346" s="127">
        <f t="shared" si="27"/>
        <v>35.065000000000033</v>
      </c>
      <c r="F346" s="130">
        <f>Parameters!$B$32*'Pump Data'!$L$21^2+Parameters!$B$33*'Pump Data'!$L$21+Parameters!$B$34</f>
        <v>115.93397007999999</v>
      </c>
      <c r="G346" s="130">
        <f t="shared" si="17"/>
        <v>0</v>
      </c>
      <c r="H346" s="131">
        <f t="shared" si="18"/>
        <v>0</v>
      </c>
      <c r="I346" s="126">
        <f t="shared" si="19"/>
        <v>0</v>
      </c>
      <c r="J346" s="126">
        <f t="shared" si="20"/>
        <v>0</v>
      </c>
      <c r="K346" s="126">
        <f t="shared" si="21"/>
        <v>0</v>
      </c>
      <c r="L346" s="131">
        <f t="shared" si="22"/>
        <v>0</v>
      </c>
      <c r="M346" s="126">
        <f t="shared" si="23"/>
        <v>864</v>
      </c>
      <c r="N346" s="131">
        <f t="shared" si="24"/>
        <v>3.1103999999999998</v>
      </c>
      <c r="O346" s="131">
        <f t="shared" si="25"/>
        <v>3.1103999999999998</v>
      </c>
      <c r="P346" s="8">
        <f t="shared" si="26"/>
        <v>224421.00000000012</v>
      </c>
      <c r="Q346" s="8">
        <f>IF(Parameters!$G$29="y",IF(INT($P346/Parameters!$K$29)&gt;INT($P345/Parameters!$K$29),1,0),0)</f>
        <v>0</v>
      </c>
      <c r="R346" s="8">
        <f>IF(Parameters!$G$30="y",IF(INT($P346/Parameters!$K$30)&gt;INT($P345/Parameters!$K$30),1,0),0)</f>
        <v>0</v>
      </c>
      <c r="S346" s="8">
        <f>IF(INT($P346/Parameters!$K$31)&gt;INT($P345/Parameters!$K$31),1,0)</f>
        <v>0</v>
      </c>
      <c r="T346" s="76">
        <f t="shared" si="14"/>
        <v>0</v>
      </c>
      <c r="U346" s="8">
        <f>C345/'Pump Data'!$L$21*1000/60</f>
        <v>0</v>
      </c>
      <c r="V346" s="8"/>
      <c r="W346" s="8"/>
    </row>
    <row r="347" spans="1:23" ht="14.25" x14ac:dyDescent="0.45">
      <c r="A347" s="125">
        <v>41975</v>
      </c>
      <c r="B347" s="126">
        <v>0</v>
      </c>
      <c r="C347" s="127">
        <f t="shared" si="15"/>
        <v>0</v>
      </c>
      <c r="D347" s="127">
        <f t="shared" si="16"/>
        <v>0.64100000000000001</v>
      </c>
      <c r="E347" s="127">
        <f t="shared" si="27"/>
        <v>34.424000000000035</v>
      </c>
      <c r="F347" s="130">
        <f>Parameters!$B$32*'Pump Data'!$L$21^2+Parameters!$B$33*'Pump Data'!$L$21+Parameters!$B$34</f>
        <v>115.93397007999999</v>
      </c>
      <c r="G347" s="130">
        <f t="shared" si="17"/>
        <v>0</v>
      </c>
      <c r="H347" s="131">
        <f t="shared" si="18"/>
        <v>0</v>
      </c>
      <c r="I347" s="126">
        <f t="shared" si="19"/>
        <v>0</v>
      </c>
      <c r="J347" s="126">
        <f t="shared" si="20"/>
        <v>0</v>
      </c>
      <c r="K347" s="126">
        <f t="shared" si="21"/>
        <v>0</v>
      </c>
      <c r="L347" s="131">
        <f t="shared" si="22"/>
        <v>0</v>
      </c>
      <c r="M347" s="126">
        <f t="shared" si="23"/>
        <v>864</v>
      </c>
      <c r="N347" s="131">
        <f t="shared" si="24"/>
        <v>3.1103999999999998</v>
      </c>
      <c r="O347" s="131">
        <f t="shared" si="25"/>
        <v>3.1103999999999998</v>
      </c>
      <c r="P347" s="8">
        <f t="shared" si="26"/>
        <v>224421.00000000012</v>
      </c>
      <c r="Q347" s="8">
        <f>IF(Parameters!$G$29="y",IF(INT($P347/Parameters!$K$29)&gt;INT($P346/Parameters!$K$29),1,0),0)</f>
        <v>0</v>
      </c>
      <c r="R347" s="8">
        <f>IF(Parameters!$G$30="y",IF(INT($P347/Parameters!$K$30)&gt;INT($P346/Parameters!$K$30),1,0),0)</f>
        <v>0</v>
      </c>
      <c r="S347" s="8">
        <f>IF(INT($P347/Parameters!$K$31)&gt;INT($P346/Parameters!$K$31),1,0)</f>
        <v>0</v>
      </c>
      <c r="T347" s="76">
        <f t="shared" si="14"/>
        <v>0</v>
      </c>
      <c r="U347" s="8">
        <f>C346/'Pump Data'!$L$21*1000/60</f>
        <v>0</v>
      </c>
      <c r="V347" s="8"/>
      <c r="W347" s="8"/>
    </row>
    <row r="348" spans="1:23" ht="14.25" x14ac:dyDescent="0.45">
      <c r="A348" s="125">
        <v>41976</v>
      </c>
      <c r="B348" s="126">
        <v>0</v>
      </c>
      <c r="C348" s="127">
        <f t="shared" si="15"/>
        <v>0</v>
      </c>
      <c r="D348" s="127">
        <f t="shared" si="16"/>
        <v>0.64100000000000001</v>
      </c>
      <c r="E348" s="127">
        <f t="shared" si="27"/>
        <v>33.783000000000037</v>
      </c>
      <c r="F348" s="130">
        <f>Parameters!$B$32*'Pump Data'!$L$21^2+Parameters!$B$33*'Pump Data'!$L$21+Parameters!$B$34</f>
        <v>115.93397007999999</v>
      </c>
      <c r="G348" s="130">
        <f t="shared" si="17"/>
        <v>0</v>
      </c>
      <c r="H348" s="131">
        <f t="shared" si="18"/>
        <v>0</v>
      </c>
      <c r="I348" s="126">
        <f t="shared" si="19"/>
        <v>0</v>
      </c>
      <c r="J348" s="126">
        <f t="shared" si="20"/>
        <v>0</v>
      </c>
      <c r="K348" s="126">
        <f t="shared" si="21"/>
        <v>0</v>
      </c>
      <c r="L348" s="131">
        <f t="shared" si="22"/>
        <v>0</v>
      </c>
      <c r="M348" s="126">
        <f t="shared" si="23"/>
        <v>864</v>
      </c>
      <c r="N348" s="131">
        <f t="shared" si="24"/>
        <v>3.1103999999999998</v>
      </c>
      <c r="O348" s="131">
        <f t="shared" si="25"/>
        <v>3.1103999999999998</v>
      </c>
      <c r="P348" s="8">
        <f t="shared" si="26"/>
        <v>224421.00000000012</v>
      </c>
      <c r="Q348" s="8">
        <f>IF(Parameters!$G$29="y",IF(INT($P348/Parameters!$K$29)&gt;INT($P347/Parameters!$K$29),1,0),0)</f>
        <v>0</v>
      </c>
      <c r="R348" s="8">
        <f>IF(Parameters!$G$30="y",IF(INT($P348/Parameters!$K$30)&gt;INT($P347/Parameters!$K$30),1,0),0)</f>
        <v>0</v>
      </c>
      <c r="S348" s="8">
        <f>IF(INT($P348/Parameters!$K$31)&gt;INT($P347/Parameters!$K$31),1,0)</f>
        <v>0</v>
      </c>
      <c r="T348" s="76">
        <f t="shared" si="14"/>
        <v>0</v>
      </c>
      <c r="U348" s="8">
        <f>C347/'Pump Data'!$L$21*1000/60</f>
        <v>0</v>
      </c>
      <c r="V348" s="8"/>
      <c r="W348" s="8"/>
    </row>
    <row r="349" spans="1:23" ht="14.25" x14ac:dyDescent="0.45">
      <c r="A349" s="125">
        <v>41977</v>
      </c>
      <c r="B349" s="126">
        <v>1.2</v>
      </c>
      <c r="C349" s="127">
        <f t="shared" si="15"/>
        <v>0.13199999999999998</v>
      </c>
      <c r="D349" s="127">
        <f t="shared" si="16"/>
        <v>0.64100000000000001</v>
      </c>
      <c r="E349" s="127">
        <f t="shared" si="27"/>
        <v>33.274000000000036</v>
      </c>
      <c r="F349" s="130">
        <f>Parameters!$B$32*'Pump Data'!$L$21^2+Parameters!$B$33*'Pump Data'!$L$21+Parameters!$B$34</f>
        <v>115.93397007999999</v>
      </c>
      <c r="G349" s="130">
        <f t="shared" si="17"/>
        <v>24.329281254908484</v>
      </c>
      <c r="H349" s="131">
        <f t="shared" si="18"/>
        <v>2.4329281254908484E-2</v>
      </c>
      <c r="I349" s="126">
        <f t="shared" si="19"/>
        <v>659.99999999999977</v>
      </c>
      <c r="J349" s="126">
        <f t="shared" si="20"/>
        <v>0.65999999999999981</v>
      </c>
      <c r="K349" s="126">
        <f t="shared" si="21"/>
        <v>1319999.9999999995</v>
      </c>
      <c r="L349" s="131">
        <f t="shared" si="22"/>
        <v>1.3199999999999996</v>
      </c>
      <c r="M349" s="126">
        <f t="shared" si="23"/>
        <v>864</v>
      </c>
      <c r="N349" s="131">
        <f t="shared" si="24"/>
        <v>3.1103999999999998</v>
      </c>
      <c r="O349" s="131">
        <f t="shared" si="25"/>
        <v>4.4547292812549077</v>
      </c>
      <c r="P349" s="8">
        <f t="shared" si="26"/>
        <v>224553.00000000012</v>
      </c>
      <c r="Q349" s="8">
        <f>IF(Parameters!$G$29="y",IF(INT($P349/Parameters!$K$29)&gt;INT($P348/Parameters!$K$29),1,0),0)</f>
        <v>0</v>
      </c>
      <c r="R349" s="8">
        <f>IF(Parameters!$G$30="y",IF(INT($P349/Parameters!$K$30)&gt;INT($P348/Parameters!$K$30),1,0),0)</f>
        <v>0</v>
      </c>
      <c r="S349" s="8">
        <f>IF(INT($P349/Parameters!$K$31)&gt;INT($P348/Parameters!$K$31),1,0)</f>
        <v>0</v>
      </c>
      <c r="T349" s="76">
        <f t="shared" si="14"/>
        <v>0</v>
      </c>
      <c r="U349" s="8">
        <f>C348/'Pump Data'!$L$21*1000/60</f>
        <v>0</v>
      </c>
      <c r="V349" s="8"/>
      <c r="W349" s="8"/>
    </row>
    <row r="350" spans="1:23" ht="14.25" x14ac:dyDescent="0.45">
      <c r="A350" s="125">
        <v>41978</v>
      </c>
      <c r="B350" s="126">
        <v>45.4</v>
      </c>
      <c r="C350" s="127">
        <f t="shared" si="15"/>
        <v>2.5</v>
      </c>
      <c r="D350" s="127">
        <f t="shared" si="16"/>
        <v>0.64100000000000001</v>
      </c>
      <c r="E350" s="127">
        <f t="shared" si="27"/>
        <v>35.133000000000038</v>
      </c>
      <c r="F350" s="130">
        <f>Parameters!$B$32*'Pump Data'!$L$21^2+Parameters!$B$33*'Pump Data'!$L$21+Parameters!$B$34</f>
        <v>115.93397007999999</v>
      </c>
      <c r="G350" s="130">
        <f t="shared" si="17"/>
        <v>460.7818419490244</v>
      </c>
      <c r="H350" s="131">
        <f t="shared" si="18"/>
        <v>0.46078184194902438</v>
      </c>
      <c r="I350" s="126">
        <f t="shared" si="19"/>
        <v>12500</v>
      </c>
      <c r="J350" s="126">
        <f t="shared" si="20"/>
        <v>12.5</v>
      </c>
      <c r="K350" s="126">
        <f t="shared" si="21"/>
        <v>25000000</v>
      </c>
      <c r="L350" s="131">
        <f t="shared" si="22"/>
        <v>25</v>
      </c>
      <c r="M350" s="126">
        <f t="shared" si="23"/>
        <v>864</v>
      </c>
      <c r="N350" s="131">
        <f t="shared" si="24"/>
        <v>3.1103999999999998</v>
      </c>
      <c r="O350" s="131">
        <f t="shared" si="25"/>
        <v>28.571181841949024</v>
      </c>
      <c r="P350" s="8">
        <f t="shared" si="26"/>
        <v>227053.00000000012</v>
      </c>
      <c r="Q350" s="8">
        <f>IF(Parameters!$G$29="y",IF(INT($P350/Parameters!$K$29)&gt;INT($P349/Parameters!$K$29),1,0),0)</f>
        <v>1</v>
      </c>
      <c r="R350" s="8">
        <f>IF(Parameters!$G$30="y",IF(INT($P350/Parameters!$K$30)&gt;INT($P349/Parameters!$K$30),1,0),0)</f>
        <v>0</v>
      </c>
      <c r="S350" s="8">
        <f>IF(INT($P350/Parameters!$K$31)&gt;INT($P349/Parameters!$K$31),1,0)</f>
        <v>0</v>
      </c>
      <c r="T350" s="76">
        <f t="shared" si="14"/>
        <v>1</v>
      </c>
      <c r="U350" s="8">
        <f>C349/'Pump Data'!$L$21*1000/60</f>
        <v>6.1435353253281193E-2</v>
      </c>
      <c r="V350" s="8"/>
      <c r="W350" s="8"/>
    </row>
    <row r="351" spans="1:23" ht="14.25" x14ac:dyDescent="0.45">
      <c r="A351" s="125">
        <v>41979</v>
      </c>
      <c r="B351" s="126">
        <v>0.8</v>
      </c>
      <c r="C351" s="127">
        <f t="shared" si="15"/>
        <v>8.8000000000000009E-2</v>
      </c>
      <c r="D351" s="127">
        <f t="shared" si="16"/>
        <v>0.64100000000000001</v>
      </c>
      <c r="E351" s="127">
        <f t="shared" si="27"/>
        <v>34.580000000000041</v>
      </c>
      <c r="F351" s="130">
        <f>Parameters!$B$32*'Pump Data'!$L$21^2+Parameters!$B$33*'Pump Data'!$L$21+Parameters!$B$34</f>
        <v>115.93397007999999</v>
      </c>
      <c r="G351" s="130">
        <f t="shared" si="17"/>
        <v>16.21952083660566</v>
      </c>
      <c r="H351" s="131">
        <f t="shared" si="18"/>
        <v>1.6219520836605661E-2</v>
      </c>
      <c r="I351" s="126">
        <f t="shared" si="19"/>
        <v>440.00000000000011</v>
      </c>
      <c r="J351" s="126">
        <f t="shared" si="20"/>
        <v>0.44000000000000011</v>
      </c>
      <c r="K351" s="126">
        <f t="shared" si="21"/>
        <v>880000.00000000023</v>
      </c>
      <c r="L351" s="131">
        <f t="shared" si="22"/>
        <v>0.88000000000000023</v>
      </c>
      <c r="M351" s="126">
        <f t="shared" si="23"/>
        <v>864</v>
      </c>
      <c r="N351" s="131">
        <f t="shared" si="24"/>
        <v>3.1103999999999998</v>
      </c>
      <c r="O351" s="131">
        <f t="shared" si="25"/>
        <v>4.0066195208366056</v>
      </c>
      <c r="P351" s="8">
        <f t="shared" si="26"/>
        <v>227141.00000000012</v>
      </c>
      <c r="Q351" s="8">
        <f>IF(Parameters!$G$29="y",IF(INT($P351/Parameters!$K$29)&gt;INT($P350/Parameters!$K$29),1,0),0)</f>
        <v>0</v>
      </c>
      <c r="R351" s="8">
        <f>IF(Parameters!$G$30="y",IF(INT($P351/Parameters!$K$30)&gt;INT($P350/Parameters!$K$30),1,0),0)</f>
        <v>0</v>
      </c>
      <c r="S351" s="8">
        <f>IF(INT($P351/Parameters!$K$31)&gt;INT($P350/Parameters!$K$31),1,0)</f>
        <v>0</v>
      </c>
      <c r="T351" s="76">
        <f t="shared" si="14"/>
        <v>0</v>
      </c>
      <c r="U351" s="8">
        <f>C350/'Pump Data'!$L$21*1000/60</f>
        <v>1.1635483570697196</v>
      </c>
      <c r="V351" s="8"/>
      <c r="W351" s="8"/>
    </row>
    <row r="352" spans="1:23" ht="14.25" x14ac:dyDescent="0.45">
      <c r="A352" s="125">
        <v>41980</v>
      </c>
      <c r="B352" s="126">
        <v>15.2</v>
      </c>
      <c r="C352" s="127">
        <f t="shared" si="15"/>
        <v>1.6719999999999999</v>
      </c>
      <c r="D352" s="127">
        <f t="shared" si="16"/>
        <v>0.64100000000000001</v>
      </c>
      <c r="E352" s="127">
        <f t="shared" si="27"/>
        <v>35.61100000000004</v>
      </c>
      <c r="F352" s="130">
        <f>Parameters!$B$32*'Pump Data'!$L$21^2+Parameters!$B$33*'Pump Data'!$L$21+Parameters!$B$34</f>
        <v>115.93397007999999</v>
      </c>
      <c r="G352" s="130">
        <f t="shared" si="17"/>
        <v>308.1708958955075</v>
      </c>
      <c r="H352" s="131">
        <f t="shared" si="18"/>
        <v>0.3081708958955075</v>
      </c>
      <c r="I352" s="126">
        <f t="shared" si="19"/>
        <v>8360</v>
      </c>
      <c r="J352" s="126">
        <f t="shared" si="20"/>
        <v>8.36</v>
      </c>
      <c r="K352" s="126">
        <f t="shared" si="21"/>
        <v>16719999.999999998</v>
      </c>
      <c r="L352" s="131">
        <f t="shared" si="22"/>
        <v>16.72</v>
      </c>
      <c r="M352" s="126">
        <f t="shared" si="23"/>
        <v>864</v>
      </c>
      <c r="N352" s="131">
        <f t="shared" si="24"/>
        <v>3.1103999999999998</v>
      </c>
      <c r="O352" s="131">
        <f t="shared" si="25"/>
        <v>20.138570895895505</v>
      </c>
      <c r="P352" s="8">
        <f t="shared" si="26"/>
        <v>228813.00000000012</v>
      </c>
      <c r="Q352" s="8">
        <f>IF(Parameters!$G$29="y",IF(INT($P352/Parameters!$K$29)&gt;INT($P351/Parameters!$K$29),1,0),0)</f>
        <v>0</v>
      </c>
      <c r="R352" s="8">
        <f>IF(Parameters!$G$30="y",IF(INT($P352/Parameters!$K$30)&gt;INT($P351/Parameters!$K$30),1,0),0)</f>
        <v>0</v>
      </c>
      <c r="S352" s="8">
        <f>IF(INT($P352/Parameters!$K$31)&gt;INT($P351/Parameters!$K$31),1,0)</f>
        <v>0</v>
      </c>
      <c r="T352" s="76">
        <f t="shared" si="14"/>
        <v>0</v>
      </c>
      <c r="U352" s="8">
        <f>C351/'Pump Data'!$L$21*1000/60</f>
        <v>4.0956902168854142E-2</v>
      </c>
      <c r="V352" s="8"/>
      <c r="W352" s="8"/>
    </row>
    <row r="353" spans="1:23" ht="14.25" x14ac:dyDescent="0.45">
      <c r="A353" s="125">
        <v>41981</v>
      </c>
      <c r="B353" s="126">
        <v>48.6</v>
      </c>
      <c r="C353" s="127">
        <f t="shared" si="15"/>
        <v>2.5</v>
      </c>
      <c r="D353" s="127">
        <f t="shared" si="16"/>
        <v>0.64100000000000001</v>
      </c>
      <c r="E353" s="127">
        <f t="shared" si="27"/>
        <v>37.470000000000041</v>
      </c>
      <c r="F353" s="130">
        <f>Parameters!$B$32*'Pump Data'!$L$21^2+Parameters!$B$33*'Pump Data'!$L$21+Parameters!$B$34</f>
        <v>115.93397007999999</v>
      </c>
      <c r="G353" s="130">
        <f t="shared" si="17"/>
        <v>460.7818419490244</v>
      </c>
      <c r="H353" s="131">
        <f t="shared" si="18"/>
        <v>0.46078184194902438</v>
      </c>
      <c r="I353" s="126">
        <f t="shared" si="19"/>
        <v>12500</v>
      </c>
      <c r="J353" s="126">
        <f t="shared" si="20"/>
        <v>12.5</v>
      </c>
      <c r="K353" s="126">
        <f t="shared" si="21"/>
        <v>25000000</v>
      </c>
      <c r="L353" s="131">
        <f t="shared" si="22"/>
        <v>25</v>
      </c>
      <c r="M353" s="126">
        <f t="shared" si="23"/>
        <v>864</v>
      </c>
      <c r="N353" s="131">
        <f t="shared" si="24"/>
        <v>3.1103999999999998</v>
      </c>
      <c r="O353" s="131">
        <f t="shared" si="25"/>
        <v>28.571181841949024</v>
      </c>
      <c r="P353" s="8">
        <f t="shared" si="26"/>
        <v>231313.00000000012</v>
      </c>
      <c r="Q353" s="8">
        <f>IF(Parameters!$G$29="y",IF(INT($P353/Parameters!$K$29)&gt;INT($P352/Parameters!$K$29),1,0),0)</f>
        <v>0</v>
      </c>
      <c r="R353" s="8">
        <f>IF(Parameters!$G$30="y",IF(INT($P353/Parameters!$K$30)&gt;INT($P352/Parameters!$K$30),1,0),0)</f>
        <v>0</v>
      </c>
      <c r="S353" s="8">
        <f>IF(INT($P353/Parameters!$K$31)&gt;INT($P352/Parameters!$K$31),1,0)</f>
        <v>0</v>
      </c>
      <c r="T353" s="76">
        <f t="shared" si="14"/>
        <v>0</v>
      </c>
      <c r="U353" s="8">
        <f>C352/'Pump Data'!$L$21*1000/60</f>
        <v>0.77818114120822857</v>
      </c>
      <c r="V353" s="8"/>
      <c r="W353" s="8"/>
    </row>
    <row r="354" spans="1:23" ht="14.25" x14ac:dyDescent="0.45">
      <c r="A354" s="125">
        <v>41982</v>
      </c>
      <c r="B354" s="126">
        <v>34.200000000000003</v>
      </c>
      <c r="C354" s="127">
        <f t="shared" si="15"/>
        <v>2.5</v>
      </c>
      <c r="D354" s="127">
        <f t="shared" si="16"/>
        <v>0.64100000000000001</v>
      </c>
      <c r="E354" s="127">
        <f t="shared" si="27"/>
        <v>39.329000000000043</v>
      </c>
      <c r="F354" s="130">
        <f>Parameters!$B$32*'Pump Data'!$L$21^2+Parameters!$B$33*'Pump Data'!$L$21+Parameters!$B$34</f>
        <v>115.93397007999999</v>
      </c>
      <c r="G354" s="130">
        <f t="shared" si="17"/>
        <v>460.7818419490244</v>
      </c>
      <c r="H354" s="131">
        <f t="shared" si="18"/>
        <v>0.46078184194902438</v>
      </c>
      <c r="I354" s="126">
        <f t="shared" si="19"/>
        <v>12500</v>
      </c>
      <c r="J354" s="126">
        <f t="shared" si="20"/>
        <v>12.5</v>
      </c>
      <c r="K354" s="126">
        <f t="shared" si="21"/>
        <v>25000000</v>
      </c>
      <c r="L354" s="131">
        <f t="shared" si="22"/>
        <v>25</v>
      </c>
      <c r="M354" s="126">
        <f t="shared" si="23"/>
        <v>864</v>
      </c>
      <c r="N354" s="131">
        <f t="shared" si="24"/>
        <v>3.1103999999999998</v>
      </c>
      <c r="O354" s="131">
        <f t="shared" si="25"/>
        <v>28.571181841949024</v>
      </c>
      <c r="P354" s="8">
        <f t="shared" si="26"/>
        <v>233813.00000000012</v>
      </c>
      <c r="Q354" s="8">
        <f>IF(Parameters!$G$29="y",IF(INT($P354/Parameters!$K$29)&gt;INT($P353/Parameters!$K$29),1,0),0)</f>
        <v>0</v>
      </c>
      <c r="R354" s="8">
        <f>IF(Parameters!$G$30="y",IF(INT($P354/Parameters!$K$30)&gt;INT($P353/Parameters!$K$30),1,0),0)</f>
        <v>0</v>
      </c>
      <c r="S354" s="8">
        <f>IF(INT($P354/Parameters!$K$31)&gt;INT($P353/Parameters!$K$31),1,0)</f>
        <v>0</v>
      </c>
      <c r="T354" s="76">
        <f t="shared" si="14"/>
        <v>0</v>
      </c>
      <c r="U354" s="8">
        <f>C353/'Pump Data'!$L$21*1000/60</f>
        <v>1.1635483570697196</v>
      </c>
      <c r="V354" s="8"/>
      <c r="W354" s="8"/>
    </row>
    <row r="355" spans="1:23" ht="14.25" x14ac:dyDescent="0.45">
      <c r="A355" s="125">
        <v>41983</v>
      </c>
      <c r="B355" s="126">
        <v>4.4000000000000004</v>
      </c>
      <c r="C355" s="127">
        <f t="shared" si="15"/>
        <v>0.48400000000000004</v>
      </c>
      <c r="D355" s="127">
        <f t="shared" si="16"/>
        <v>0.64100000000000001</v>
      </c>
      <c r="E355" s="127">
        <f t="shared" si="27"/>
        <v>39.172000000000047</v>
      </c>
      <c r="F355" s="130">
        <f>Parameters!$B$32*'Pump Data'!$L$21^2+Parameters!$B$33*'Pump Data'!$L$21+Parameters!$B$34</f>
        <v>115.93397007999999</v>
      </c>
      <c r="G355" s="130">
        <f t="shared" si="17"/>
        <v>89.207364601331136</v>
      </c>
      <c r="H355" s="131">
        <f t="shared" si="18"/>
        <v>8.9207364601331135E-2</v>
      </c>
      <c r="I355" s="126">
        <f t="shared" si="19"/>
        <v>2420.0000000000005</v>
      </c>
      <c r="J355" s="126">
        <f t="shared" si="20"/>
        <v>2.4200000000000004</v>
      </c>
      <c r="K355" s="126">
        <f t="shared" si="21"/>
        <v>4840000.0000000009</v>
      </c>
      <c r="L355" s="131">
        <f t="shared" si="22"/>
        <v>4.8400000000000007</v>
      </c>
      <c r="M355" s="126">
        <f t="shared" si="23"/>
        <v>864</v>
      </c>
      <c r="N355" s="131">
        <f t="shared" si="24"/>
        <v>3.1103999999999998</v>
      </c>
      <c r="O355" s="131">
        <f t="shared" si="25"/>
        <v>8.0396073646013324</v>
      </c>
      <c r="P355" s="8">
        <f t="shared" si="26"/>
        <v>234297.00000000012</v>
      </c>
      <c r="Q355" s="8">
        <f>IF(Parameters!$G$29="y",IF(INT($P355/Parameters!$K$29)&gt;INT($P354/Parameters!$K$29),1,0),0)</f>
        <v>0</v>
      </c>
      <c r="R355" s="8">
        <f>IF(Parameters!$G$30="y",IF(INT($P355/Parameters!$K$30)&gt;INT($P354/Parameters!$K$30),1,0),0)</f>
        <v>0</v>
      </c>
      <c r="S355" s="8">
        <f>IF(INT($P355/Parameters!$K$31)&gt;INT($P354/Parameters!$K$31),1,0)</f>
        <v>0</v>
      </c>
      <c r="T355" s="76">
        <f t="shared" si="14"/>
        <v>0</v>
      </c>
      <c r="U355" s="8">
        <f>C354/'Pump Data'!$L$21*1000/60</f>
        <v>1.1635483570697196</v>
      </c>
      <c r="V355" s="8"/>
      <c r="W355" s="8"/>
    </row>
    <row r="356" spans="1:23" ht="14.25" x14ac:dyDescent="0.45">
      <c r="A356" s="125">
        <v>41984</v>
      </c>
      <c r="B356" s="126">
        <v>17.8</v>
      </c>
      <c r="C356" s="127">
        <f t="shared" si="15"/>
        <v>1.958</v>
      </c>
      <c r="D356" s="127">
        <f t="shared" si="16"/>
        <v>0.64100000000000001</v>
      </c>
      <c r="E356" s="127">
        <f t="shared" si="27"/>
        <v>40.489000000000047</v>
      </c>
      <c r="F356" s="130">
        <f>Parameters!$B$32*'Pump Data'!$L$21^2+Parameters!$B$33*'Pump Data'!$L$21+Parameters!$B$34</f>
        <v>115.93397007999999</v>
      </c>
      <c r="G356" s="130">
        <f t="shared" si="17"/>
        <v>360.88433861447589</v>
      </c>
      <c r="H356" s="131">
        <f t="shared" si="18"/>
        <v>0.36088433861447589</v>
      </c>
      <c r="I356" s="126">
        <f t="shared" si="19"/>
        <v>9790</v>
      </c>
      <c r="J356" s="126">
        <f t="shared" si="20"/>
        <v>9.7899999999999991</v>
      </c>
      <c r="K356" s="126">
        <f t="shared" si="21"/>
        <v>19580000</v>
      </c>
      <c r="L356" s="131">
        <f t="shared" si="22"/>
        <v>19.579999999999998</v>
      </c>
      <c r="M356" s="126">
        <f t="shared" si="23"/>
        <v>864</v>
      </c>
      <c r="N356" s="131">
        <f t="shared" si="24"/>
        <v>3.1103999999999998</v>
      </c>
      <c r="O356" s="131">
        <f t="shared" si="25"/>
        <v>23.051284338614472</v>
      </c>
      <c r="P356" s="8">
        <f t="shared" si="26"/>
        <v>236255.00000000012</v>
      </c>
      <c r="Q356" s="8">
        <f>IF(Parameters!$G$29="y",IF(INT($P356/Parameters!$K$29)&gt;INT($P355/Parameters!$K$29),1,0),0)</f>
        <v>0</v>
      </c>
      <c r="R356" s="8">
        <f>IF(Parameters!$G$30="y",IF(INT($P356/Parameters!$K$30)&gt;INT($P355/Parameters!$K$30),1,0),0)</f>
        <v>0</v>
      </c>
      <c r="S356" s="8">
        <f>IF(INT($P356/Parameters!$K$31)&gt;INT($P355/Parameters!$K$31),1,0)</f>
        <v>0</v>
      </c>
      <c r="T356" s="76">
        <f t="shared" si="14"/>
        <v>0</v>
      </c>
      <c r="U356" s="8">
        <f>C355/'Pump Data'!$L$21*1000/60</f>
        <v>0.22526296192869777</v>
      </c>
      <c r="V356" s="8"/>
      <c r="W356" s="8"/>
    </row>
    <row r="357" spans="1:23" ht="14.25" x14ac:dyDescent="0.45">
      <c r="A357" s="125">
        <v>41985</v>
      </c>
      <c r="B357" s="126">
        <v>1.4</v>
      </c>
      <c r="C357" s="127">
        <f t="shared" si="15"/>
        <v>0.154</v>
      </c>
      <c r="D357" s="127">
        <f t="shared" si="16"/>
        <v>0.64100000000000001</v>
      </c>
      <c r="E357" s="127">
        <f t="shared" si="27"/>
        <v>40.002000000000052</v>
      </c>
      <c r="F357" s="130">
        <f>Parameters!$B$32*'Pump Data'!$L$21^2+Parameters!$B$33*'Pump Data'!$L$21+Parameters!$B$34</f>
        <v>115.93397007999999</v>
      </c>
      <c r="G357" s="130">
        <f t="shared" si="17"/>
        <v>28.384161464059904</v>
      </c>
      <c r="H357" s="131">
        <f t="shared" si="18"/>
        <v>2.8384161464059903E-2</v>
      </c>
      <c r="I357" s="126">
        <f t="shared" si="19"/>
        <v>770</v>
      </c>
      <c r="J357" s="126">
        <f t="shared" si="20"/>
        <v>0.77</v>
      </c>
      <c r="K357" s="126">
        <f t="shared" si="21"/>
        <v>1540000</v>
      </c>
      <c r="L357" s="131">
        <f t="shared" si="22"/>
        <v>1.54</v>
      </c>
      <c r="M357" s="126">
        <f t="shared" si="23"/>
        <v>864</v>
      </c>
      <c r="N357" s="131">
        <f t="shared" si="24"/>
        <v>3.1103999999999998</v>
      </c>
      <c r="O357" s="131">
        <f t="shared" si="25"/>
        <v>4.6787841614640602</v>
      </c>
      <c r="P357" s="8">
        <f t="shared" si="26"/>
        <v>236409.00000000012</v>
      </c>
      <c r="Q357" s="8">
        <f>IF(Parameters!$G$29="y",IF(INT($P357/Parameters!$K$29)&gt;INT($P356/Parameters!$K$29),1,0),0)</f>
        <v>0</v>
      </c>
      <c r="R357" s="8">
        <f>IF(Parameters!$G$30="y",IF(INT($P357/Parameters!$K$30)&gt;INT($P356/Parameters!$K$30),1,0),0)</f>
        <v>0</v>
      </c>
      <c r="S357" s="8">
        <f>IF(INT($P357/Parameters!$K$31)&gt;INT($P356/Parameters!$K$31),1,0)</f>
        <v>0</v>
      </c>
      <c r="T357" s="76">
        <f t="shared" si="14"/>
        <v>0</v>
      </c>
      <c r="U357" s="8">
        <f>C356/'Pump Data'!$L$21*1000/60</f>
        <v>0.91129107325700442</v>
      </c>
      <c r="V357" s="8"/>
      <c r="W357" s="8"/>
    </row>
    <row r="358" spans="1:23" ht="14.25" x14ac:dyDescent="0.45">
      <c r="A358" s="125">
        <v>41986</v>
      </c>
      <c r="B358" s="126">
        <v>1</v>
      </c>
      <c r="C358" s="127">
        <f t="shared" si="15"/>
        <v>0.11</v>
      </c>
      <c r="D358" s="127">
        <f t="shared" si="16"/>
        <v>0.64100000000000001</v>
      </c>
      <c r="E358" s="127">
        <f t="shared" si="27"/>
        <v>39.471000000000053</v>
      </c>
      <c r="F358" s="130">
        <f>Parameters!$B$32*'Pump Data'!$L$21^2+Parameters!$B$33*'Pump Data'!$L$21+Parameters!$B$34</f>
        <v>115.93397007999999</v>
      </c>
      <c r="G358" s="130">
        <f t="shared" si="17"/>
        <v>20.274401045757074</v>
      </c>
      <c r="H358" s="131">
        <f t="shared" si="18"/>
        <v>2.0274401045757073E-2</v>
      </c>
      <c r="I358" s="126">
        <f t="shared" si="19"/>
        <v>550</v>
      </c>
      <c r="J358" s="126">
        <f t="shared" si="20"/>
        <v>0.55000000000000004</v>
      </c>
      <c r="K358" s="126">
        <f t="shared" si="21"/>
        <v>1100000</v>
      </c>
      <c r="L358" s="131">
        <f t="shared" si="22"/>
        <v>1.1000000000000001</v>
      </c>
      <c r="M358" s="126">
        <f t="shared" si="23"/>
        <v>864</v>
      </c>
      <c r="N358" s="131">
        <f t="shared" si="24"/>
        <v>3.1103999999999998</v>
      </c>
      <c r="O358" s="131">
        <f t="shared" si="25"/>
        <v>4.2306744010457571</v>
      </c>
      <c r="P358" s="8">
        <f t="shared" si="26"/>
        <v>236519.00000000012</v>
      </c>
      <c r="Q358" s="8">
        <f>IF(Parameters!$G$29="y",IF(INT($P358/Parameters!$K$29)&gt;INT($P357/Parameters!$K$29),1,0),0)</f>
        <v>0</v>
      </c>
      <c r="R358" s="8">
        <f>IF(Parameters!$G$30="y",IF(INT($P358/Parameters!$K$30)&gt;INT($P357/Parameters!$K$30),1,0),0)</f>
        <v>0</v>
      </c>
      <c r="S358" s="8">
        <f>IF(INT($P358/Parameters!$K$31)&gt;INT($P357/Parameters!$K$31),1,0)</f>
        <v>0</v>
      </c>
      <c r="T358" s="76">
        <f t="shared" si="14"/>
        <v>0</v>
      </c>
      <c r="U358" s="8">
        <f>C357/'Pump Data'!$L$21*1000/60</f>
        <v>7.1674578795494728E-2</v>
      </c>
      <c r="V358" s="8"/>
      <c r="W358" s="8"/>
    </row>
    <row r="359" spans="1:23" ht="14.25" x14ac:dyDescent="0.45">
      <c r="A359" s="125">
        <v>41987</v>
      </c>
      <c r="B359" s="126">
        <v>0</v>
      </c>
      <c r="C359" s="127">
        <f t="shared" si="15"/>
        <v>0</v>
      </c>
      <c r="D359" s="127">
        <f t="shared" si="16"/>
        <v>0.64100000000000001</v>
      </c>
      <c r="E359" s="127">
        <f t="shared" si="27"/>
        <v>38.830000000000055</v>
      </c>
      <c r="F359" s="130">
        <f>Parameters!$B$32*'Pump Data'!$L$21^2+Parameters!$B$33*'Pump Data'!$L$21+Parameters!$B$34</f>
        <v>115.93397007999999</v>
      </c>
      <c r="G359" s="130">
        <f t="shared" si="17"/>
        <v>0</v>
      </c>
      <c r="H359" s="131">
        <f t="shared" si="18"/>
        <v>0</v>
      </c>
      <c r="I359" s="126">
        <f t="shared" si="19"/>
        <v>0</v>
      </c>
      <c r="J359" s="126">
        <f t="shared" si="20"/>
        <v>0</v>
      </c>
      <c r="K359" s="126">
        <f t="shared" si="21"/>
        <v>0</v>
      </c>
      <c r="L359" s="131">
        <f t="shared" si="22"/>
        <v>0</v>
      </c>
      <c r="M359" s="126">
        <f t="shared" si="23"/>
        <v>864</v>
      </c>
      <c r="N359" s="131">
        <f t="shared" si="24"/>
        <v>3.1103999999999998</v>
      </c>
      <c r="O359" s="131">
        <f t="shared" si="25"/>
        <v>3.1103999999999998</v>
      </c>
      <c r="P359" s="8">
        <f t="shared" si="26"/>
        <v>236519.00000000012</v>
      </c>
      <c r="Q359" s="8">
        <f>IF(Parameters!$G$29="y",IF(INT($P359/Parameters!$K$29)&gt;INT($P358/Parameters!$K$29),1,0),0)</f>
        <v>0</v>
      </c>
      <c r="R359" s="8">
        <f>IF(Parameters!$G$30="y",IF(INT($P359/Parameters!$K$30)&gt;INT($P358/Parameters!$K$30),1,0),0)</f>
        <v>0</v>
      </c>
      <c r="S359" s="8">
        <f>IF(INT($P359/Parameters!$K$31)&gt;INT($P358/Parameters!$K$31),1,0)</f>
        <v>0</v>
      </c>
      <c r="T359" s="76">
        <f t="shared" si="14"/>
        <v>0</v>
      </c>
      <c r="U359" s="8">
        <f>C358/'Pump Data'!$L$21*1000/60</f>
        <v>5.1196127711067671E-2</v>
      </c>
      <c r="V359" s="8"/>
      <c r="W359" s="8"/>
    </row>
    <row r="360" spans="1:23" ht="14.25" x14ac:dyDescent="0.45">
      <c r="A360" s="125">
        <v>41988</v>
      </c>
      <c r="B360" s="126">
        <v>9</v>
      </c>
      <c r="C360" s="127">
        <f t="shared" si="15"/>
        <v>0.98999999999999988</v>
      </c>
      <c r="D360" s="127">
        <f t="shared" si="16"/>
        <v>0.64100000000000001</v>
      </c>
      <c r="E360" s="127">
        <f t="shared" si="27"/>
        <v>39.179000000000059</v>
      </c>
      <c r="F360" s="130">
        <f>Parameters!$B$32*'Pump Data'!$L$21^2+Parameters!$B$33*'Pump Data'!$L$21+Parameters!$B$34</f>
        <v>115.93397007999999</v>
      </c>
      <c r="G360" s="130">
        <f t="shared" si="17"/>
        <v>182.46960941181365</v>
      </c>
      <c r="H360" s="131">
        <f t="shared" si="18"/>
        <v>0.18246960941181364</v>
      </c>
      <c r="I360" s="126">
        <f t="shared" si="19"/>
        <v>4949.9999999999991</v>
      </c>
      <c r="J360" s="126">
        <f t="shared" si="20"/>
        <v>4.9499999999999993</v>
      </c>
      <c r="K360" s="126">
        <f t="shared" si="21"/>
        <v>9899999.9999999981</v>
      </c>
      <c r="L360" s="131">
        <f t="shared" si="22"/>
        <v>9.8999999999999986</v>
      </c>
      <c r="M360" s="126">
        <f t="shared" si="23"/>
        <v>864</v>
      </c>
      <c r="N360" s="131">
        <f t="shared" si="24"/>
        <v>3.1103999999999998</v>
      </c>
      <c r="O360" s="131">
        <f t="shared" si="25"/>
        <v>13.192869609411812</v>
      </c>
      <c r="P360" s="8">
        <f t="shared" si="26"/>
        <v>237509.00000000012</v>
      </c>
      <c r="Q360" s="8">
        <f>IF(Parameters!$G$29="y",IF(INT($P360/Parameters!$K$29)&gt;INT($P359/Parameters!$K$29),1,0),0)</f>
        <v>0</v>
      </c>
      <c r="R360" s="8">
        <f>IF(Parameters!$G$30="y",IF(INT($P360/Parameters!$K$30)&gt;INT($P359/Parameters!$K$30),1,0),0)</f>
        <v>0</v>
      </c>
      <c r="S360" s="8">
        <f>IF(INT($P360/Parameters!$K$31)&gt;INT($P359/Parameters!$K$31),1,0)</f>
        <v>0</v>
      </c>
      <c r="T360" s="76">
        <f t="shared" si="14"/>
        <v>0</v>
      </c>
      <c r="U360" s="8">
        <f>C359/'Pump Data'!$L$21*1000/60</f>
        <v>0</v>
      </c>
      <c r="V360" s="8"/>
      <c r="W360" s="8"/>
    </row>
    <row r="361" spans="1:23" ht="14.25" x14ac:dyDescent="0.45">
      <c r="A361" s="125">
        <v>41989</v>
      </c>
      <c r="B361" s="126">
        <v>20.2</v>
      </c>
      <c r="C361" s="127">
        <f t="shared" si="15"/>
        <v>2.222</v>
      </c>
      <c r="D361" s="127">
        <f t="shared" si="16"/>
        <v>0.64100000000000001</v>
      </c>
      <c r="E361" s="127">
        <f t="shared" si="27"/>
        <v>40.760000000000062</v>
      </c>
      <c r="F361" s="130">
        <f>Parameters!$B$32*'Pump Data'!$L$21^2+Parameters!$B$33*'Pump Data'!$L$21+Parameters!$B$34</f>
        <v>115.93397007999999</v>
      </c>
      <c r="G361" s="130">
        <f t="shared" si="17"/>
        <v>409.54290112429288</v>
      </c>
      <c r="H361" s="131">
        <f t="shared" si="18"/>
        <v>0.40954290112429287</v>
      </c>
      <c r="I361" s="126">
        <f t="shared" si="19"/>
        <v>11110</v>
      </c>
      <c r="J361" s="126">
        <f t="shared" si="20"/>
        <v>11.11</v>
      </c>
      <c r="K361" s="126">
        <f t="shared" si="21"/>
        <v>22220000</v>
      </c>
      <c r="L361" s="131">
        <f t="shared" si="22"/>
        <v>22.22</v>
      </c>
      <c r="M361" s="126">
        <f t="shared" si="23"/>
        <v>864</v>
      </c>
      <c r="N361" s="131">
        <f t="shared" si="24"/>
        <v>3.1103999999999998</v>
      </c>
      <c r="O361" s="131">
        <f t="shared" si="25"/>
        <v>25.739942901124291</v>
      </c>
      <c r="P361" s="8">
        <f t="shared" si="26"/>
        <v>239731.00000000015</v>
      </c>
      <c r="Q361" s="8">
        <f>IF(Parameters!$G$29="y",IF(INT($P361/Parameters!$K$29)&gt;INT($P360/Parameters!$K$29),1,0),0)</f>
        <v>0</v>
      </c>
      <c r="R361" s="8">
        <f>IF(Parameters!$G$30="y",IF(INT($P361/Parameters!$K$30)&gt;INT($P360/Parameters!$K$30),1,0),0)</f>
        <v>0</v>
      </c>
      <c r="S361" s="8">
        <f>IF(INT($P361/Parameters!$K$31)&gt;INT($P360/Parameters!$K$31),1,0)</f>
        <v>0</v>
      </c>
      <c r="T361" s="76">
        <f t="shared" si="14"/>
        <v>0</v>
      </c>
      <c r="U361" s="8">
        <f>C360/'Pump Data'!$L$21*1000/60</f>
        <v>0.46076514939960894</v>
      </c>
      <c r="V361" s="8"/>
      <c r="W361" s="8"/>
    </row>
    <row r="362" spans="1:23" ht="14.25" x14ac:dyDescent="0.45">
      <c r="A362" s="125">
        <v>41990</v>
      </c>
      <c r="B362" s="126">
        <v>0.8</v>
      </c>
      <c r="C362" s="127">
        <f t="shared" si="15"/>
        <v>8.8000000000000009E-2</v>
      </c>
      <c r="D362" s="127">
        <f t="shared" si="16"/>
        <v>0.64100000000000001</v>
      </c>
      <c r="E362" s="127">
        <f t="shared" si="27"/>
        <v>40.207000000000065</v>
      </c>
      <c r="F362" s="130">
        <f>Parameters!$B$32*'Pump Data'!$L$21^2+Parameters!$B$33*'Pump Data'!$L$21+Parameters!$B$34</f>
        <v>115.93397007999999</v>
      </c>
      <c r="G362" s="130">
        <f t="shared" si="17"/>
        <v>16.21952083660566</v>
      </c>
      <c r="H362" s="131">
        <f t="shared" si="18"/>
        <v>1.6219520836605661E-2</v>
      </c>
      <c r="I362" s="126">
        <f t="shared" si="19"/>
        <v>440.00000000000011</v>
      </c>
      <c r="J362" s="126">
        <f t="shared" si="20"/>
        <v>0.44000000000000011</v>
      </c>
      <c r="K362" s="126">
        <f t="shared" si="21"/>
        <v>880000.00000000023</v>
      </c>
      <c r="L362" s="131">
        <f t="shared" si="22"/>
        <v>0.88000000000000023</v>
      </c>
      <c r="M362" s="126">
        <f t="shared" si="23"/>
        <v>864</v>
      </c>
      <c r="N362" s="131">
        <f t="shared" si="24"/>
        <v>3.1103999999999998</v>
      </c>
      <c r="O362" s="131">
        <f t="shared" si="25"/>
        <v>4.0066195208366056</v>
      </c>
      <c r="P362" s="8">
        <f t="shared" si="26"/>
        <v>239819.00000000012</v>
      </c>
      <c r="Q362" s="8">
        <f>IF(Parameters!$G$29="y",IF(INT($P362/Parameters!$K$29)&gt;INT($P361/Parameters!$K$29),1,0),0)</f>
        <v>0</v>
      </c>
      <c r="R362" s="8">
        <f>IF(Parameters!$G$30="y",IF(INT($P362/Parameters!$K$30)&gt;INT($P361/Parameters!$K$30),1,0),0)</f>
        <v>0</v>
      </c>
      <c r="S362" s="8">
        <f>IF(INT($P362/Parameters!$K$31)&gt;INT($P361/Parameters!$K$31),1,0)</f>
        <v>0</v>
      </c>
      <c r="T362" s="76">
        <f t="shared" si="14"/>
        <v>0</v>
      </c>
      <c r="U362" s="8">
        <f>C361/'Pump Data'!$L$21*1000/60</f>
        <v>1.0341617797635669</v>
      </c>
      <c r="V362" s="8"/>
      <c r="W362" s="8"/>
    </row>
    <row r="363" spans="1:23" ht="14.25" x14ac:dyDescent="0.45">
      <c r="A363" s="125">
        <v>41991</v>
      </c>
      <c r="B363" s="126">
        <v>24.6</v>
      </c>
      <c r="C363" s="127">
        <f t="shared" si="15"/>
        <v>2.5</v>
      </c>
      <c r="D363" s="127">
        <f t="shared" si="16"/>
        <v>0.64100000000000001</v>
      </c>
      <c r="E363" s="127">
        <f t="shared" si="27"/>
        <v>42.066000000000066</v>
      </c>
      <c r="F363" s="130">
        <f>Parameters!$B$32*'Pump Data'!$L$21^2+Parameters!$B$33*'Pump Data'!$L$21+Parameters!$B$34</f>
        <v>115.93397007999999</v>
      </c>
      <c r="G363" s="130">
        <f t="shared" si="17"/>
        <v>460.7818419490244</v>
      </c>
      <c r="H363" s="131">
        <f t="shared" si="18"/>
        <v>0.46078184194902438</v>
      </c>
      <c r="I363" s="126">
        <f t="shared" si="19"/>
        <v>12500</v>
      </c>
      <c r="J363" s="126">
        <f t="shared" si="20"/>
        <v>12.5</v>
      </c>
      <c r="K363" s="126">
        <f t="shared" si="21"/>
        <v>25000000</v>
      </c>
      <c r="L363" s="131">
        <f t="shared" si="22"/>
        <v>25</v>
      </c>
      <c r="M363" s="126">
        <f t="shared" si="23"/>
        <v>864</v>
      </c>
      <c r="N363" s="131">
        <f t="shared" si="24"/>
        <v>3.1103999999999998</v>
      </c>
      <c r="O363" s="131">
        <f t="shared" si="25"/>
        <v>28.571181841949024</v>
      </c>
      <c r="P363" s="8">
        <f t="shared" si="26"/>
        <v>242319.00000000012</v>
      </c>
      <c r="Q363" s="8">
        <f>IF(Parameters!$G$29="y",IF(INT($P363/Parameters!$K$29)&gt;INT($P362/Parameters!$K$29),1,0),0)</f>
        <v>0</v>
      </c>
      <c r="R363" s="8">
        <f>IF(Parameters!$G$30="y",IF(INT($P363/Parameters!$K$30)&gt;INT($P362/Parameters!$K$30),1,0),0)</f>
        <v>1</v>
      </c>
      <c r="S363" s="8">
        <f>IF(INT($P363/Parameters!$K$31)&gt;INT($P362/Parameters!$K$31),1,0)</f>
        <v>1</v>
      </c>
      <c r="T363" s="76">
        <f t="shared" si="14"/>
        <v>1</v>
      </c>
      <c r="U363" s="8">
        <f>C362/'Pump Data'!$L$21*1000/60</f>
        <v>4.0956902168854142E-2</v>
      </c>
      <c r="V363" s="8"/>
      <c r="W363" s="8"/>
    </row>
    <row r="364" spans="1:23" ht="14.25" x14ac:dyDescent="0.45">
      <c r="A364" s="125">
        <v>41992</v>
      </c>
      <c r="B364" s="126">
        <v>0</v>
      </c>
      <c r="C364" s="127">
        <f t="shared" si="15"/>
        <v>0</v>
      </c>
      <c r="D364" s="127">
        <f t="shared" si="16"/>
        <v>0.64100000000000001</v>
      </c>
      <c r="E364" s="127">
        <f t="shared" si="27"/>
        <v>41.425000000000068</v>
      </c>
      <c r="F364" s="130">
        <f>Parameters!$B$32*'Pump Data'!$L$21^2+Parameters!$B$33*'Pump Data'!$L$21+Parameters!$B$34</f>
        <v>115.93397007999999</v>
      </c>
      <c r="G364" s="130">
        <f t="shared" si="17"/>
        <v>0</v>
      </c>
      <c r="H364" s="131">
        <f t="shared" si="18"/>
        <v>0</v>
      </c>
      <c r="I364" s="126">
        <f t="shared" si="19"/>
        <v>0</v>
      </c>
      <c r="J364" s="126">
        <f t="shared" si="20"/>
        <v>0</v>
      </c>
      <c r="K364" s="126">
        <f t="shared" si="21"/>
        <v>0</v>
      </c>
      <c r="L364" s="131">
        <f t="shared" si="22"/>
        <v>0</v>
      </c>
      <c r="M364" s="126">
        <f t="shared" si="23"/>
        <v>864</v>
      </c>
      <c r="N364" s="131">
        <f t="shared" si="24"/>
        <v>3.1103999999999998</v>
      </c>
      <c r="O364" s="131">
        <f t="shared" si="25"/>
        <v>3.1103999999999998</v>
      </c>
      <c r="P364" s="8">
        <f t="shared" si="26"/>
        <v>242319.00000000012</v>
      </c>
      <c r="Q364" s="8">
        <f>IF(Parameters!$G$29="y",IF(INT($P364/Parameters!$K$29)&gt;INT($P363/Parameters!$K$29),1,0),0)</f>
        <v>0</v>
      </c>
      <c r="R364" s="8">
        <f>IF(Parameters!$G$30="y",IF(INT($P364/Parameters!$K$30)&gt;INT($P363/Parameters!$K$30),1,0),0)</f>
        <v>0</v>
      </c>
      <c r="S364" s="8">
        <f>IF(INT($P364/Parameters!$K$31)&gt;INT($P363/Parameters!$K$31),1,0)</f>
        <v>0</v>
      </c>
      <c r="T364" s="76">
        <f t="shared" si="14"/>
        <v>0</v>
      </c>
      <c r="U364" s="8">
        <f>C363/'Pump Data'!$L$21*1000/60</f>
        <v>1.1635483570697196</v>
      </c>
      <c r="V364" s="8"/>
      <c r="W364" s="8"/>
    </row>
    <row r="365" spans="1:23" ht="14.25" x14ac:dyDescent="0.45">
      <c r="A365" s="125">
        <v>41993</v>
      </c>
      <c r="B365" s="126">
        <v>0</v>
      </c>
      <c r="C365" s="127">
        <f t="shared" si="15"/>
        <v>0</v>
      </c>
      <c r="D365" s="127">
        <f t="shared" si="16"/>
        <v>0.64100000000000001</v>
      </c>
      <c r="E365" s="127">
        <f t="shared" si="27"/>
        <v>40.78400000000007</v>
      </c>
      <c r="F365" s="130">
        <f>Parameters!$B$32*'Pump Data'!$L$21^2+Parameters!$B$33*'Pump Data'!$L$21+Parameters!$B$34</f>
        <v>115.93397007999999</v>
      </c>
      <c r="G365" s="130">
        <f t="shared" si="17"/>
        <v>0</v>
      </c>
      <c r="H365" s="131">
        <f t="shared" si="18"/>
        <v>0</v>
      </c>
      <c r="I365" s="126">
        <f t="shared" si="19"/>
        <v>0</v>
      </c>
      <c r="J365" s="126">
        <f t="shared" si="20"/>
        <v>0</v>
      </c>
      <c r="K365" s="126">
        <f t="shared" si="21"/>
        <v>0</v>
      </c>
      <c r="L365" s="131">
        <f t="shared" si="22"/>
        <v>0</v>
      </c>
      <c r="M365" s="126">
        <f t="shared" si="23"/>
        <v>864</v>
      </c>
      <c r="N365" s="131">
        <f t="shared" si="24"/>
        <v>3.1103999999999998</v>
      </c>
      <c r="O365" s="131">
        <f t="shared" si="25"/>
        <v>3.1103999999999998</v>
      </c>
      <c r="P365" s="8">
        <f t="shared" si="26"/>
        <v>242319.00000000012</v>
      </c>
      <c r="Q365" s="8">
        <f>IF(Parameters!$G$29="y",IF(INT($P365/Parameters!$K$29)&gt;INT($P364/Parameters!$K$29),1,0),0)</f>
        <v>0</v>
      </c>
      <c r="R365" s="8">
        <f>IF(Parameters!$G$30="y",IF(INT($P365/Parameters!$K$30)&gt;INT($P364/Parameters!$K$30),1,0),0)</f>
        <v>0</v>
      </c>
      <c r="S365" s="8">
        <f>IF(INT($P365/Parameters!$K$31)&gt;INT($P364/Parameters!$K$31),1,0)</f>
        <v>0</v>
      </c>
      <c r="T365" s="76">
        <f t="shared" si="14"/>
        <v>0</v>
      </c>
      <c r="U365" s="8">
        <f>C364/'Pump Data'!$L$21*1000/60</f>
        <v>0</v>
      </c>
      <c r="V365" s="8"/>
      <c r="W365" s="8"/>
    </row>
    <row r="366" spans="1:23" ht="14.25" x14ac:dyDescent="0.45">
      <c r="A366" s="125">
        <v>41994</v>
      </c>
      <c r="B366" s="126">
        <v>8.8000000000000007</v>
      </c>
      <c r="C366" s="127">
        <f t="shared" si="15"/>
        <v>0.96800000000000008</v>
      </c>
      <c r="D366" s="127">
        <f t="shared" si="16"/>
        <v>0.64100000000000001</v>
      </c>
      <c r="E366" s="127">
        <f t="shared" si="27"/>
        <v>41.111000000000075</v>
      </c>
      <c r="F366" s="130">
        <f>Parameters!$B$32*'Pump Data'!$L$21^2+Parameters!$B$33*'Pump Data'!$L$21+Parameters!$B$34</f>
        <v>115.93397007999999</v>
      </c>
      <c r="G366" s="130">
        <f t="shared" si="17"/>
        <v>178.41472920266227</v>
      </c>
      <c r="H366" s="131">
        <f t="shared" si="18"/>
        <v>0.17841472920266227</v>
      </c>
      <c r="I366" s="126">
        <f t="shared" si="19"/>
        <v>4840.0000000000009</v>
      </c>
      <c r="J366" s="126">
        <f t="shared" si="20"/>
        <v>4.8400000000000007</v>
      </c>
      <c r="K366" s="126">
        <f t="shared" si="21"/>
        <v>9680000.0000000019</v>
      </c>
      <c r="L366" s="131">
        <f t="shared" si="22"/>
        <v>9.6800000000000015</v>
      </c>
      <c r="M366" s="126">
        <f t="shared" si="23"/>
        <v>864</v>
      </c>
      <c r="N366" s="131">
        <f t="shared" si="24"/>
        <v>3.1103999999999998</v>
      </c>
      <c r="O366" s="131">
        <f t="shared" si="25"/>
        <v>12.968814729202665</v>
      </c>
      <c r="P366" s="8">
        <f t="shared" si="26"/>
        <v>243287.00000000012</v>
      </c>
      <c r="Q366" s="8">
        <f>IF(Parameters!$G$29="y",IF(INT($P366/Parameters!$K$29)&gt;INT($P365/Parameters!$K$29),1,0),0)</f>
        <v>0</v>
      </c>
      <c r="R366" s="8">
        <f>IF(Parameters!$G$30="y",IF(INT($P366/Parameters!$K$30)&gt;INT($P365/Parameters!$K$30),1,0),0)</f>
        <v>0</v>
      </c>
      <c r="S366" s="8">
        <f>IF(INT($P366/Parameters!$K$31)&gt;INT($P365/Parameters!$K$31),1,0)</f>
        <v>0</v>
      </c>
      <c r="T366" s="76">
        <f t="shared" si="14"/>
        <v>0</v>
      </c>
      <c r="U366" s="8">
        <f>C365/'Pump Data'!$L$21*1000/60</f>
        <v>0</v>
      </c>
      <c r="V366" s="8"/>
      <c r="W366" s="8"/>
    </row>
    <row r="367" spans="1:23" ht="14.25" x14ac:dyDescent="0.45">
      <c r="A367" s="125">
        <v>41995</v>
      </c>
      <c r="B367" s="126">
        <v>11.6</v>
      </c>
      <c r="C367" s="127">
        <f t="shared" si="15"/>
        <v>1.2759999999999998</v>
      </c>
      <c r="D367" s="127">
        <f t="shared" si="16"/>
        <v>0.64100000000000001</v>
      </c>
      <c r="E367" s="127">
        <f t="shared" si="27"/>
        <v>41.746000000000073</v>
      </c>
      <c r="F367" s="130">
        <f>Parameters!$B$32*'Pump Data'!$L$21^2+Parameters!$B$33*'Pump Data'!$L$21+Parameters!$B$34</f>
        <v>115.93397007999999</v>
      </c>
      <c r="G367" s="130">
        <f t="shared" si="17"/>
        <v>235.18305213078202</v>
      </c>
      <c r="H367" s="131">
        <f t="shared" si="18"/>
        <v>0.23518305213078203</v>
      </c>
      <c r="I367" s="126">
        <f t="shared" si="19"/>
        <v>6379.9999999999982</v>
      </c>
      <c r="J367" s="126">
        <f t="shared" si="20"/>
        <v>6.3799999999999981</v>
      </c>
      <c r="K367" s="126">
        <f t="shared" si="21"/>
        <v>12759999.999999996</v>
      </c>
      <c r="L367" s="131">
        <f t="shared" si="22"/>
        <v>12.759999999999996</v>
      </c>
      <c r="M367" s="126">
        <f t="shared" si="23"/>
        <v>864</v>
      </c>
      <c r="N367" s="131">
        <f t="shared" si="24"/>
        <v>3.1103999999999998</v>
      </c>
      <c r="O367" s="131">
        <f t="shared" si="25"/>
        <v>16.105583052130779</v>
      </c>
      <c r="P367" s="8">
        <f t="shared" si="26"/>
        <v>244563.00000000012</v>
      </c>
      <c r="Q367" s="8">
        <f>IF(Parameters!$G$29="y",IF(INT($P367/Parameters!$K$29)&gt;INT($P366/Parameters!$K$29),1,0),0)</f>
        <v>0</v>
      </c>
      <c r="R367" s="8">
        <f>IF(Parameters!$G$30="y",IF(INT($P367/Parameters!$K$30)&gt;INT($P366/Parameters!$K$30),1,0),0)</f>
        <v>0</v>
      </c>
      <c r="S367" s="8">
        <f>IF(INT($P367/Parameters!$K$31)&gt;INT($P366/Parameters!$K$31),1,0)</f>
        <v>0</v>
      </c>
      <c r="T367" s="76">
        <f t="shared" si="14"/>
        <v>0</v>
      </c>
      <c r="U367" s="8">
        <f>C366/'Pump Data'!$L$21*1000/60</f>
        <v>0.45052592385739554</v>
      </c>
      <c r="V367" s="8"/>
      <c r="W367" s="8"/>
    </row>
    <row r="368" spans="1:23" ht="14.25" x14ac:dyDescent="0.45">
      <c r="A368" s="125">
        <v>41996</v>
      </c>
      <c r="B368" s="126">
        <v>10</v>
      </c>
      <c r="C368" s="127">
        <f t="shared" si="15"/>
        <v>1.1000000000000001</v>
      </c>
      <c r="D368" s="127">
        <f t="shared" si="16"/>
        <v>0.64100000000000001</v>
      </c>
      <c r="E368" s="127">
        <f t="shared" si="27"/>
        <v>42.205000000000076</v>
      </c>
      <c r="F368" s="130">
        <f>Parameters!$B$32*'Pump Data'!$L$21^2+Parameters!$B$33*'Pump Data'!$L$21+Parameters!$B$34</f>
        <v>115.93397007999999</v>
      </c>
      <c r="G368" s="130">
        <f t="shared" si="17"/>
        <v>202.74401045757077</v>
      </c>
      <c r="H368" s="131">
        <f t="shared" si="18"/>
        <v>0.20274401045757076</v>
      </c>
      <c r="I368" s="126">
        <f t="shared" si="19"/>
        <v>5500</v>
      </c>
      <c r="J368" s="126">
        <f t="shared" si="20"/>
        <v>5.5</v>
      </c>
      <c r="K368" s="126">
        <f t="shared" si="21"/>
        <v>11000000</v>
      </c>
      <c r="L368" s="131">
        <f t="shared" si="22"/>
        <v>11</v>
      </c>
      <c r="M368" s="126">
        <f t="shared" si="23"/>
        <v>864</v>
      </c>
      <c r="N368" s="131">
        <f t="shared" si="24"/>
        <v>3.1103999999999998</v>
      </c>
      <c r="O368" s="131">
        <f t="shared" si="25"/>
        <v>14.31314401045757</v>
      </c>
      <c r="P368" s="8">
        <f t="shared" si="26"/>
        <v>245663.00000000012</v>
      </c>
      <c r="Q368" s="8">
        <f>IF(Parameters!$G$29="y",IF(INT($P368/Parameters!$K$29)&gt;INT($P367/Parameters!$K$29),1,0),0)</f>
        <v>0</v>
      </c>
      <c r="R368" s="8">
        <f>IF(Parameters!$G$30="y",IF(INT($P368/Parameters!$K$30)&gt;INT($P367/Parameters!$K$30),1,0),0)</f>
        <v>0</v>
      </c>
      <c r="S368" s="8">
        <f>IF(INT($P368/Parameters!$K$31)&gt;INT($P367/Parameters!$K$31),1,0)</f>
        <v>0</v>
      </c>
      <c r="T368" s="76">
        <f t="shared" si="14"/>
        <v>0</v>
      </c>
      <c r="U368" s="8">
        <f>C367/'Pump Data'!$L$21*1000/60</f>
        <v>0.59387508144838486</v>
      </c>
      <c r="V368" s="8"/>
      <c r="W368" s="8"/>
    </row>
    <row r="369" spans="1:23" ht="14.25" x14ac:dyDescent="0.45">
      <c r="A369" s="125">
        <v>41997</v>
      </c>
      <c r="B369" s="126">
        <v>2.2000000000000002</v>
      </c>
      <c r="C369" s="127">
        <f t="shared" si="15"/>
        <v>0.24200000000000002</v>
      </c>
      <c r="D369" s="127">
        <f t="shared" si="16"/>
        <v>0.64100000000000001</v>
      </c>
      <c r="E369" s="127">
        <f t="shared" si="27"/>
        <v>41.806000000000076</v>
      </c>
      <c r="F369" s="130">
        <f>Parameters!$B$32*'Pump Data'!$L$21^2+Parameters!$B$33*'Pump Data'!$L$21+Parameters!$B$34</f>
        <v>115.93397007999999</v>
      </c>
      <c r="G369" s="130">
        <f t="shared" si="17"/>
        <v>44.603682300665568</v>
      </c>
      <c r="H369" s="131">
        <f t="shared" si="18"/>
        <v>4.4603682300665567E-2</v>
      </c>
      <c r="I369" s="126">
        <f t="shared" si="19"/>
        <v>1210.0000000000002</v>
      </c>
      <c r="J369" s="126">
        <f t="shared" si="20"/>
        <v>1.2100000000000002</v>
      </c>
      <c r="K369" s="126">
        <f t="shared" si="21"/>
        <v>2420000.0000000005</v>
      </c>
      <c r="L369" s="131">
        <f t="shared" si="22"/>
        <v>2.4200000000000004</v>
      </c>
      <c r="M369" s="126">
        <f t="shared" si="23"/>
        <v>864</v>
      </c>
      <c r="N369" s="131">
        <f t="shared" si="24"/>
        <v>3.1103999999999998</v>
      </c>
      <c r="O369" s="131">
        <f t="shared" si="25"/>
        <v>5.5750036823006663</v>
      </c>
      <c r="P369" s="8">
        <f t="shared" si="26"/>
        <v>245905.00000000012</v>
      </c>
      <c r="Q369" s="8">
        <f>IF(Parameters!$G$29="y",IF(INT($P369/Parameters!$K$29)&gt;INT($P368/Parameters!$K$29),1,0),0)</f>
        <v>0</v>
      </c>
      <c r="R369" s="8">
        <f>IF(Parameters!$G$30="y",IF(INT($P369/Parameters!$K$30)&gt;INT($P368/Parameters!$K$30),1,0),0)</f>
        <v>0</v>
      </c>
      <c r="S369" s="8">
        <f>IF(INT($P369/Parameters!$K$31)&gt;INT($P368/Parameters!$K$31),1,0)</f>
        <v>0</v>
      </c>
      <c r="T369" s="76">
        <f t="shared" si="14"/>
        <v>0</v>
      </c>
      <c r="U369" s="8">
        <f>C368/'Pump Data'!$L$21*1000/60</f>
        <v>0.51196127711067674</v>
      </c>
      <c r="V369" s="8"/>
      <c r="W369" s="8"/>
    </row>
    <row r="370" spans="1:23" ht="14.25" x14ac:dyDescent="0.45">
      <c r="A370" s="125">
        <v>41998</v>
      </c>
      <c r="B370" s="126">
        <v>0.6</v>
      </c>
      <c r="C370" s="127">
        <f t="shared" si="15"/>
        <v>6.5999999999999989E-2</v>
      </c>
      <c r="D370" s="127">
        <f t="shared" si="16"/>
        <v>0.64100000000000001</v>
      </c>
      <c r="E370" s="127">
        <f t="shared" si="27"/>
        <v>41.23100000000008</v>
      </c>
      <c r="F370" s="130">
        <f>Parameters!$B$32*'Pump Data'!$L$21^2+Parameters!$B$33*'Pump Data'!$L$21+Parameters!$B$34</f>
        <v>115.93397007999999</v>
      </c>
      <c r="G370" s="130">
        <f t="shared" si="17"/>
        <v>12.164640627454242</v>
      </c>
      <c r="H370" s="131">
        <f t="shared" si="18"/>
        <v>1.2164640627454242E-2</v>
      </c>
      <c r="I370" s="126">
        <f t="shared" si="19"/>
        <v>329.99999999999989</v>
      </c>
      <c r="J370" s="126">
        <f t="shared" si="20"/>
        <v>0.3299999999999999</v>
      </c>
      <c r="K370" s="126">
        <f t="shared" si="21"/>
        <v>659999.99999999977</v>
      </c>
      <c r="L370" s="131">
        <f t="shared" si="22"/>
        <v>0.65999999999999981</v>
      </c>
      <c r="M370" s="126">
        <f t="shared" si="23"/>
        <v>864</v>
      </c>
      <c r="N370" s="131">
        <f t="shared" si="24"/>
        <v>3.1103999999999998</v>
      </c>
      <c r="O370" s="131">
        <f t="shared" si="25"/>
        <v>3.782564640627454</v>
      </c>
      <c r="P370" s="8">
        <f t="shared" si="26"/>
        <v>245971.00000000012</v>
      </c>
      <c r="Q370" s="8">
        <f>IF(Parameters!$G$29="y",IF(INT($P370/Parameters!$K$29)&gt;INT($P369/Parameters!$K$29),1,0),0)</f>
        <v>0</v>
      </c>
      <c r="R370" s="8">
        <f>IF(Parameters!$G$30="y",IF(INT($P370/Parameters!$K$30)&gt;INT($P369/Parameters!$K$30),1,0),0)</f>
        <v>0</v>
      </c>
      <c r="S370" s="8">
        <f>IF(INT($P370/Parameters!$K$31)&gt;INT($P369/Parameters!$K$31),1,0)</f>
        <v>0</v>
      </c>
      <c r="T370" s="76">
        <f t="shared" si="14"/>
        <v>0</v>
      </c>
      <c r="U370" s="8">
        <f>C369/'Pump Data'!$L$21*1000/60</f>
        <v>0.11263148096434888</v>
      </c>
      <c r="V370" s="8"/>
      <c r="W370" s="8"/>
    </row>
    <row r="371" spans="1:23" ht="14.25" x14ac:dyDescent="0.45">
      <c r="A371" s="125">
        <v>41999</v>
      </c>
      <c r="B371" s="126">
        <v>10.199999999999999</v>
      </c>
      <c r="C371" s="127">
        <f t="shared" si="15"/>
        <v>1.1219999999999999</v>
      </c>
      <c r="D371" s="127">
        <f t="shared" si="16"/>
        <v>0.64100000000000001</v>
      </c>
      <c r="E371" s="127">
        <f t="shared" si="27"/>
        <v>41.712000000000081</v>
      </c>
      <c r="F371" s="130">
        <f>Parameters!$B$32*'Pump Data'!$L$21^2+Parameters!$B$33*'Pump Data'!$L$21+Parameters!$B$34</f>
        <v>115.93397007999999</v>
      </c>
      <c r="G371" s="130">
        <f t="shared" si="17"/>
        <v>206.79889066672212</v>
      </c>
      <c r="H371" s="131">
        <f t="shared" si="18"/>
        <v>0.20679889066672211</v>
      </c>
      <c r="I371" s="126">
        <f t="shared" si="19"/>
        <v>5610</v>
      </c>
      <c r="J371" s="126">
        <f t="shared" si="20"/>
        <v>5.61</v>
      </c>
      <c r="K371" s="126">
        <f t="shared" si="21"/>
        <v>11220000</v>
      </c>
      <c r="L371" s="131">
        <f t="shared" si="22"/>
        <v>11.22</v>
      </c>
      <c r="M371" s="126">
        <f t="shared" si="23"/>
        <v>864</v>
      </c>
      <c r="N371" s="131">
        <f t="shared" si="24"/>
        <v>3.1103999999999998</v>
      </c>
      <c r="O371" s="131">
        <f t="shared" si="25"/>
        <v>14.537198890666723</v>
      </c>
      <c r="P371" s="8">
        <f t="shared" si="26"/>
        <v>247093.00000000015</v>
      </c>
      <c r="Q371" s="8">
        <f>IF(Parameters!$G$29="y",IF(INT($P371/Parameters!$K$29)&gt;INT($P370/Parameters!$K$29),1,0),0)</f>
        <v>0</v>
      </c>
      <c r="R371" s="8">
        <f>IF(Parameters!$G$30="y",IF(INT($P371/Parameters!$K$30)&gt;INT($P370/Parameters!$K$30),1,0),0)</f>
        <v>0</v>
      </c>
      <c r="S371" s="8">
        <f>IF(INT($P371/Parameters!$K$31)&gt;INT($P370/Parameters!$K$31),1,0)</f>
        <v>0</v>
      </c>
      <c r="T371" s="76">
        <f t="shared" si="14"/>
        <v>0</v>
      </c>
      <c r="U371" s="8">
        <f>C370/'Pump Data'!$L$21*1000/60</f>
        <v>3.0717676626640596E-2</v>
      </c>
      <c r="V371" s="8"/>
      <c r="W371" s="8"/>
    </row>
    <row r="372" spans="1:23" ht="14.25" x14ac:dyDescent="0.45">
      <c r="A372" s="125">
        <v>42000</v>
      </c>
      <c r="B372" s="126">
        <v>5.4</v>
      </c>
      <c r="C372" s="127">
        <f t="shared" si="15"/>
        <v>0.59400000000000008</v>
      </c>
      <c r="D372" s="127">
        <f t="shared" si="16"/>
        <v>0.64100000000000001</v>
      </c>
      <c r="E372" s="127">
        <f t="shared" si="27"/>
        <v>41.665000000000084</v>
      </c>
      <c r="F372" s="130">
        <f>Parameters!$B$32*'Pump Data'!$L$21^2+Parameters!$B$33*'Pump Data'!$L$21+Parameters!$B$34</f>
        <v>115.93397007999999</v>
      </c>
      <c r="G372" s="130">
        <f t="shared" si="17"/>
        <v>109.48176564708821</v>
      </c>
      <c r="H372" s="131">
        <f t="shared" si="18"/>
        <v>0.10948176564708821</v>
      </c>
      <c r="I372" s="126">
        <f t="shared" si="19"/>
        <v>2970.0000000000009</v>
      </c>
      <c r="J372" s="126">
        <f t="shared" si="20"/>
        <v>2.9700000000000011</v>
      </c>
      <c r="K372" s="126">
        <f t="shared" si="21"/>
        <v>5940000.0000000019</v>
      </c>
      <c r="L372" s="131">
        <f t="shared" si="22"/>
        <v>5.9400000000000022</v>
      </c>
      <c r="M372" s="126">
        <f t="shared" si="23"/>
        <v>864</v>
      </c>
      <c r="N372" s="131">
        <f t="shared" si="24"/>
        <v>3.1103999999999998</v>
      </c>
      <c r="O372" s="131">
        <f t="shared" si="25"/>
        <v>9.159881765647091</v>
      </c>
      <c r="P372" s="8">
        <f t="shared" si="26"/>
        <v>247687.00000000012</v>
      </c>
      <c r="Q372" s="8">
        <f>IF(Parameters!$G$29="y",IF(INT($P372/Parameters!$K$29)&gt;INT($P371/Parameters!$K$29),1,0),0)</f>
        <v>0</v>
      </c>
      <c r="R372" s="8">
        <f>IF(Parameters!$G$30="y",IF(INT($P372/Parameters!$K$30)&gt;INT($P371/Parameters!$K$30),1,0),0)</f>
        <v>0</v>
      </c>
      <c r="S372" s="8">
        <f>IF(INT($P372/Parameters!$K$31)&gt;INT($P371/Parameters!$K$31),1,0)</f>
        <v>0</v>
      </c>
      <c r="T372" s="76">
        <f t="shared" si="14"/>
        <v>0</v>
      </c>
      <c r="U372" s="8">
        <f>C371/'Pump Data'!$L$21*1000/60</f>
        <v>0.52220050265289009</v>
      </c>
      <c r="V372" s="8"/>
      <c r="W372" s="8"/>
    </row>
    <row r="373" spans="1:23" ht="14.25" x14ac:dyDescent="0.45">
      <c r="A373" s="125">
        <v>42001</v>
      </c>
      <c r="B373" s="126">
        <v>0</v>
      </c>
      <c r="C373" s="127">
        <f t="shared" si="15"/>
        <v>0</v>
      </c>
      <c r="D373" s="127">
        <f t="shared" si="16"/>
        <v>0.64100000000000001</v>
      </c>
      <c r="E373" s="127">
        <f t="shared" si="27"/>
        <v>41.024000000000086</v>
      </c>
      <c r="F373" s="130">
        <f>Parameters!$B$32*'Pump Data'!$L$21^2+Parameters!$B$33*'Pump Data'!$L$21+Parameters!$B$34</f>
        <v>115.93397007999999</v>
      </c>
      <c r="G373" s="130">
        <f t="shared" si="17"/>
        <v>0</v>
      </c>
      <c r="H373" s="131">
        <f t="shared" si="18"/>
        <v>0</v>
      </c>
      <c r="I373" s="126">
        <f t="shared" si="19"/>
        <v>0</v>
      </c>
      <c r="J373" s="126">
        <f t="shared" si="20"/>
        <v>0</v>
      </c>
      <c r="K373" s="126">
        <f t="shared" si="21"/>
        <v>0</v>
      </c>
      <c r="L373" s="131">
        <f t="shared" si="22"/>
        <v>0</v>
      </c>
      <c r="M373" s="126">
        <f t="shared" si="23"/>
        <v>864</v>
      </c>
      <c r="N373" s="131">
        <f t="shared" si="24"/>
        <v>3.1103999999999998</v>
      </c>
      <c r="O373" s="131">
        <f t="shared" si="25"/>
        <v>3.1103999999999998</v>
      </c>
      <c r="P373" s="8">
        <f t="shared" si="26"/>
        <v>247687.00000000012</v>
      </c>
      <c r="Q373" s="8">
        <f>IF(Parameters!$G$29="y",IF(INT($P373/Parameters!$K$29)&gt;INT($P372/Parameters!$K$29),1,0),0)</f>
        <v>0</v>
      </c>
      <c r="R373" s="8">
        <f>IF(Parameters!$G$30="y",IF(INT($P373/Parameters!$K$30)&gt;INT($P372/Parameters!$K$30),1,0),0)</f>
        <v>0</v>
      </c>
      <c r="S373" s="8">
        <f>IF(INT($P373/Parameters!$K$31)&gt;INT($P372/Parameters!$K$31),1,0)</f>
        <v>0</v>
      </c>
      <c r="T373" s="76">
        <f t="shared" si="14"/>
        <v>0</v>
      </c>
      <c r="U373" s="8">
        <f>C372/'Pump Data'!$L$21*1000/60</f>
        <v>0.27645908963976545</v>
      </c>
      <c r="V373" s="8"/>
      <c r="W373" s="8"/>
    </row>
    <row r="374" spans="1:23" ht="14.25" x14ac:dyDescent="0.45">
      <c r="A374" s="125">
        <v>42002</v>
      </c>
      <c r="B374" s="126">
        <v>0</v>
      </c>
      <c r="C374" s="127">
        <f t="shared" si="15"/>
        <v>0</v>
      </c>
      <c r="D374" s="127">
        <f t="shared" si="16"/>
        <v>0.64100000000000001</v>
      </c>
      <c r="E374" s="127">
        <f t="shared" si="27"/>
        <v>40.383000000000088</v>
      </c>
      <c r="F374" s="130">
        <f>Parameters!$B$32*'Pump Data'!$L$21^2+Parameters!$B$33*'Pump Data'!$L$21+Parameters!$B$34</f>
        <v>115.93397007999999</v>
      </c>
      <c r="G374" s="130">
        <f t="shared" si="17"/>
        <v>0</v>
      </c>
      <c r="H374" s="131">
        <f t="shared" si="18"/>
        <v>0</v>
      </c>
      <c r="I374" s="126">
        <f t="shared" si="19"/>
        <v>0</v>
      </c>
      <c r="J374" s="126">
        <f t="shared" si="20"/>
        <v>0</v>
      </c>
      <c r="K374" s="126">
        <f t="shared" si="21"/>
        <v>0</v>
      </c>
      <c r="L374" s="131">
        <f t="shared" si="22"/>
        <v>0</v>
      </c>
      <c r="M374" s="126">
        <f t="shared" si="23"/>
        <v>864</v>
      </c>
      <c r="N374" s="131">
        <f t="shared" si="24"/>
        <v>3.1103999999999998</v>
      </c>
      <c r="O374" s="131">
        <f t="shared" si="25"/>
        <v>3.1103999999999998</v>
      </c>
      <c r="P374" s="8">
        <f t="shared" si="26"/>
        <v>247687.00000000012</v>
      </c>
      <c r="Q374" s="8">
        <f>IF(Parameters!$G$29="y",IF(INT($P374/Parameters!$K$29)&gt;INT($P373/Parameters!$K$29),1,0),0)</f>
        <v>0</v>
      </c>
      <c r="R374" s="8">
        <f>IF(Parameters!$G$30="y",IF(INT($P374/Parameters!$K$30)&gt;INT($P373/Parameters!$K$30),1,0),0)</f>
        <v>0</v>
      </c>
      <c r="S374" s="8">
        <f>IF(INT($P374/Parameters!$K$31)&gt;INT($P373/Parameters!$K$31),1,0)</f>
        <v>0</v>
      </c>
      <c r="T374" s="76">
        <f t="shared" si="14"/>
        <v>0</v>
      </c>
      <c r="U374" s="8">
        <f>C373/'Pump Data'!$L$21*1000/60</f>
        <v>0</v>
      </c>
      <c r="V374" s="8"/>
      <c r="W374" s="8"/>
    </row>
    <row r="375" spans="1:23" ht="14.25" x14ac:dyDescent="0.45">
      <c r="A375" s="125">
        <v>42003</v>
      </c>
      <c r="B375" s="126">
        <v>0</v>
      </c>
      <c r="C375" s="127">
        <f t="shared" si="15"/>
        <v>0</v>
      </c>
      <c r="D375" s="127">
        <f t="shared" si="16"/>
        <v>0.64100000000000001</v>
      </c>
      <c r="E375" s="127">
        <f t="shared" si="27"/>
        <v>39.74200000000009</v>
      </c>
      <c r="F375" s="130">
        <f>Parameters!$B$32*'Pump Data'!$L$21^2+Parameters!$B$33*'Pump Data'!$L$21+Parameters!$B$34</f>
        <v>115.93397007999999</v>
      </c>
      <c r="G375" s="130">
        <f t="shared" si="17"/>
        <v>0</v>
      </c>
      <c r="H375" s="131">
        <f t="shared" si="18"/>
        <v>0</v>
      </c>
      <c r="I375" s="126">
        <f t="shared" si="19"/>
        <v>0</v>
      </c>
      <c r="J375" s="126">
        <f t="shared" si="20"/>
        <v>0</v>
      </c>
      <c r="K375" s="126">
        <f t="shared" si="21"/>
        <v>0</v>
      </c>
      <c r="L375" s="131">
        <f t="shared" si="22"/>
        <v>0</v>
      </c>
      <c r="M375" s="126">
        <f t="shared" si="23"/>
        <v>864</v>
      </c>
      <c r="N375" s="131">
        <f t="shared" si="24"/>
        <v>3.1103999999999998</v>
      </c>
      <c r="O375" s="131">
        <f t="shared" si="25"/>
        <v>3.1103999999999998</v>
      </c>
      <c r="P375" s="8">
        <f t="shared" si="26"/>
        <v>247687.00000000012</v>
      </c>
      <c r="Q375" s="8">
        <f>IF(Parameters!$G$29="y",IF(INT($P375/Parameters!$K$29)&gt;INT($P374/Parameters!$K$29),1,0),0)</f>
        <v>0</v>
      </c>
      <c r="R375" s="8">
        <f>IF(Parameters!$G$30="y",IF(INT($P375/Parameters!$K$30)&gt;INT($P374/Parameters!$K$30),1,0),0)</f>
        <v>0</v>
      </c>
      <c r="S375" s="8">
        <f>IF(INT($P375/Parameters!$K$31)&gt;INT($P374/Parameters!$K$31),1,0)</f>
        <v>0</v>
      </c>
      <c r="T375" s="76">
        <f t="shared" si="14"/>
        <v>0</v>
      </c>
      <c r="U375" s="8">
        <f>C374/'Pump Data'!$L$21*1000/60</f>
        <v>0</v>
      </c>
      <c r="V375" s="8"/>
      <c r="W375" s="8"/>
    </row>
    <row r="376" spans="1:23" ht="14.25" x14ac:dyDescent="0.45">
      <c r="A376" s="125">
        <v>42004</v>
      </c>
      <c r="B376" s="126">
        <v>0</v>
      </c>
      <c r="C376" s="127">
        <f t="shared" si="15"/>
        <v>0</v>
      </c>
      <c r="D376" s="127">
        <f t="shared" si="16"/>
        <v>0.64100000000000001</v>
      </c>
      <c r="E376" s="127">
        <f t="shared" si="27"/>
        <v>39.101000000000091</v>
      </c>
      <c r="F376" s="130">
        <f>Parameters!$B$32*'Pump Data'!$L$21^2+Parameters!$B$33*'Pump Data'!$L$21+Parameters!$B$34</f>
        <v>115.93397007999999</v>
      </c>
      <c r="G376" s="130">
        <f t="shared" si="17"/>
        <v>0</v>
      </c>
      <c r="H376" s="131">
        <f t="shared" si="18"/>
        <v>0</v>
      </c>
      <c r="I376" s="126">
        <f t="shared" si="19"/>
        <v>0</v>
      </c>
      <c r="J376" s="126">
        <f t="shared" si="20"/>
        <v>0</v>
      </c>
      <c r="K376" s="126">
        <f t="shared" si="21"/>
        <v>0</v>
      </c>
      <c r="L376" s="131">
        <f t="shared" si="22"/>
        <v>0</v>
      </c>
      <c r="M376" s="126">
        <f t="shared" si="23"/>
        <v>864</v>
      </c>
      <c r="N376" s="131">
        <f t="shared" si="24"/>
        <v>3.1103999999999998</v>
      </c>
      <c r="O376" s="131">
        <f t="shared" si="25"/>
        <v>3.1103999999999998</v>
      </c>
      <c r="P376" s="8">
        <f t="shared" si="26"/>
        <v>247687.00000000012</v>
      </c>
      <c r="Q376" s="8">
        <f>IF(Parameters!$G$29="y",IF(INT($P376/Parameters!$K$29)&gt;INT($P375/Parameters!$K$29),1,0),0)</f>
        <v>0</v>
      </c>
      <c r="R376" s="8">
        <f>IF(Parameters!$G$30="y",IF(INT($P376/Parameters!$K$30)&gt;INT($P375/Parameters!$K$30),1,0),0)</f>
        <v>0</v>
      </c>
      <c r="S376" s="8">
        <f>IF(INT($P376/Parameters!$K$31)&gt;INT($P375/Parameters!$K$31),1,0)</f>
        <v>0</v>
      </c>
      <c r="T376" s="76">
        <f t="shared" si="14"/>
        <v>0</v>
      </c>
      <c r="U376" s="8">
        <f>C375/'Pump Data'!$L$21*1000/60</f>
        <v>0</v>
      </c>
      <c r="V376" s="8"/>
      <c r="W376" s="8"/>
    </row>
    <row r="377" spans="1:23" ht="14.25" x14ac:dyDescent="0.45">
      <c r="A377" s="5"/>
      <c r="B377" s="5"/>
      <c r="P377" s="245"/>
      <c r="S377" s="245"/>
    </row>
    <row r="378" spans="1:23" ht="14.25" x14ac:dyDescent="0.45">
      <c r="A378" s="5"/>
      <c r="B378" s="5"/>
      <c r="P378" s="245"/>
      <c r="S378" s="245"/>
    </row>
    <row r="379" spans="1:23" ht="12.75" x14ac:dyDescent="0.35">
      <c r="P379" s="245"/>
      <c r="S379" s="245"/>
    </row>
    <row r="380" spans="1:23" ht="12.75" x14ac:dyDescent="0.35">
      <c r="P380" s="245"/>
      <c r="S380" s="245"/>
    </row>
    <row r="381" spans="1:23" ht="12.75" x14ac:dyDescent="0.35">
      <c r="P381" s="245"/>
      <c r="S381" s="245"/>
    </row>
    <row r="382" spans="1:23" ht="12.75" x14ac:dyDescent="0.35">
      <c r="P382" s="245"/>
      <c r="S382" s="245"/>
    </row>
    <row r="383" spans="1:23" ht="12.75" x14ac:dyDescent="0.35">
      <c r="P383" s="245"/>
      <c r="S383" s="245"/>
    </row>
    <row r="384" spans="1:23" ht="12.75" x14ac:dyDescent="0.35">
      <c r="P384" s="245"/>
      <c r="S384" s="245"/>
    </row>
    <row r="385" spans="16:19" ht="12.75" x14ac:dyDescent="0.35">
      <c r="P385" s="245"/>
      <c r="S385" s="245"/>
    </row>
    <row r="386" spans="16:19" ht="12.75" x14ac:dyDescent="0.35">
      <c r="P386" s="245"/>
      <c r="S386" s="245"/>
    </row>
    <row r="387" spans="16:19" ht="12.75" x14ac:dyDescent="0.35">
      <c r="P387" s="245"/>
      <c r="S387" s="245"/>
    </row>
    <row r="388" spans="16:19" ht="12.75" x14ac:dyDescent="0.35">
      <c r="P388" s="245"/>
      <c r="S388" s="245"/>
    </row>
    <row r="389" spans="16:19" ht="12.75" x14ac:dyDescent="0.35">
      <c r="P389" s="245"/>
      <c r="S389" s="245"/>
    </row>
    <row r="390" spans="16:19" ht="12.75" x14ac:dyDescent="0.35">
      <c r="P390" s="245"/>
      <c r="S390" s="245"/>
    </row>
    <row r="391" spans="16:19" ht="12.75" x14ac:dyDescent="0.35">
      <c r="P391" s="245"/>
      <c r="S391" s="245"/>
    </row>
    <row r="392" spans="16:19" ht="12.75" x14ac:dyDescent="0.35">
      <c r="P392" s="245"/>
      <c r="S392" s="245"/>
    </row>
    <row r="393" spans="16:19" ht="12.75" x14ac:dyDescent="0.35">
      <c r="P393" s="245"/>
      <c r="S393" s="245"/>
    </row>
    <row r="394" spans="16:19" ht="12.75" x14ac:dyDescent="0.35">
      <c r="P394" s="245"/>
      <c r="S394" s="245"/>
    </row>
    <row r="395" spans="16:19" ht="12.75" x14ac:dyDescent="0.35">
      <c r="P395" s="245"/>
      <c r="S395" s="245"/>
    </row>
    <row r="396" spans="16:19" ht="12.75" x14ac:dyDescent="0.35">
      <c r="P396" s="245"/>
      <c r="S396" s="245"/>
    </row>
    <row r="397" spans="16:19" ht="12.75" x14ac:dyDescent="0.35">
      <c r="P397" s="245"/>
      <c r="S397" s="245"/>
    </row>
    <row r="398" spans="16:19" ht="12.75" x14ac:dyDescent="0.35">
      <c r="P398" s="245"/>
      <c r="S398" s="245"/>
    </row>
    <row r="399" spans="16:19" ht="12.75" x14ac:dyDescent="0.35">
      <c r="P399" s="245"/>
      <c r="S399" s="245"/>
    </row>
    <row r="400" spans="16:19" ht="12.75" x14ac:dyDescent="0.35">
      <c r="P400" s="245"/>
      <c r="S400" s="245"/>
    </row>
    <row r="401" spans="16:19" ht="12.75" x14ac:dyDescent="0.35">
      <c r="P401" s="245"/>
      <c r="S401" s="245"/>
    </row>
    <row r="402" spans="16:19" ht="12.75" x14ac:dyDescent="0.35">
      <c r="P402" s="245"/>
      <c r="S402" s="245"/>
    </row>
    <row r="403" spans="16:19" ht="12.75" x14ac:dyDescent="0.35">
      <c r="P403" s="245"/>
      <c r="S403" s="245"/>
    </row>
    <row r="404" spans="16:19" ht="12.75" x14ac:dyDescent="0.35">
      <c r="P404" s="245"/>
      <c r="S404" s="245"/>
    </row>
    <row r="405" spans="16:19" ht="12.75" x14ac:dyDescent="0.35">
      <c r="P405" s="245"/>
      <c r="S405" s="245"/>
    </row>
    <row r="406" spans="16:19" ht="12.75" x14ac:dyDescent="0.35">
      <c r="P406" s="245"/>
      <c r="S406" s="245"/>
    </row>
    <row r="407" spans="16:19" ht="12.75" x14ac:dyDescent="0.35">
      <c r="P407" s="245"/>
      <c r="S407" s="245"/>
    </row>
    <row r="408" spans="16:19" ht="12.75" x14ac:dyDescent="0.35">
      <c r="P408" s="245"/>
      <c r="S408" s="245"/>
    </row>
    <row r="409" spans="16:19" ht="12.75" x14ac:dyDescent="0.35">
      <c r="P409" s="245"/>
      <c r="S409" s="245"/>
    </row>
    <row r="410" spans="16:19" ht="12.75" x14ac:dyDescent="0.35">
      <c r="P410" s="245"/>
      <c r="S410" s="245"/>
    </row>
    <row r="411" spans="16:19" ht="12.75" x14ac:dyDescent="0.35">
      <c r="P411" s="245"/>
      <c r="S411" s="245"/>
    </row>
    <row r="412" spans="16:19" ht="12.75" x14ac:dyDescent="0.35">
      <c r="P412" s="245"/>
      <c r="S412" s="245"/>
    </row>
    <row r="413" spans="16:19" ht="12.75" x14ac:dyDescent="0.35">
      <c r="P413" s="245"/>
      <c r="S413" s="245"/>
    </row>
    <row r="414" spans="16:19" ht="12.75" x14ac:dyDescent="0.35">
      <c r="P414" s="245"/>
      <c r="S414" s="245"/>
    </row>
    <row r="415" spans="16:19" ht="12.75" x14ac:dyDescent="0.35">
      <c r="P415" s="245"/>
      <c r="S415" s="245"/>
    </row>
    <row r="416" spans="16:19" ht="12.75" x14ac:dyDescent="0.35">
      <c r="P416" s="245"/>
      <c r="S416" s="245"/>
    </row>
    <row r="417" spans="16:19" ht="12.75" x14ac:dyDescent="0.35">
      <c r="P417" s="245"/>
      <c r="S417" s="245"/>
    </row>
    <row r="418" spans="16:19" ht="12.75" x14ac:dyDescent="0.35">
      <c r="P418" s="245"/>
      <c r="S418" s="245"/>
    </row>
    <row r="419" spans="16:19" ht="12.75" x14ac:dyDescent="0.35">
      <c r="P419" s="245"/>
      <c r="S419" s="245"/>
    </row>
    <row r="420" spans="16:19" ht="12.75" x14ac:dyDescent="0.35">
      <c r="P420" s="245"/>
      <c r="S420" s="245"/>
    </row>
    <row r="421" spans="16:19" ht="12.75" x14ac:dyDescent="0.35">
      <c r="P421" s="245"/>
      <c r="S421" s="245"/>
    </row>
    <row r="422" spans="16:19" ht="12.75" x14ac:dyDescent="0.35">
      <c r="P422" s="245"/>
      <c r="S422" s="245"/>
    </row>
    <row r="423" spans="16:19" ht="12.75" x14ac:dyDescent="0.35">
      <c r="P423" s="245"/>
      <c r="S423" s="245"/>
    </row>
    <row r="424" spans="16:19" ht="12.75" x14ac:dyDescent="0.35">
      <c r="P424" s="245"/>
      <c r="S424" s="245"/>
    </row>
    <row r="425" spans="16:19" ht="12.75" x14ac:dyDescent="0.35">
      <c r="P425" s="245"/>
      <c r="S425" s="245"/>
    </row>
    <row r="426" spans="16:19" ht="12.75" x14ac:dyDescent="0.35">
      <c r="P426" s="245"/>
      <c r="S426" s="245"/>
    </row>
    <row r="427" spans="16:19" ht="12.75" x14ac:dyDescent="0.35">
      <c r="P427" s="245"/>
      <c r="S427" s="245"/>
    </row>
    <row r="428" spans="16:19" ht="12.75" x14ac:dyDescent="0.35">
      <c r="P428" s="245"/>
      <c r="S428" s="245"/>
    </row>
    <row r="429" spans="16:19" ht="12.75" x14ac:dyDescent="0.35">
      <c r="P429" s="245"/>
      <c r="S429" s="245"/>
    </row>
    <row r="430" spans="16:19" ht="12.75" x14ac:dyDescent="0.35">
      <c r="P430" s="245"/>
      <c r="S430" s="245"/>
    </row>
    <row r="431" spans="16:19" ht="12.75" x14ac:dyDescent="0.35">
      <c r="P431" s="245"/>
      <c r="S431" s="245"/>
    </row>
    <row r="432" spans="16:19" ht="12.75" x14ac:dyDescent="0.35">
      <c r="P432" s="245"/>
      <c r="S432" s="245"/>
    </row>
    <row r="433" spans="16:19" ht="12.75" x14ac:dyDescent="0.35">
      <c r="P433" s="245"/>
      <c r="S433" s="245"/>
    </row>
    <row r="434" spans="16:19" ht="12.75" x14ac:dyDescent="0.35">
      <c r="P434" s="245"/>
      <c r="S434" s="245"/>
    </row>
    <row r="435" spans="16:19" ht="12.75" x14ac:dyDescent="0.35">
      <c r="P435" s="245"/>
      <c r="S435" s="245"/>
    </row>
    <row r="436" spans="16:19" ht="12.75" x14ac:dyDescent="0.35">
      <c r="P436" s="245"/>
      <c r="S436" s="245"/>
    </row>
    <row r="437" spans="16:19" ht="12.75" x14ac:dyDescent="0.35">
      <c r="P437" s="245"/>
      <c r="S437" s="245"/>
    </row>
    <row r="438" spans="16:19" ht="12.75" x14ac:dyDescent="0.35">
      <c r="P438" s="245"/>
      <c r="S438" s="245"/>
    </row>
    <row r="439" spans="16:19" ht="12.75" x14ac:dyDescent="0.35">
      <c r="P439" s="245"/>
      <c r="S439" s="245"/>
    </row>
    <row r="440" spans="16:19" ht="12.75" x14ac:dyDescent="0.35">
      <c r="P440" s="245"/>
      <c r="S440" s="245"/>
    </row>
    <row r="441" spans="16:19" ht="12.75" x14ac:dyDescent="0.35">
      <c r="P441" s="245"/>
      <c r="S441" s="245"/>
    </row>
    <row r="442" spans="16:19" ht="12.75" x14ac:dyDescent="0.35">
      <c r="P442" s="245"/>
      <c r="S442" s="245"/>
    </row>
    <row r="443" spans="16:19" ht="12.75" x14ac:dyDescent="0.35">
      <c r="P443" s="245"/>
      <c r="S443" s="245"/>
    </row>
    <row r="444" spans="16:19" ht="12.75" x14ac:dyDescent="0.35">
      <c r="P444" s="245"/>
      <c r="S444" s="245"/>
    </row>
    <row r="445" spans="16:19" ht="12.75" x14ac:dyDescent="0.35">
      <c r="P445" s="245"/>
      <c r="S445" s="245"/>
    </row>
    <row r="446" spans="16:19" ht="12.75" x14ac:dyDescent="0.35">
      <c r="P446" s="245"/>
      <c r="S446" s="245"/>
    </row>
    <row r="447" spans="16:19" ht="12.75" x14ac:dyDescent="0.35">
      <c r="P447" s="245"/>
      <c r="S447" s="245"/>
    </row>
    <row r="448" spans="16:19" ht="12.75" x14ac:dyDescent="0.35">
      <c r="P448" s="245"/>
      <c r="S448" s="245"/>
    </row>
    <row r="449" spans="16:19" ht="12.75" x14ac:dyDescent="0.35">
      <c r="P449" s="245"/>
      <c r="S449" s="245"/>
    </row>
    <row r="450" spans="16:19" ht="12.75" x14ac:dyDescent="0.35">
      <c r="P450" s="245"/>
      <c r="S450" s="245"/>
    </row>
    <row r="451" spans="16:19" ht="12.75" x14ac:dyDescent="0.35">
      <c r="P451" s="245"/>
      <c r="S451" s="245"/>
    </row>
    <row r="452" spans="16:19" ht="12.75" x14ac:dyDescent="0.35">
      <c r="P452" s="245"/>
      <c r="S452" s="245"/>
    </row>
    <row r="453" spans="16:19" ht="12.75" x14ac:dyDescent="0.35">
      <c r="P453" s="245"/>
      <c r="S453" s="245"/>
    </row>
    <row r="454" spans="16:19" ht="12.75" x14ac:dyDescent="0.35">
      <c r="P454" s="245"/>
      <c r="S454" s="245"/>
    </row>
    <row r="455" spans="16:19" ht="12.75" x14ac:dyDescent="0.35">
      <c r="P455" s="245"/>
      <c r="S455" s="245"/>
    </row>
    <row r="456" spans="16:19" ht="12.75" x14ac:dyDescent="0.35">
      <c r="P456" s="245"/>
      <c r="S456" s="245"/>
    </row>
    <row r="457" spans="16:19" ht="12.75" x14ac:dyDescent="0.35">
      <c r="P457" s="245"/>
      <c r="S457" s="245"/>
    </row>
    <row r="458" spans="16:19" ht="12.75" x14ac:dyDescent="0.35">
      <c r="P458" s="245"/>
      <c r="S458" s="245"/>
    </row>
    <row r="459" spans="16:19" ht="12.75" x14ac:dyDescent="0.35">
      <c r="P459" s="245"/>
      <c r="S459" s="245"/>
    </row>
    <row r="460" spans="16:19" ht="12.75" x14ac:dyDescent="0.35">
      <c r="P460" s="245"/>
      <c r="S460" s="245"/>
    </row>
    <row r="461" spans="16:19" ht="12.75" x14ac:dyDescent="0.35">
      <c r="P461" s="245"/>
      <c r="S461" s="245"/>
    </row>
    <row r="462" spans="16:19" ht="12.75" x14ac:dyDescent="0.35">
      <c r="P462" s="245"/>
      <c r="S462" s="245"/>
    </row>
    <row r="463" spans="16:19" ht="12.75" x14ac:dyDescent="0.35">
      <c r="P463" s="245"/>
      <c r="S463" s="245"/>
    </row>
    <row r="464" spans="16:19" ht="12.75" x14ac:dyDescent="0.35">
      <c r="P464" s="245"/>
      <c r="S464" s="245"/>
    </row>
    <row r="465" spans="16:19" ht="12.75" x14ac:dyDescent="0.35">
      <c r="P465" s="245"/>
      <c r="S465" s="245"/>
    </row>
    <row r="466" spans="16:19" ht="12.75" x14ac:dyDescent="0.35">
      <c r="P466" s="245"/>
      <c r="S466" s="245"/>
    </row>
    <row r="467" spans="16:19" ht="12.75" x14ac:dyDescent="0.35">
      <c r="P467" s="245"/>
      <c r="S467" s="245"/>
    </row>
    <row r="468" spans="16:19" ht="12.75" x14ac:dyDescent="0.35">
      <c r="P468" s="245"/>
      <c r="S468" s="245"/>
    </row>
    <row r="469" spans="16:19" ht="12.75" x14ac:dyDescent="0.35">
      <c r="P469" s="245"/>
      <c r="S469" s="245"/>
    </row>
    <row r="470" spans="16:19" ht="12.75" x14ac:dyDescent="0.35">
      <c r="P470" s="245"/>
      <c r="S470" s="245"/>
    </row>
    <row r="471" spans="16:19" ht="12.75" x14ac:dyDescent="0.35">
      <c r="P471" s="245"/>
      <c r="S471" s="245"/>
    </row>
    <row r="472" spans="16:19" ht="12.75" x14ac:dyDescent="0.35">
      <c r="P472" s="245"/>
      <c r="S472" s="245"/>
    </row>
    <row r="473" spans="16:19" ht="12.75" x14ac:dyDescent="0.35">
      <c r="P473" s="245"/>
      <c r="S473" s="245"/>
    </row>
    <row r="474" spans="16:19" ht="12.75" x14ac:dyDescent="0.35">
      <c r="P474" s="245"/>
      <c r="S474" s="245"/>
    </row>
    <row r="475" spans="16:19" ht="12.75" x14ac:dyDescent="0.35">
      <c r="P475" s="245"/>
      <c r="S475" s="245"/>
    </row>
    <row r="476" spans="16:19" ht="12.75" x14ac:dyDescent="0.35">
      <c r="P476" s="245"/>
      <c r="S476" s="245"/>
    </row>
    <row r="477" spans="16:19" ht="12.75" x14ac:dyDescent="0.35">
      <c r="P477" s="245"/>
      <c r="S477" s="245"/>
    </row>
    <row r="478" spans="16:19" ht="12.75" x14ac:dyDescent="0.35">
      <c r="P478" s="245"/>
      <c r="S478" s="245"/>
    </row>
    <row r="479" spans="16:19" ht="12.75" x14ac:dyDescent="0.35">
      <c r="P479" s="245"/>
      <c r="S479" s="245"/>
    </row>
    <row r="480" spans="16:19" ht="12.75" x14ac:dyDescent="0.35">
      <c r="P480" s="245"/>
      <c r="S480" s="245"/>
    </row>
    <row r="481" spans="16:19" ht="12.75" x14ac:dyDescent="0.35">
      <c r="P481" s="245"/>
      <c r="S481" s="245"/>
    </row>
    <row r="482" spans="16:19" ht="12.75" x14ac:dyDescent="0.35">
      <c r="P482" s="245"/>
      <c r="S482" s="245"/>
    </row>
    <row r="483" spans="16:19" ht="12.75" x14ac:dyDescent="0.35">
      <c r="P483" s="245"/>
      <c r="S483" s="245"/>
    </row>
    <row r="484" spans="16:19" ht="12.75" x14ac:dyDescent="0.35">
      <c r="P484" s="245"/>
      <c r="S484" s="245"/>
    </row>
    <row r="485" spans="16:19" ht="12.75" x14ac:dyDescent="0.35">
      <c r="P485" s="245"/>
      <c r="S485" s="245"/>
    </row>
    <row r="486" spans="16:19" ht="12.75" x14ac:dyDescent="0.35">
      <c r="P486" s="245"/>
      <c r="S486" s="245"/>
    </row>
    <row r="487" spans="16:19" ht="12.75" x14ac:dyDescent="0.35">
      <c r="P487" s="245"/>
      <c r="S487" s="245"/>
    </row>
    <row r="488" spans="16:19" ht="12.75" x14ac:dyDescent="0.35">
      <c r="P488" s="245"/>
      <c r="S488" s="245"/>
    </row>
    <row r="489" spans="16:19" ht="12.75" x14ac:dyDescent="0.35">
      <c r="P489" s="245"/>
      <c r="S489" s="245"/>
    </row>
    <row r="490" spans="16:19" ht="12.75" x14ac:dyDescent="0.35">
      <c r="P490" s="245"/>
      <c r="S490" s="245"/>
    </row>
    <row r="491" spans="16:19" ht="12.75" x14ac:dyDescent="0.35">
      <c r="P491" s="245"/>
      <c r="S491" s="245"/>
    </row>
    <row r="492" spans="16:19" ht="12.75" x14ac:dyDescent="0.35">
      <c r="P492" s="245"/>
      <c r="S492" s="245"/>
    </row>
    <row r="493" spans="16:19" ht="12.75" x14ac:dyDescent="0.35">
      <c r="P493" s="245"/>
      <c r="S493" s="245"/>
    </row>
    <row r="494" spans="16:19" ht="12.75" x14ac:dyDescent="0.35">
      <c r="P494" s="245"/>
      <c r="S494" s="245"/>
    </row>
    <row r="495" spans="16:19" ht="12.75" x14ac:dyDescent="0.35">
      <c r="P495" s="245"/>
      <c r="S495" s="245"/>
    </row>
    <row r="496" spans="16:19" ht="12.75" x14ac:dyDescent="0.35">
      <c r="P496" s="245"/>
      <c r="S496" s="245"/>
    </row>
    <row r="497" spans="16:19" ht="12.75" x14ac:dyDescent="0.35">
      <c r="P497" s="245"/>
      <c r="S497" s="245"/>
    </row>
    <row r="498" spans="16:19" ht="12.75" x14ac:dyDescent="0.35">
      <c r="P498" s="245"/>
      <c r="S498" s="245"/>
    </row>
    <row r="499" spans="16:19" ht="12.75" x14ac:dyDescent="0.35">
      <c r="P499" s="245"/>
      <c r="S499" s="245"/>
    </row>
    <row r="500" spans="16:19" ht="12.75" x14ac:dyDescent="0.35">
      <c r="P500" s="245"/>
      <c r="S500" s="245"/>
    </row>
    <row r="501" spans="16:19" ht="12.75" x14ac:dyDescent="0.35">
      <c r="P501" s="245"/>
      <c r="S501" s="245"/>
    </row>
    <row r="502" spans="16:19" ht="12.75" x14ac:dyDescent="0.35">
      <c r="P502" s="245"/>
      <c r="S502" s="245"/>
    </row>
    <row r="503" spans="16:19" ht="12.75" x14ac:dyDescent="0.35">
      <c r="P503" s="245"/>
      <c r="S503" s="245"/>
    </row>
    <row r="504" spans="16:19" ht="12.75" x14ac:dyDescent="0.35">
      <c r="P504" s="245"/>
      <c r="S504" s="245"/>
    </row>
    <row r="505" spans="16:19" ht="12.75" x14ac:dyDescent="0.35">
      <c r="P505" s="245"/>
      <c r="S505" s="245"/>
    </row>
    <row r="506" spans="16:19" ht="12.75" x14ac:dyDescent="0.35">
      <c r="P506" s="245"/>
      <c r="S506" s="245"/>
    </row>
    <row r="507" spans="16:19" ht="12.75" x14ac:dyDescent="0.35">
      <c r="P507" s="245"/>
      <c r="S507" s="245"/>
    </row>
    <row r="508" spans="16:19" ht="12.75" x14ac:dyDescent="0.35">
      <c r="P508" s="245"/>
      <c r="S508" s="245"/>
    </row>
    <row r="509" spans="16:19" ht="12.75" x14ac:dyDescent="0.35">
      <c r="P509" s="245"/>
      <c r="S509" s="245"/>
    </row>
    <row r="510" spans="16:19" ht="12.75" x14ac:dyDescent="0.35">
      <c r="P510" s="245"/>
      <c r="S510" s="245"/>
    </row>
    <row r="511" spans="16:19" ht="12.75" x14ac:dyDescent="0.35">
      <c r="P511" s="245"/>
      <c r="S511" s="245"/>
    </row>
    <row r="512" spans="16:19" ht="12.75" x14ac:dyDescent="0.35">
      <c r="P512" s="245"/>
      <c r="S512" s="245"/>
    </row>
    <row r="513" spans="16:19" ht="12.75" x14ac:dyDescent="0.35">
      <c r="P513" s="245"/>
      <c r="S513" s="245"/>
    </row>
    <row r="514" spans="16:19" ht="12.75" x14ac:dyDescent="0.35">
      <c r="P514" s="245"/>
      <c r="S514" s="245"/>
    </row>
    <row r="515" spans="16:19" ht="12.75" x14ac:dyDescent="0.35">
      <c r="P515" s="245"/>
      <c r="S515" s="245"/>
    </row>
    <row r="516" spans="16:19" ht="12.75" x14ac:dyDescent="0.35">
      <c r="P516" s="245"/>
      <c r="S516" s="245"/>
    </row>
    <row r="517" spans="16:19" ht="12.75" x14ac:dyDescent="0.35">
      <c r="P517" s="245"/>
      <c r="S517" s="245"/>
    </row>
    <row r="518" spans="16:19" ht="12.75" x14ac:dyDescent="0.35">
      <c r="P518" s="245"/>
      <c r="S518" s="245"/>
    </row>
    <row r="519" spans="16:19" ht="12.75" x14ac:dyDescent="0.35">
      <c r="P519" s="245"/>
      <c r="S519" s="245"/>
    </row>
    <row r="520" spans="16:19" ht="12.75" x14ac:dyDescent="0.35">
      <c r="P520" s="245"/>
      <c r="S520" s="245"/>
    </row>
    <row r="521" spans="16:19" ht="12.75" x14ac:dyDescent="0.35">
      <c r="P521" s="245"/>
      <c r="S521" s="245"/>
    </row>
    <row r="522" spans="16:19" ht="12.75" x14ac:dyDescent="0.35">
      <c r="P522" s="245"/>
      <c r="S522" s="245"/>
    </row>
    <row r="523" spans="16:19" ht="12.75" x14ac:dyDescent="0.35">
      <c r="P523" s="245"/>
      <c r="S523" s="245"/>
    </row>
    <row r="524" spans="16:19" ht="12.75" x14ac:dyDescent="0.35">
      <c r="P524" s="245"/>
      <c r="S524" s="245"/>
    </row>
    <row r="525" spans="16:19" ht="12.75" x14ac:dyDescent="0.35">
      <c r="P525" s="245"/>
      <c r="S525" s="245"/>
    </row>
    <row r="526" spans="16:19" ht="12.75" x14ac:dyDescent="0.35">
      <c r="P526" s="245"/>
      <c r="S526" s="245"/>
    </row>
    <row r="527" spans="16:19" ht="12.75" x14ac:dyDescent="0.35">
      <c r="P527" s="245"/>
      <c r="S527" s="245"/>
    </row>
    <row r="528" spans="16:19" ht="12.75" x14ac:dyDescent="0.35">
      <c r="P528" s="245"/>
      <c r="S528" s="245"/>
    </row>
    <row r="529" spans="16:19" ht="12.75" x14ac:dyDescent="0.35">
      <c r="P529" s="245"/>
      <c r="S529" s="245"/>
    </row>
    <row r="530" spans="16:19" ht="12.75" x14ac:dyDescent="0.35">
      <c r="P530" s="245"/>
      <c r="S530" s="245"/>
    </row>
    <row r="531" spans="16:19" ht="12.75" x14ac:dyDescent="0.35">
      <c r="P531" s="245"/>
      <c r="S531" s="245"/>
    </row>
    <row r="532" spans="16:19" ht="12.75" x14ac:dyDescent="0.35">
      <c r="P532" s="245"/>
      <c r="S532" s="245"/>
    </row>
    <row r="533" spans="16:19" ht="12.75" x14ac:dyDescent="0.35">
      <c r="P533" s="245"/>
      <c r="S533" s="245"/>
    </row>
    <row r="534" spans="16:19" ht="12.75" x14ac:dyDescent="0.35">
      <c r="P534" s="245"/>
      <c r="S534" s="245"/>
    </row>
    <row r="535" spans="16:19" ht="12.75" x14ac:dyDescent="0.35">
      <c r="P535" s="245"/>
      <c r="S535" s="245"/>
    </row>
    <row r="536" spans="16:19" ht="12.75" x14ac:dyDescent="0.35">
      <c r="P536" s="245"/>
      <c r="S536" s="245"/>
    </row>
    <row r="537" spans="16:19" ht="12.75" x14ac:dyDescent="0.35">
      <c r="P537" s="245"/>
      <c r="S537" s="245"/>
    </row>
    <row r="538" spans="16:19" ht="12.75" x14ac:dyDescent="0.35">
      <c r="P538" s="245"/>
      <c r="S538" s="245"/>
    </row>
    <row r="539" spans="16:19" ht="12.75" x14ac:dyDescent="0.35">
      <c r="P539" s="245"/>
      <c r="S539" s="245"/>
    </row>
    <row r="540" spans="16:19" ht="12.75" x14ac:dyDescent="0.35">
      <c r="P540" s="245"/>
      <c r="S540" s="245"/>
    </row>
    <row r="541" spans="16:19" ht="12.75" x14ac:dyDescent="0.35">
      <c r="P541" s="245"/>
      <c r="S541" s="245"/>
    </row>
    <row r="542" spans="16:19" ht="12.75" x14ac:dyDescent="0.35">
      <c r="P542" s="245"/>
      <c r="S542" s="245"/>
    </row>
    <row r="543" spans="16:19" ht="12.75" x14ac:dyDescent="0.35">
      <c r="P543" s="245"/>
      <c r="S543" s="245"/>
    </row>
    <row r="544" spans="16:19" ht="12.75" x14ac:dyDescent="0.35">
      <c r="P544" s="245"/>
      <c r="S544" s="245"/>
    </row>
    <row r="545" spans="16:19" ht="12.75" x14ac:dyDescent="0.35">
      <c r="P545" s="245"/>
      <c r="S545" s="245"/>
    </row>
    <row r="546" spans="16:19" ht="12.75" x14ac:dyDescent="0.35">
      <c r="P546" s="245"/>
      <c r="S546" s="245"/>
    </row>
    <row r="547" spans="16:19" ht="12.75" x14ac:dyDescent="0.35">
      <c r="P547" s="245"/>
      <c r="S547" s="245"/>
    </row>
    <row r="548" spans="16:19" ht="12.75" x14ac:dyDescent="0.35">
      <c r="P548" s="245"/>
      <c r="S548" s="245"/>
    </row>
    <row r="549" spans="16:19" ht="12.75" x14ac:dyDescent="0.35">
      <c r="P549" s="245"/>
      <c r="S549" s="245"/>
    </row>
    <row r="550" spans="16:19" ht="12.75" x14ac:dyDescent="0.35">
      <c r="P550" s="245"/>
      <c r="S550" s="245"/>
    </row>
    <row r="551" spans="16:19" ht="12.75" x14ac:dyDescent="0.35">
      <c r="P551" s="245"/>
      <c r="S551" s="245"/>
    </row>
    <row r="552" spans="16:19" ht="12.75" x14ac:dyDescent="0.35">
      <c r="P552" s="245"/>
      <c r="S552" s="245"/>
    </row>
    <row r="553" spans="16:19" ht="12.75" x14ac:dyDescent="0.35">
      <c r="P553" s="245"/>
      <c r="S553" s="245"/>
    </row>
    <row r="554" spans="16:19" ht="12.75" x14ac:dyDescent="0.35">
      <c r="P554" s="245"/>
      <c r="S554" s="245"/>
    </row>
    <row r="555" spans="16:19" ht="12.75" x14ac:dyDescent="0.35">
      <c r="P555" s="245"/>
      <c r="S555" s="245"/>
    </row>
    <row r="556" spans="16:19" ht="12.75" x14ac:dyDescent="0.35">
      <c r="P556" s="245"/>
      <c r="S556" s="245"/>
    </row>
    <row r="557" spans="16:19" ht="12.75" x14ac:dyDescent="0.35">
      <c r="P557" s="245"/>
      <c r="S557" s="245"/>
    </row>
    <row r="558" spans="16:19" ht="12.75" x14ac:dyDescent="0.35">
      <c r="P558" s="245"/>
      <c r="S558" s="245"/>
    </row>
    <row r="559" spans="16:19" ht="12.75" x14ac:dyDescent="0.35">
      <c r="P559" s="245"/>
      <c r="S559" s="245"/>
    </row>
    <row r="560" spans="16:19" ht="12.75" x14ac:dyDescent="0.35">
      <c r="P560" s="245"/>
      <c r="S560" s="245"/>
    </row>
    <row r="561" spans="16:19" ht="12.75" x14ac:dyDescent="0.35">
      <c r="P561" s="245"/>
      <c r="S561" s="245"/>
    </row>
    <row r="562" spans="16:19" ht="12.75" x14ac:dyDescent="0.35">
      <c r="P562" s="245"/>
      <c r="S562" s="245"/>
    </row>
    <row r="563" spans="16:19" ht="12.75" x14ac:dyDescent="0.35">
      <c r="P563" s="245"/>
      <c r="S563" s="245"/>
    </row>
    <row r="564" spans="16:19" ht="12.75" x14ac:dyDescent="0.35">
      <c r="P564" s="245"/>
      <c r="S564" s="245"/>
    </row>
    <row r="565" spans="16:19" ht="12.75" x14ac:dyDescent="0.35">
      <c r="P565" s="245"/>
      <c r="S565" s="245"/>
    </row>
    <row r="566" spans="16:19" ht="12.75" x14ac:dyDescent="0.35">
      <c r="P566" s="245"/>
      <c r="S566" s="245"/>
    </row>
    <row r="567" spans="16:19" ht="12.75" x14ac:dyDescent="0.35">
      <c r="P567" s="245"/>
      <c r="S567" s="245"/>
    </row>
    <row r="568" spans="16:19" ht="12.75" x14ac:dyDescent="0.35">
      <c r="P568" s="245"/>
      <c r="S568" s="245"/>
    </row>
    <row r="569" spans="16:19" ht="12.75" x14ac:dyDescent="0.35">
      <c r="P569" s="245"/>
      <c r="S569" s="245"/>
    </row>
    <row r="570" spans="16:19" ht="12.75" x14ac:dyDescent="0.35">
      <c r="P570" s="245"/>
      <c r="S570" s="245"/>
    </row>
    <row r="571" spans="16:19" ht="12.75" x14ac:dyDescent="0.35">
      <c r="P571" s="245"/>
      <c r="S571" s="245"/>
    </row>
    <row r="572" spans="16:19" ht="12.75" x14ac:dyDescent="0.35">
      <c r="P572" s="245"/>
      <c r="S572" s="245"/>
    </row>
    <row r="573" spans="16:19" ht="12.75" x14ac:dyDescent="0.35">
      <c r="P573" s="245"/>
      <c r="S573" s="245"/>
    </row>
    <row r="574" spans="16:19" ht="12.75" x14ac:dyDescent="0.35">
      <c r="P574" s="245"/>
      <c r="S574" s="245"/>
    </row>
    <row r="575" spans="16:19" ht="12.75" x14ac:dyDescent="0.35">
      <c r="P575" s="245"/>
      <c r="S575" s="245"/>
    </row>
    <row r="576" spans="16:19" ht="12.75" x14ac:dyDescent="0.35">
      <c r="P576" s="245"/>
      <c r="S576" s="245"/>
    </row>
    <row r="577" spans="16:19" ht="12.75" x14ac:dyDescent="0.35">
      <c r="P577" s="245"/>
      <c r="S577" s="245"/>
    </row>
    <row r="578" spans="16:19" ht="12.75" x14ac:dyDescent="0.35">
      <c r="P578" s="245"/>
      <c r="S578" s="245"/>
    </row>
    <row r="579" spans="16:19" ht="12.75" x14ac:dyDescent="0.35">
      <c r="P579" s="245"/>
      <c r="S579" s="245"/>
    </row>
    <row r="580" spans="16:19" ht="12.75" x14ac:dyDescent="0.35">
      <c r="P580" s="245"/>
      <c r="S580" s="245"/>
    </row>
    <row r="581" spans="16:19" ht="12.75" x14ac:dyDescent="0.35">
      <c r="P581" s="245"/>
      <c r="S581" s="245"/>
    </row>
    <row r="582" spans="16:19" ht="12.75" x14ac:dyDescent="0.35">
      <c r="P582" s="245"/>
      <c r="S582" s="245"/>
    </row>
    <row r="583" spans="16:19" ht="12.75" x14ac:dyDescent="0.35">
      <c r="P583" s="245"/>
      <c r="S583" s="245"/>
    </row>
    <row r="584" spans="16:19" ht="12.75" x14ac:dyDescent="0.35">
      <c r="P584" s="245"/>
      <c r="S584" s="245"/>
    </row>
    <row r="585" spans="16:19" ht="12.75" x14ac:dyDescent="0.35">
      <c r="P585" s="245"/>
      <c r="S585" s="245"/>
    </row>
    <row r="586" spans="16:19" ht="12.75" x14ac:dyDescent="0.35">
      <c r="P586" s="245"/>
      <c r="S586" s="245"/>
    </row>
    <row r="587" spans="16:19" ht="12.75" x14ac:dyDescent="0.35">
      <c r="P587" s="245"/>
      <c r="S587" s="245"/>
    </row>
    <row r="588" spans="16:19" ht="12.75" x14ac:dyDescent="0.35">
      <c r="P588" s="245"/>
      <c r="S588" s="245"/>
    </row>
    <row r="589" spans="16:19" ht="12.75" x14ac:dyDescent="0.35">
      <c r="P589" s="245"/>
      <c r="S589" s="245"/>
    </row>
    <row r="590" spans="16:19" ht="12.75" x14ac:dyDescent="0.35">
      <c r="P590" s="245"/>
      <c r="S590" s="245"/>
    </row>
    <row r="591" spans="16:19" ht="12.75" x14ac:dyDescent="0.35">
      <c r="P591" s="245"/>
      <c r="S591" s="245"/>
    </row>
    <row r="592" spans="16:19" ht="12.75" x14ac:dyDescent="0.35">
      <c r="P592" s="245"/>
      <c r="S592" s="245"/>
    </row>
    <row r="593" spans="16:19" ht="12.75" x14ac:dyDescent="0.35">
      <c r="P593" s="245"/>
      <c r="S593" s="245"/>
    </row>
    <row r="594" spans="16:19" ht="12.75" x14ac:dyDescent="0.35">
      <c r="P594" s="245"/>
      <c r="S594" s="245"/>
    </row>
    <row r="595" spans="16:19" ht="12.75" x14ac:dyDescent="0.35">
      <c r="P595" s="245"/>
      <c r="S595" s="245"/>
    </row>
    <row r="596" spans="16:19" ht="12.75" x14ac:dyDescent="0.35">
      <c r="P596" s="245"/>
      <c r="S596" s="245"/>
    </row>
    <row r="597" spans="16:19" ht="12.75" x14ac:dyDescent="0.35">
      <c r="P597" s="245"/>
      <c r="S597" s="245"/>
    </row>
    <row r="598" spans="16:19" ht="12.75" x14ac:dyDescent="0.35">
      <c r="P598" s="245"/>
      <c r="S598" s="245"/>
    </row>
    <row r="599" spans="16:19" ht="12.75" x14ac:dyDescent="0.35">
      <c r="P599" s="245"/>
      <c r="S599" s="245"/>
    </row>
    <row r="600" spans="16:19" ht="12.75" x14ac:dyDescent="0.35">
      <c r="P600" s="245"/>
      <c r="S600" s="245"/>
    </row>
    <row r="601" spans="16:19" ht="12.75" x14ac:dyDescent="0.35">
      <c r="P601" s="245"/>
      <c r="S601" s="245"/>
    </row>
    <row r="602" spans="16:19" ht="12.75" x14ac:dyDescent="0.35">
      <c r="P602" s="245"/>
      <c r="S602" s="245"/>
    </row>
    <row r="603" spans="16:19" ht="12.75" x14ac:dyDescent="0.35">
      <c r="P603" s="245"/>
      <c r="S603" s="245"/>
    </row>
    <row r="604" spans="16:19" ht="12.75" x14ac:dyDescent="0.35">
      <c r="P604" s="245"/>
      <c r="S604" s="245"/>
    </row>
    <row r="605" spans="16:19" ht="12.75" x14ac:dyDescent="0.35">
      <c r="P605" s="245"/>
      <c r="S605" s="245"/>
    </row>
    <row r="606" spans="16:19" ht="12.75" x14ac:dyDescent="0.35">
      <c r="P606" s="245"/>
      <c r="S606" s="245"/>
    </row>
    <row r="607" spans="16:19" ht="12.75" x14ac:dyDescent="0.35">
      <c r="P607" s="245"/>
      <c r="S607" s="245"/>
    </row>
    <row r="608" spans="16:19" ht="12.75" x14ac:dyDescent="0.35">
      <c r="P608" s="245"/>
      <c r="S608" s="245"/>
    </row>
    <row r="609" spans="16:19" ht="12.75" x14ac:dyDescent="0.35">
      <c r="P609" s="245"/>
      <c r="S609" s="245"/>
    </row>
    <row r="610" spans="16:19" ht="12.75" x14ac:dyDescent="0.35">
      <c r="P610" s="245"/>
      <c r="S610" s="245"/>
    </row>
    <row r="611" spans="16:19" ht="12.75" x14ac:dyDescent="0.35">
      <c r="P611" s="245"/>
      <c r="S611" s="245"/>
    </row>
    <row r="612" spans="16:19" ht="12.75" x14ac:dyDescent="0.35">
      <c r="P612" s="245"/>
      <c r="S612" s="245"/>
    </row>
    <row r="613" spans="16:19" ht="12.75" x14ac:dyDescent="0.35">
      <c r="P613" s="245"/>
      <c r="S613" s="245"/>
    </row>
    <row r="614" spans="16:19" ht="12.75" x14ac:dyDescent="0.35">
      <c r="P614" s="245"/>
      <c r="S614" s="245"/>
    </row>
    <row r="615" spans="16:19" ht="12.75" x14ac:dyDescent="0.35">
      <c r="P615" s="245"/>
      <c r="S615" s="245"/>
    </row>
    <row r="616" spans="16:19" ht="12.75" x14ac:dyDescent="0.35">
      <c r="P616" s="245"/>
      <c r="S616" s="245"/>
    </row>
    <row r="617" spans="16:19" ht="12.75" x14ac:dyDescent="0.35">
      <c r="P617" s="245"/>
      <c r="S617" s="245"/>
    </row>
    <row r="618" spans="16:19" ht="12.75" x14ac:dyDescent="0.35">
      <c r="P618" s="245"/>
      <c r="S618" s="245"/>
    </row>
    <row r="619" spans="16:19" ht="12.75" x14ac:dyDescent="0.35">
      <c r="P619" s="245"/>
      <c r="S619" s="245"/>
    </row>
    <row r="620" spans="16:19" ht="12.75" x14ac:dyDescent="0.35">
      <c r="P620" s="245"/>
      <c r="S620" s="245"/>
    </row>
    <row r="621" spans="16:19" ht="12.75" x14ac:dyDescent="0.35">
      <c r="P621" s="245"/>
      <c r="S621" s="245"/>
    </row>
    <row r="622" spans="16:19" ht="12.75" x14ac:dyDescent="0.35">
      <c r="P622" s="245"/>
      <c r="S622" s="245"/>
    </row>
    <row r="623" spans="16:19" ht="12.75" x14ac:dyDescent="0.35">
      <c r="P623" s="245"/>
      <c r="S623" s="245"/>
    </row>
    <row r="624" spans="16:19" ht="12.75" x14ac:dyDescent="0.35">
      <c r="P624" s="245"/>
      <c r="S624" s="245"/>
    </row>
    <row r="625" spans="16:19" ht="12.75" x14ac:dyDescent="0.35">
      <c r="P625" s="245"/>
      <c r="S625" s="245"/>
    </row>
    <row r="626" spans="16:19" ht="12.75" x14ac:dyDescent="0.35">
      <c r="P626" s="245"/>
      <c r="S626" s="245"/>
    </row>
    <row r="627" spans="16:19" ht="12.75" x14ac:dyDescent="0.35">
      <c r="P627" s="245"/>
      <c r="S627" s="245"/>
    </row>
    <row r="628" spans="16:19" ht="12.75" x14ac:dyDescent="0.35">
      <c r="P628" s="245"/>
      <c r="S628" s="245"/>
    </row>
    <row r="629" spans="16:19" ht="12.75" x14ac:dyDescent="0.35">
      <c r="P629" s="245"/>
      <c r="S629" s="245"/>
    </row>
    <row r="630" spans="16:19" ht="12.75" x14ac:dyDescent="0.35">
      <c r="P630" s="245"/>
      <c r="S630" s="245"/>
    </row>
    <row r="631" spans="16:19" ht="12.75" x14ac:dyDescent="0.35">
      <c r="P631" s="245"/>
      <c r="S631" s="245"/>
    </row>
    <row r="632" spans="16:19" ht="12.75" x14ac:dyDescent="0.35">
      <c r="P632" s="245"/>
      <c r="S632" s="245"/>
    </row>
    <row r="633" spans="16:19" ht="12.75" x14ac:dyDescent="0.35">
      <c r="P633" s="245"/>
      <c r="S633" s="245"/>
    </row>
    <row r="634" spans="16:19" ht="12.75" x14ac:dyDescent="0.35">
      <c r="P634" s="245"/>
      <c r="S634" s="245"/>
    </row>
    <row r="635" spans="16:19" ht="12.75" x14ac:dyDescent="0.35">
      <c r="P635" s="245"/>
      <c r="S635" s="245"/>
    </row>
    <row r="636" spans="16:19" ht="12.75" x14ac:dyDescent="0.35">
      <c r="P636" s="245"/>
      <c r="S636" s="245"/>
    </row>
    <row r="637" spans="16:19" ht="12.75" x14ac:dyDescent="0.35">
      <c r="P637" s="245"/>
      <c r="S637" s="245"/>
    </row>
    <row r="638" spans="16:19" ht="12.75" x14ac:dyDescent="0.35">
      <c r="P638" s="245"/>
      <c r="S638" s="245"/>
    </row>
    <row r="639" spans="16:19" ht="12.75" x14ac:dyDescent="0.35">
      <c r="P639" s="245"/>
      <c r="S639" s="245"/>
    </row>
    <row r="640" spans="16:19" ht="12.75" x14ac:dyDescent="0.35">
      <c r="P640" s="245"/>
      <c r="S640" s="245"/>
    </row>
    <row r="641" spans="16:19" ht="12.75" x14ac:dyDescent="0.35">
      <c r="P641" s="245"/>
      <c r="S641" s="245"/>
    </row>
    <row r="642" spans="16:19" ht="12.75" x14ac:dyDescent="0.35">
      <c r="P642" s="245"/>
      <c r="S642" s="245"/>
    </row>
    <row r="643" spans="16:19" ht="12.75" x14ac:dyDescent="0.35">
      <c r="P643" s="245"/>
      <c r="S643" s="245"/>
    </row>
    <row r="644" spans="16:19" ht="12.75" x14ac:dyDescent="0.35">
      <c r="P644" s="245"/>
      <c r="S644" s="245"/>
    </row>
    <row r="645" spans="16:19" ht="12.75" x14ac:dyDescent="0.35">
      <c r="P645" s="245"/>
      <c r="S645" s="245"/>
    </row>
    <row r="646" spans="16:19" ht="12.75" x14ac:dyDescent="0.35">
      <c r="P646" s="245"/>
      <c r="S646" s="245"/>
    </row>
    <row r="647" spans="16:19" ht="12.75" x14ac:dyDescent="0.35">
      <c r="P647" s="245"/>
      <c r="S647" s="245"/>
    </row>
    <row r="648" spans="16:19" ht="12.75" x14ac:dyDescent="0.35">
      <c r="P648" s="245"/>
      <c r="S648" s="245"/>
    </row>
    <row r="649" spans="16:19" ht="12.75" x14ac:dyDescent="0.35">
      <c r="P649" s="245"/>
      <c r="S649" s="245"/>
    </row>
    <row r="650" spans="16:19" ht="12.75" x14ac:dyDescent="0.35">
      <c r="P650" s="245"/>
      <c r="S650" s="245"/>
    </row>
    <row r="651" spans="16:19" ht="12.75" x14ac:dyDescent="0.35">
      <c r="P651" s="245"/>
      <c r="S651" s="245"/>
    </row>
    <row r="652" spans="16:19" ht="12.75" x14ac:dyDescent="0.35">
      <c r="P652" s="245"/>
      <c r="S652" s="245"/>
    </row>
    <row r="653" spans="16:19" ht="12.75" x14ac:dyDescent="0.35">
      <c r="P653" s="245"/>
      <c r="S653" s="245"/>
    </row>
    <row r="654" spans="16:19" ht="12.75" x14ac:dyDescent="0.35">
      <c r="P654" s="245"/>
      <c r="S654" s="245"/>
    </row>
    <row r="655" spans="16:19" ht="12.75" x14ac:dyDescent="0.35">
      <c r="P655" s="245"/>
      <c r="S655" s="245"/>
    </row>
    <row r="656" spans="16:19" ht="12.75" x14ac:dyDescent="0.35">
      <c r="P656" s="245"/>
      <c r="S656" s="245"/>
    </row>
    <row r="657" spans="16:19" ht="12.75" x14ac:dyDescent="0.35">
      <c r="P657" s="245"/>
      <c r="S657" s="245"/>
    </row>
    <row r="658" spans="16:19" ht="12.75" x14ac:dyDescent="0.35">
      <c r="P658" s="245"/>
      <c r="S658" s="245"/>
    </row>
    <row r="659" spans="16:19" ht="12.75" x14ac:dyDescent="0.35">
      <c r="P659" s="245"/>
      <c r="S659" s="245"/>
    </row>
    <row r="660" spans="16:19" ht="12.75" x14ac:dyDescent="0.35">
      <c r="P660" s="245"/>
      <c r="S660" s="245"/>
    </row>
    <row r="661" spans="16:19" ht="12.75" x14ac:dyDescent="0.35">
      <c r="P661" s="245"/>
      <c r="S661" s="245"/>
    </row>
    <row r="662" spans="16:19" ht="12.75" x14ac:dyDescent="0.35">
      <c r="P662" s="245"/>
      <c r="S662" s="245"/>
    </row>
    <row r="663" spans="16:19" ht="12.75" x14ac:dyDescent="0.35">
      <c r="P663" s="245"/>
      <c r="S663" s="245"/>
    </row>
    <row r="664" spans="16:19" ht="12.75" x14ac:dyDescent="0.35">
      <c r="P664" s="245"/>
      <c r="S664" s="245"/>
    </row>
    <row r="665" spans="16:19" ht="12.75" x14ac:dyDescent="0.35">
      <c r="P665" s="245"/>
      <c r="S665" s="245"/>
    </row>
    <row r="666" spans="16:19" ht="12.75" x14ac:dyDescent="0.35">
      <c r="P666" s="245"/>
      <c r="S666" s="245"/>
    </row>
    <row r="667" spans="16:19" ht="12.75" x14ac:dyDescent="0.35">
      <c r="P667" s="245"/>
      <c r="S667" s="245"/>
    </row>
    <row r="668" spans="16:19" ht="12.75" x14ac:dyDescent="0.35">
      <c r="P668" s="245"/>
      <c r="S668" s="245"/>
    </row>
    <row r="669" spans="16:19" ht="12.75" x14ac:dyDescent="0.35">
      <c r="P669" s="245"/>
      <c r="S669" s="245"/>
    </row>
    <row r="670" spans="16:19" ht="12.75" x14ac:dyDescent="0.35">
      <c r="P670" s="245"/>
      <c r="S670" s="245"/>
    </row>
    <row r="671" spans="16:19" ht="12.75" x14ac:dyDescent="0.35">
      <c r="P671" s="245"/>
      <c r="S671" s="245"/>
    </row>
    <row r="672" spans="16:19" ht="12.75" x14ac:dyDescent="0.35">
      <c r="P672" s="245"/>
      <c r="S672" s="245"/>
    </row>
    <row r="673" spans="16:19" ht="12.75" x14ac:dyDescent="0.35">
      <c r="P673" s="245"/>
      <c r="S673" s="245"/>
    </row>
    <row r="674" spans="16:19" ht="12.75" x14ac:dyDescent="0.35">
      <c r="P674" s="245"/>
      <c r="S674" s="245"/>
    </row>
    <row r="675" spans="16:19" ht="12.75" x14ac:dyDescent="0.35">
      <c r="P675" s="245"/>
      <c r="S675" s="245"/>
    </row>
    <row r="676" spans="16:19" ht="12.75" x14ac:dyDescent="0.35">
      <c r="P676" s="245"/>
      <c r="S676" s="245"/>
    </row>
    <row r="677" spans="16:19" ht="12.75" x14ac:dyDescent="0.35">
      <c r="P677" s="245"/>
      <c r="S677" s="245"/>
    </row>
    <row r="678" spans="16:19" ht="12.75" x14ac:dyDescent="0.35">
      <c r="P678" s="245"/>
      <c r="S678" s="245"/>
    </row>
    <row r="679" spans="16:19" ht="12.75" x14ac:dyDescent="0.35">
      <c r="P679" s="245"/>
      <c r="S679" s="245"/>
    </row>
    <row r="680" spans="16:19" ht="12.75" x14ac:dyDescent="0.35">
      <c r="P680" s="245"/>
      <c r="S680" s="245"/>
    </row>
    <row r="681" spans="16:19" ht="12.75" x14ac:dyDescent="0.35">
      <c r="P681" s="245"/>
      <c r="S681" s="245"/>
    </row>
    <row r="682" spans="16:19" ht="12.75" x14ac:dyDescent="0.35">
      <c r="P682" s="245"/>
      <c r="S682" s="245"/>
    </row>
    <row r="683" spans="16:19" ht="12.75" x14ac:dyDescent="0.35">
      <c r="P683" s="245"/>
      <c r="S683" s="245"/>
    </row>
    <row r="684" spans="16:19" ht="12.75" x14ac:dyDescent="0.35">
      <c r="P684" s="245"/>
      <c r="S684" s="245"/>
    </row>
    <row r="685" spans="16:19" ht="12.75" x14ac:dyDescent="0.35">
      <c r="P685" s="245"/>
      <c r="S685" s="245"/>
    </row>
    <row r="686" spans="16:19" ht="12.75" x14ac:dyDescent="0.35">
      <c r="P686" s="245"/>
      <c r="S686" s="245"/>
    </row>
    <row r="687" spans="16:19" ht="12.75" x14ac:dyDescent="0.35">
      <c r="P687" s="245"/>
      <c r="S687" s="245"/>
    </row>
    <row r="688" spans="16:19" ht="12.75" x14ac:dyDescent="0.35">
      <c r="P688" s="245"/>
      <c r="S688" s="245"/>
    </row>
    <row r="689" spans="16:19" ht="12.75" x14ac:dyDescent="0.35">
      <c r="P689" s="245"/>
      <c r="S689" s="245"/>
    </row>
    <row r="690" spans="16:19" ht="12.75" x14ac:dyDescent="0.35">
      <c r="P690" s="245"/>
      <c r="S690" s="245"/>
    </row>
    <row r="691" spans="16:19" ht="12.75" x14ac:dyDescent="0.35">
      <c r="P691" s="245"/>
      <c r="S691" s="245"/>
    </row>
    <row r="692" spans="16:19" ht="12.75" x14ac:dyDescent="0.35">
      <c r="P692" s="245"/>
      <c r="S692" s="245"/>
    </row>
    <row r="693" spans="16:19" ht="12.75" x14ac:dyDescent="0.35">
      <c r="P693" s="245"/>
      <c r="S693" s="245"/>
    </row>
    <row r="694" spans="16:19" ht="12.75" x14ac:dyDescent="0.35">
      <c r="P694" s="245"/>
      <c r="S694" s="245"/>
    </row>
    <row r="695" spans="16:19" ht="12.75" x14ac:dyDescent="0.35">
      <c r="P695" s="245"/>
      <c r="S695" s="245"/>
    </row>
    <row r="696" spans="16:19" ht="12.75" x14ac:dyDescent="0.35">
      <c r="P696" s="245"/>
      <c r="S696" s="245"/>
    </row>
    <row r="697" spans="16:19" ht="12.75" x14ac:dyDescent="0.35">
      <c r="P697" s="245"/>
      <c r="S697" s="245"/>
    </row>
    <row r="698" spans="16:19" ht="12.75" x14ac:dyDescent="0.35">
      <c r="P698" s="245"/>
      <c r="S698" s="245"/>
    </row>
    <row r="699" spans="16:19" ht="12.75" x14ac:dyDescent="0.35">
      <c r="P699" s="245"/>
      <c r="S699" s="245"/>
    </row>
    <row r="700" spans="16:19" ht="12.75" x14ac:dyDescent="0.35">
      <c r="P700" s="245"/>
      <c r="S700" s="245"/>
    </row>
    <row r="701" spans="16:19" ht="12.75" x14ac:dyDescent="0.35">
      <c r="P701" s="245"/>
      <c r="S701" s="245"/>
    </row>
    <row r="702" spans="16:19" ht="12.75" x14ac:dyDescent="0.35">
      <c r="P702" s="245"/>
      <c r="S702" s="245"/>
    </row>
    <row r="703" spans="16:19" ht="12.75" x14ac:dyDescent="0.35">
      <c r="P703" s="245"/>
      <c r="S703" s="245"/>
    </row>
    <row r="704" spans="16:19" ht="12.75" x14ac:dyDescent="0.35">
      <c r="P704" s="245"/>
      <c r="S704" s="245"/>
    </row>
    <row r="705" spans="16:19" ht="12.75" x14ac:dyDescent="0.35">
      <c r="P705" s="245"/>
      <c r="S705" s="245"/>
    </row>
    <row r="706" spans="16:19" ht="12.75" x14ac:dyDescent="0.35">
      <c r="P706" s="245"/>
      <c r="S706" s="245"/>
    </row>
    <row r="707" spans="16:19" ht="12.75" x14ac:dyDescent="0.35">
      <c r="P707" s="245"/>
      <c r="S707" s="245"/>
    </row>
    <row r="708" spans="16:19" ht="12.75" x14ac:dyDescent="0.35">
      <c r="P708" s="245"/>
      <c r="S708" s="245"/>
    </row>
    <row r="709" spans="16:19" ht="12.75" x14ac:dyDescent="0.35">
      <c r="P709" s="245"/>
      <c r="S709" s="245"/>
    </row>
    <row r="710" spans="16:19" ht="12.75" x14ac:dyDescent="0.35">
      <c r="P710" s="245"/>
      <c r="S710" s="245"/>
    </row>
    <row r="711" spans="16:19" ht="12.75" x14ac:dyDescent="0.35">
      <c r="P711" s="245"/>
      <c r="S711" s="245"/>
    </row>
    <row r="712" spans="16:19" ht="12.75" x14ac:dyDescent="0.35">
      <c r="P712" s="245"/>
      <c r="S712" s="245"/>
    </row>
    <row r="713" spans="16:19" ht="12.75" x14ac:dyDescent="0.35">
      <c r="P713" s="245"/>
      <c r="S713" s="245"/>
    </row>
    <row r="714" spans="16:19" ht="12.75" x14ac:dyDescent="0.35">
      <c r="P714" s="245"/>
      <c r="S714" s="245"/>
    </row>
    <row r="715" spans="16:19" ht="12.75" x14ac:dyDescent="0.35">
      <c r="P715" s="245"/>
      <c r="S715" s="245"/>
    </row>
    <row r="716" spans="16:19" ht="12.75" x14ac:dyDescent="0.35">
      <c r="P716" s="245"/>
      <c r="S716" s="245"/>
    </row>
    <row r="717" spans="16:19" ht="12.75" x14ac:dyDescent="0.35">
      <c r="P717" s="245"/>
      <c r="S717" s="245"/>
    </row>
    <row r="718" spans="16:19" ht="12.75" x14ac:dyDescent="0.35">
      <c r="P718" s="245"/>
      <c r="S718" s="245"/>
    </row>
    <row r="719" spans="16:19" ht="12.75" x14ac:dyDescent="0.35">
      <c r="P719" s="245"/>
      <c r="S719" s="245"/>
    </row>
    <row r="720" spans="16:19" ht="12.75" x14ac:dyDescent="0.35">
      <c r="P720" s="245"/>
      <c r="S720" s="245"/>
    </row>
    <row r="721" spans="16:19" ht="12.75" x14ac:dyDescent="0.35">
      <c r="P721" s="245"/>
      <c r="S721" s="245"/>
    </row>
    <row r="722" spans="16:19" ht="12.75" x14ac:dyDescent="0.35">
      <c r="P722" s="245"/>
      <c r="S722" s="245"/>
    </row>
    <row r="723" spans="16:19" ht="12.75" x14ac:dyDescent="0.35">
      <c r="P723" s="245"/>
      <c r="S723" s="245"/>
    </row>
    <row r="724" spans="16:19" ht="12.75" x14ac:dyDescent="0.35">
      <c r="P724" s="245"/>
      <c r="S724" s="245"/>
    </row>
    <row r="725" spans="16:19" ht="12.75" x14ac:dyDescent="0.35">
      <c r="P725" s="245"/>
      <c r="S725" s="245"/>
    </row>
    <row r="726" spans="16:19" ht="12.75" x14ac:dyDescent="0.35">
      <c r="P726" s="245"/>
      <c r="S726" s="245"/>
    </row>
    <row r="727" spans="16:19" ht="12.75" x14ac:dyDescent="0.35">
      <c r="P727" s="245"/>
      <c r="S727" s="245"/>
    </row>
    <row r="728" spans="16:19" ht="12.75" x14ac:dyDescent="0.35">
      <c r="P728" s="245"/>
      <c r="S728" s="245"/>
    </row>
    <row r="729" spans="16:19" ht="12.75" x14ac:dyDescent="0.35">
      <c r="P729" s="245"/>
      <c r="S729" s="245"/>
    </row>
    <row r="730" spans="16:19" ht="12.75" x14ac:dyDescent="0.35">
      <c r="P730" s="245"/>
      <c r="S730" s="245"/>
    </row>
    <row r="731" spans="16:19" ht="12.75" x14ac:dyDescent="0.35">
      <c r="P731" s="245"/>
      <c r="S731" s="245"/>
    </row>
    <row r="732" spans="16:19" ht="12.75" x14ac:dyDescent="0.35">
      <c r="P732" s="245"/>
      <c r="S732" s="245"/>
    </row>
    <row r="733" spans="16:19" ht="12.75" x14ac:dyDescent="0.35">
      <c r="P733" s="245"/>
      <c r="S733" s="245"/>
    </row>
    <row r="734" spans="16:19" ht="12.75" x14ac:dyDescent="0.35">
      <c r="P734" s="245"/>
      <c r="S734" s="245"/>
    </row>
    <row r="735" spans="16:19" ht="12.75" x14ac:dyDescent="0.35">
      <c r="P735" s="245"/>
      <c r="S735" s="245"/>
    </row>
    <row r="736" spans="16:19" ht="12.75" x14ac:dyDescent="0.35">
      <c r="P736" s="245"/>
      <c r="S736" s="245"/>
    </row>
    <row r="737" spans="16:19" ht="12.75" x14ac:dyDescent="0.35">
      <c r="P737" s="245"/>
      <c r="S737" s="245"/>
    </row>
    <row r="738" spans="16:19" ht="12.75" x14ac:dyDescent="0.35">
      <c r="P738" s="245"/>
      <c r="S738" s="245"/>
    </row>
    <row r="739" spans="16:19" ht="12.75" x14ac:dyDescent="0.35">
      <c r="P739" s="245"/>
      <c r="S739" s="245"/>
    </row>
    <row r="740" spans="16:19" ht="12.75" x14ac:dyDescent="0.35">
      <c r="P740" s="245"/>
      <c r="S740" s="245"/>
    </row>
    <row r="741" spans="16:19" ht="12.75" x14ac:dyDescent="0.35">
      <c r="P741" s="245"/>
      <c r="S741" s="245"/>
    </row>
    <row r="742" spans="16:19" ht="12.75" x14ac:dyDescent="0.35">
      <c r="P742" s="245"/>
      <c r="S742" s="245"/>
    </row>
    <row r="743" spans="16:19" ht="12.75" x14ac:dyDescent="0.35">
      <c r="P743" s="245"/>
      <c r="S743" s="245"/>
    </row>
    <row r="744" spans="16:19" ht="12.75" x14ac:dyDescent="0.35">
      <c r="P744" s="245"/>
      <c r="S744" s="245"/>
    </row>
    <row r="745" spans="16:19" ht="12.75" x14ac:dyDescent="0.35">
      <c r="P745" s="245"/>
      <c r="S745" s="245"/>
    </row>
    <row r="746" spans="16:19" ht="12.75" x14ac:dyDescent="0.35">
      <c r="P746" s="245"/>
      <c r="S746" s="245"/>
    </row>
    <row r="747" spans="16:19" ht="12.75" x14ac:dyDescent="0.35">
      <c r="P747" s="245"/>
      <c r="S747" s="245"/>
    </row>
    <row r="748" spans="16:19" ht="12.75" x14ac:dyDescent="0.35">
      <c r="P748" s="245"/>
      <c r="S748" s="245"/>
    </row>
    <row r="749" spans="16:19" ht="12.75" x14ac:dyDescent="0.35">
      <c r="P749" s="245"/>
      <c r="S749" s="245"/>
    </row>
    <row r="750" spans="16:19" ht="12.75" x14ac:dyDescent="0.35">
      <c r="P750" s="245"/>
      <c r="S750" s="245"/>
    </row>
    <row r="751" spans="16:19" ht="12.75" x14ac:dyDescent="0.35">
      <c r="P751" s="245"/>
      <c r="S751" s="245"/>
    </row>
    <row r="752" spans="16:19" ht="12.75" x14ac:dyDescent="0.35">
      <c r="P752" s="245"/>
      <c r="S752" s="245"/>
    </row>
    <row r="753" spans="16:19" ht="12.75" x14ac:dyDescent="0.35">
      <c r="P753" s="245"/>
      <c r="S753" s="245"/>
    </row>
    <row r="754" spans="16:19" ht="12.75" x14ac:dyDescent="0.35">
      <c r="P754" s="245"/>
      <c r="S754" s="245"/>
    </row>
    <row r="755" spans="16:19" ht="12.75" x14ac:dyDescent="0.35">
      <c r="P755" s="245"/>
      <c r="S755" s="245"/>
    </row>
    <row r="756" spans="16:19" ht="12.75" x14ac:dyDescent="0.35">
      <c r="P756" s="245"/>
      <c r="S756" s="245"/>
    </row>
    <row r="757" spans="16:19" ht="12.75" x14ac:dyDescent="0.35">
      <c r="P757" s="245"/>
      <c r="S757" s="245"/>
    </row>
    <row r="758" spans="16:19" ht="12.75" x14ac:dyDescent="0.35">
      <c r="P758" s="245"/>
      <c r="S758" s="245"/>
    </row>
    <row r="759" spans="16:19" ht="12.75" x14ac:dyDescent="0.35">
      <c r="P759" s="245"/>
      <c r="S759" s="245"/>
    </row>
    <row r="760" spans="16:19" ht="12.75" x14ac:dyDescent="0.35">
      <c r="P760" s="245"/>
      <c r="S760" s="245"/>
    </row>
    <row r="761" spans="16:19" ht="12.75" x14ac:dyDescent="0.35">
      <c r="P761" s="245"/>
      <c r="S761" s="245"/>
    </row>
    <row r="762" spans="16:19" ht="12.75" x14ac:dyDescent="0.35">
      <c r="P762" s="245"/>
      <c r="S762" s="245"/>
    </row>
    <row r="763" spans="16:19" ht="12.75" x14ac:dyDescent="0.35">
      <c r="P763" s="245"/>
      <c r="S763" s="245"/>
    </row>
    <row r="764" spans="16:19" ht="12.75" x14ac:dyDescent="0.35">
      <c r="P764" s="245"/>
      <c r="S764" s="245"/>
    </row>
    <row r="765" spans="16:19" ht="12.75" x14ac:dyDescent="0.35">
      <c r="P765" s="245"/>
      <c r="S765" s="245"/>
    </row>
    <row r="766" spans="16:19" ht="12.75" x14ac:dyDescent="0.35">
      <c r="P766" s="245"/>
      <c r="S766" s="245"/>
    </row>
    <row r="767" spans="16:19" ht="12.75" x14ac:dyDescent="0.35">
      <c r="P767" s="245"/>
      <c r="S767" s="245"/>
    </row>
    <row r="768" spans="16:19" ht="12.75" x14ac:dyDescent="0.35">
      <c r="P768" s="245"/>
      <c r="S768" s="245"/>
    </row>
    <row r="769" spans="16:19" ht="12.75" x14ac:dyDescent="0.35">
      <c r="P769" s="245"/>
      <c r="S769" s="245"/>
    </row>
    <row r="770" spans="16:19" ht="12.75" x14ac:dyDescent="0.35">
      <c r="P770" s="245"/>
      <c r="S770" s="245"/>
    </row>
    <row r="771" spans="16:19" ht="12.75" x14ac:dyDescent="0.35">
      <c r="P771" s="245"/>
      <c r="S771" s="245"/>
    </row>
    <row r="772" spans="16:19" ht="12.75" x14ac:dyDescent="0.35">
      <c r="P772" s="245"/>
      <c r="S772" s="245"/>
    </row>
    <row r="773" spans="16:19" ht="12.75" x14ac:dyDescent="0.35">
      <c r="P773" s="245"/>
      <c r="S773" s="245"/>
    </row>
    <row r="774" spans="16:19" ht="12.75" x14ac:dyDescent="0.35">
      <c r="P774" s="245"/>
      <c r="S774" s="245"/>
    </row>
    <row r="775" spans="16:19" ht="12.75" x14ac:dyDescent="0.35">
      <c r="P775" s="245"/>
      <c r="S775" s="245"/>
    </row>
    <row r="776" spans="16:19" ht="12.75" x14ac:dyDescent="0.35">
      <c r="P776" s="245"/>
      <c r="S776" s="245"/>
    </row>
    <row r="777" spans="16:19" ht="12.75" x14ac:dyDescent="0.35">
      <c r="P777" s="245"/>
      <c r="S777" s="245"/>
    </row>
    <row r="778" spans="16:19" ht="12.75" x14ac:dyDescent="0.35">
      <c r="P778" s="245"/>
      <c r="S778" s="245"/>
    </row>
    <row r="779" spans="16:19" ht="12.75" x14ac:dyDescent="0.35">
      <c r="P779" s="245"/>
      <c r="S779" s="245"/>
    </row>
    <row r="780" spans="16:19" ht="12.75" x14ac:dyDescent="0.35">
      <c r="P780" s="245"/>
      <c r="S780" s="245"/>
    </row>
    <row r="781" spans="16:19" ht="12.75" x14ac:dyDescent="0.35">
      <c r="P781" s="245"/>
      <c r="S781" s="245"/>
    </row>
    <row r="782" spans="16:19" ht="12.75" x14ac:dyDescent="0.35">
      <c r="P782" s="245"/>
      <c r="S782" s="245"/>
    </row>
    <row r="783" spans="16:19" ht="12.75" x14ac:dyDescent="0.35">
      <c r="P783" s="245"/>
      <c r="S783" s="245"/>
    </row>
    <row r="784" spans="16:19" ht="12.75" x14ac:dyDescent="0.35">
      <c r="P784" s="245"/>
      <c r="S784" s="245"/>
    </row>
    <row r="785" spans="16:19" ht="12.75" x14ac:dyDescent="0.35">
      <c r="P785" s="245"/>
      <c r="S785" s="245"/>
    </row>
    <row r="786" spans="16:19" ht="12.75" x14ac:dyDescent="0.35">
      <c r="P786" s="245"/>
      <c r="S786" s="245"/>
    </row>
    <row r="787" spans="16:19" ht="12.75" x14ac:dyDescent="0.35">
      <c r="P787" s="245"/>
      <c r="S787" s="245"/>
    </row>
    <row r="788" spans="16:19" ht="12.75" x14ac:dyDescent="0.35">
      <c r="P788" s="245"/>
      <c r="S788" s="245"/>
    </row>
    <row r="789" spans="16:19" ht="12.75" x14ac:dyDescent="0.35">
      <c r="P789" s="245"/>
      <c r="S789" s="245"/>
    </row>
    <row r="790" spans="16:19" ht="12.75" x14ac:dyDescent="0.35">
      <c r="P790" s="245"/>
      <c r="S790" s="245"/>
    </row>
    <row r="791" spans="16:19" ht="12.75" x14ac:dyDescent="0.35">
      <c r="P791" s="245"/>
      <c r="S791" s="245"/>
    </row>
    <row r="792" spans="16:19" ht="12.75" x14ac:dyDescent="0.35">
      <c r="P792" s="245"/>
      <c r="S792" s="245"/>
    </row>
    <row r="793" spans="16:19" ht="12.75" x14ac:dyDescent="0.35">
      <c r="P793" s="245"/>
      <c r="S793" s="245"/>
    </row>
    <row r="794" spans="16:19" ht="12.75" x14ac:dyDescent="0.35">
      <c r="P794" s="245"/>
      <c r="S794" s="245"/>
    </row>
    <row r="795" spans="16:19" ht="12.75" x14ac:dyDescent="0.35">
      <c r="P795" s="245"/>
      <c r="S795" s="245"/>
    </row>
    <row r="796" spans="16:19" ht="12.75" x14ac:dyDescent="0.35">
      <c r="P796" s="245"/>
      <c r="S796" s="245"/>
    </row>
    <row r="797" spans="16:19" ht="12.75" x14ac:dyDescent="0.35">
      <c r="P797" s="245"/>
      <c r="S797" s="245"/>
    </row>
    <row r="798" spans="16:19" ht="12.75" x14ac:dyDescent="0.35">
      <c r="P798" s="245"/>
      <c r="S798" s="245"/>
    </row>
    <row r="799" spans="16:19" ht="12.75" x14ac:dyDescent="0.35">
      <c r="P799" s="245"/>
      <c r="S799" s="245"/>
    </row>
    <row r="800" spans="16:19" ht="12.75" x14ac:dyDescent="0.35">
      <c r="P800" s="245"/>
      <c r="S800" s="245"/>
    </row>
    <row r="801" spans="16:19" ht="12.75" x14ac:dyDescent="0.35">
      <c r="P801" s="245"/>
      <c r="S801" s="245"/>
    </row>
    <row r="802" spans="16:19" ht="12.75" x14ac:dyDescent="0.35">
      <c r="P802" s="245"/>
      <c r="S802" s="245"/>
    </row>
    <row r="803" spans="16:19" ht="12.75" x14ac:dyDescent="0.35">
      <c r="P803" s="245"/>
      <c r="S803" s="245"/>
    </row>
    <row r="804" spans="16:19" ht="12.75" x14ac:dyDescent="0.35">
      <c r="P804" s="245"/>
      <c r="S804" s="245"/>
    </row>
    <row r="805" spans="16:19" ht="12.75" x14ac:dyDescent="0.35">
      <c r="P805" s="245"/>
      <c r="S805" s="245"/>
    </row>
    <row r="806" spans="16:19" ht="12.75" x14ac:dyDescent="0.35">
      <c r="P806" s="245"/>
      <c r="S806" s="245"/>
    </row>
    <row r="807" spans="16:19" ht="12.75" x14ac:dyDescent="0.35">
      <c r="P807" s="245"/>
      <c r="S807" s="245"/>
    </row>
    <row r="808" spans="16:19" ht="12.75" x14ac:dyDescent="0.35">
      <c r="P808" s="245"/>
      <c r="S808" s="245"/>
    </row>
    <row r="809" spans="16:19" ht="12.75" x14ac:dyDescent="0.35">
      <c r="P809" s="245"/>
      <c r="S809" s="245"/>
    </row>
    <row r="810" spans="16:19" ht="12.75" x14ac:dyDescent="0.35">
      <c r="P810" s="245"/>
      <c r="S810" s="245"/>
    </row>
    <row r="811" spans="16:19" ht="12.75" x14ac:dyDescent="0.35">
      <c r="P811" s="245"/>
      <c r="S811" s="245"/>
    </row>
    <row r="812" spans="16:19" ht="12.75" x14ac:dyDescent="0.35">
      <c r="P812" s="245"/>
      <c r="S812" s="245"/>
    </row>
    <row r="813" spans="16:19" ht="12.75" x14ac:dyDescent="0.35">
      <c r="P813" s="245"/>
      <c r="S813" s="245"/>
    </row>
    <row r="814" spans="16:19" ht="12.75" x14ac:dyDescent="0.35">
      <c r="P814" s="245"/>
      <c r="S814" s="245"/>
    </row>
    <row r="815" spans="16:19" ht="12.75" x14ac:dyDescent="0.35">
      <c r="P815" s="245"/>
      <c r="S815" s="245"/>
    </row>
    <row r="816" spans="16:19" ht="12.75" x14ac:dyDescent="0.35">
      <c r="P816" s="245"/>
      <c r="S816" s="245"/>
    </row>
    <row r="817" spans="16:19" ht="12.75" x14ac:dyDescent="0.35">
      <c r="P817" s="245"/>
      <c r="S817" s="245"/>
    </row>
    <row r="818" spans="16:19" ht="12.75" x14ac:dyDescent="0.35">
      <c r="P818" s="245"/>
      <c r="S818" s="245"/>
    </row>
    <row r="819" spans="16:19" ht="12.75" x14ac:dyDescent="0.35">
      <c r="P819" s="245"/>
      <c r="S819" s="245"/>
    </row>
    <row r="820" spans="16:19" ht="12.75" x14ac:dyDescent="0.35">
      <c r="P820" s="245"/>
      <c r="S820" s="245"/>
    </row>
    <row r="821" spans="16:19" ht="12.75" x14ac:dyDescent="0.35">
      <c r="P821" s="245"/>
      <c r="S821" s="245"/>
    </row>
    <row r="822" spans="16:19" ht="12.75" x14ac:dyDescent="0.35">
      <c r="P822" s="245"/>
      <c r="S822" s="245"/>
    </row>
    <row r="823" spans="16:19" ht="12.75" x14ac:dyDescent="0.35">
      <c r="P823" s="245"/>
      <c r="S823" s="245"/>
    </row>
    <row r="824" spans="16:19" ht="12.75" x14ac:dyDescent="0.35">
      <c r="P824" s="245"/>
      <c r="S824" s="245"/>
    </row>
    <row r="825" spans="16:19" ht="12.75" x14ac:dyDescent="0.35">
      <c r="P825" s="245"/>
      <c r="S825" s="245"/>
    </row>
    <row r="826" spans="16:19" ht="12.75" x14ac:dyDescent="0.35">
      <c r="P826" s="245"/>
      <c r="S826" s="245"/>
    </row>
    <row r="827" spans="16:19" ht="12.75" x14ac:dyDescent="0.35">
      <c r="P827" s="245"/>
      <c r="S827" s="245"/>
    </row>
    <row r="828" spans="16:19" ht="12.75" x14ac:dyDescent="0.35">
      <c r="P828" s="245"/>
      <c r="S828" s="245"/>
    </row>
    <row r="829" spans="16:19" ht="12.75" x14ac:dyDescent="0.35">
      <c r="P829" s="245"/>
      <c r="S829" s="245"/>
    </row>
    <row r="830" spans="16:19" ht="12.75" x14ac:dyDescent="0.35">
      <c r="P830" s="245"/>
      <c r="S830" s="245"/>
    </row>
    <row r="831" spans="16:19" ht="12.75" x14ac:dyDescent="0.35">
      <c r="P831" s="245"/>
      <c r="S831" s="245"/>
    </row>
    <row r="832" spans="16:19" ht="12.75" x14ac:dyDescent="0.35">
      <c r="P832" s="245"/>
      <c r="S832" s="245"/>
    </row>
    <row r="833" spans="16:19" ht="12.75" x14ac:dyDescent="0.35">
      <c r="P833" s="245"/>
      <c r="S833" s="245"/>
    </row>
    <row r="834" spans="16:19" ht="12.75" x14ac:dyDescent="0.35">
      <c r="P834" s="245"/>
      <c r="S834" s="245"/>
    </row>
    <row r="835" spans="16:19" ht="12.75" x14ac:dyDescent="0.35">
      <c r="P835" s="245"/>
      <c r="S835" s="245"/>
    </row>
    <row r="836" spans="16:19" ht="12.75" x14ac:dyDescent="0.35">
      <c r="P836" s="245"/>
      <c r="S836" s="245"/>
    </row>
    <row r="837" spans="16:19" ht="12.75" x14ac:dyDescent="0.35">
      <c r="P837" s="245"/>
      <c r="S837" s="245"/>
    </row>
    <row r="838" spans="16:19" ht="12.75" x14ac:dyDescent="0.35">
      <c r="P838" s="245"/>
      <c r="S838" s="245"/>
    </row>
    <row r="839" spans="16:19" ht="12.75" x14ac:dyDescent="0.35">
      <c r="P839" s="245"/>
      <c r="S839" s="245"/>
    </row>
    <row r="840" spans="16:19" ht="12.75" x14ac:dyDescent="0.35">
      <c r="P840" s="245"/>
      <c r="S840" s="245"/>
    </row>
    <row r="841" spans="16:19" ht="12.75" x14ac:dyDescent="0.35">
      <c r="P841" s="245"/>
      <c r="S841" s="245"/>
    </row>
    <row r="842" spans="16:19" ht="12.75" x14ac:dyDescent="0.35">
      <c r="P842" s="245"/>
      <c r="S842" s="245"/>
    </row>
    <row r="843" spans="16:19" ht="12.75" x14ac:dyDescent="0.35">
      <c r="P843" s="245"/>
      <c r="S843" s="245"/>
    </row>
    <row r="844" spans="16:19" ht="12.75" x14ac:dyDescent="0.35">
      <c r="P844" s="245"/>
      <c r="S844" s="245"/>
    </row>
    <row r="845" spans="16:19" ht="12.75" x14ac:dyDescent="0.35">
      <c r="P845" s="245"/>
      <c r="S845" s="245"/>
    </row>
    <row r="846" spans="16:19" ht="12.75" x14ac:dyDescent="0.35">
      <c r="P846" s="245"/>
      <c r="S846" s="245"/>
    </row>
    <row r="847" spans="16:19" ht="12.75" x14ac:dyDescent="0.35">
      <c r="P847" s="245"/>
      <c r="S847" s="245"/>
    </row>
    <row r="848" spans="16:19" ht="12.75" x14ac:dyDescent="0.35">
      <c r="P848" s="245"/>
      <c r="S848" s="245"/>
    </row>
    <row r="849" spans="16:19" ht="12.75" x14ac:dyDescent="0.35">
      <c r="P849" s="245"/>
      <c r="S849" s="245"/>
    </row>
    <row r="850" spans="16:19" ht="12.75" x14ac:dyDescent="0.35">
      <c r="P850" s="245"/>
      <c r="S850" s="245"/>
    </row>
    <row r="851" spans="16:19" ht="12.75" x14ac:dyDescent="0.35">
      <c r="P851" s="245"/>
      <c r="S851" s="245"/>
    </row>
    <row r="852" spans="16:19" ht="12.75" x14ac:dyDescent="0.35">
      <c r="P852" s="245"/>
      <c r="S852" s="245"/>
    </row>
    <row r="853" spans="16:19" ht="12.75" x14ac:dyDescent="0.35">
      <c r="P853" s="245"/>
      <c r="S853" s="245"/>
    </row>
    <row r="854" spans="16:19" ht="12.75" x14ac:dyDescent="0.35">
      <c r="P854" s="245"/>
      <c r="S854" s="245"/>
    </row>
    <row r="855" spans="16:19" ht="12.75" x14ac:dyDescent="0.35">
      <c r="P855" s="245"/>
      <c r="S855" s="245"/>
    </row>
    <row r="856" spans="16:19" ht="12.75" x14ac:dyDescent="0.35">
      <c r="P856" s="245"/>
      <c r="S856" s="245"/>
    </row>
    <row r="857" spans="16:19" ht="12.75" x14ac:dyDescent="0.35">
      <c r="P857" s="245"/>
      <c r="S857" s="245"/>
    </row>
    <row r="858" spans="16:19" ht="12.75" x14ac:dyDescent="0.35">
      <c r="P858" s="245"/>
      <c r="S858" s="245"/>
    </row>
    <row r="859" spans="16:19" ht="12.75" x14ac:dyDescent="0.35">
      <c r="P859" s="245"/>
      <c r="S859" s="245"/>
    </row>
    <row r="860" spans="16:19" ht="12.75" x14ac:dyDescent="0.35">
      <c r="P860" s="245"/>
      <c r="S860" s="245"/>
    </row>
    <row r="861" spans="16:19" ht="12.75" x14ac:dyDescent="0.35">
      <c r="P861" s="245"/>
      <c r="S861" s="245"/>
    </row>
    <row r="862" spans="16:19" ht="12.75" x14ac:dyDescent="0.35">
      <c r="P862" s="245"/>
      <c r="S862" s="245"/>
    </row>
    <row r="863" spans="16:19" ht="12.75" x14ac:dyDescent="0.35">
      <c r="P863" s="245"/>
      <c r="S863" s="245"/>
    </row>
    <row r="864" spans="16:19" ht="12.75" x14ac:dyDescent="0.35">
      <c r="P864" s="245"/>
      <c r="S864" s="245"/>
    </row>
    <row r="865" spans="16:19" ht="12.75" x14ac:dyDescent="0.35">
      <c r="P865" s="245"/>
      <c r="S865" s="245"/>
    </row>
    <row r="866" spans="16:19" ht="12.75" x14ac:dyDescent="0.35">
      <c r="P866" s="245"/>
      <c r="S866" s="245"/>
    </row>
    <row r="867" spans="16:19" ht="12.75" x14ac:dyDescent="0.35">
      <c r="P867" s="245"/>
      <c r="S867" s="245"/>
    </row>
    <row r="868" spans="16:19" ht="12.75" x14ac:dyDescent="0.35">
      <c r="P868" s="245"/>
      <c r="S868" s="245"/>
    </row>
    <row r="869" spans="16:19" ht="12.75" x14ac:dyDescent="0.35">
      <c r="P869" s="245"/>
      <c r="S869" s="245"/>
    </row>
    <row r="870" spans="16:19" ht="12.75" x14ac:dyDescent="0.35">
      <c r="P870" s="245"/>
      <c r="S870" s="245"/>
    </row>
    <row r="871" spans="16:19" ht="12.75" x14ac:dyDescent="0.35">
      <c r="P871" s="245"/>
      <c r="S871" s="245"/>
    </row>
    <row r="872" spans="16:19" ht="12.75" x14ac:dyDescent="0.35">
      <c r="P872" s="245"/>
      <c r="S872" s="245"/>
    </row>
    <row r="873" spans="16:19" ht="12.75" x14ac:dyDescent="0.35">
      <c r="P873" s="245"/>
      <c r="S873" s="245"/>
    </row>
    <row r="874" spans="16:19" ht="12.75" x14ac:dyDescent="0.35">
      <c r="P874" s="245"/>
      <c r="S874" s="245"/>
    </row>
    <row r="875" spans="16:19" ht="12.75" x14ac:dyDescent="0.35">
      <c r="P875" s="245"/>
      <c r="S875" s="245"/>
    </row>
    <row r="876" spans="16:19" ht="12.75" x14ac:dyDescent="0.35">
      <c r="P876" s="245"/>
      <c r="S876" s="245"/>
    </row>
    <row r="877" spans="16:19" ht="12.75" x14ac:dyDescent="0.35">
      <c r="P877" s="245"/>
      <c r="S877" s="245"/>
    </row>
    <row r="878" spans="16:19" ht="12.75" x14ac:dyDescent="0.35">
      <c r="P878" s="245"/>
      <c r="S878" s="245"/>
    </row>
    <row r="879" spans="16:19" ht="12.75" x14ac:dyDescent="0.35">
      <c r="P879" s="245"/>
      <c r="S879" s="245"/>
    </row>
    <row r="880" spans="16:19" ht="12.75" x14ac:dyDescent="0.35">
      <c r="P880" s="245"/>
      <c r="S880" s="245"/>
    </row>
    <row r="881" spans="16:19" ht="12.75" x14ac:dyDescent="0.35">
      <c r="P881" s="245"/>
      <c r="S881" s="245"/>
    </row>
    <row r="882" spans="16:19" ht="12.75" x14ac:dyDescent="0.35">
      <c r="P882" s="245"/>
      <c r="S882" s="245"/>
    </row>
    <row r="883" spans="16:19" ht="12.75" x14ac:dyDescent="0.35">
      <c r="P883" s="245"/>
      <c r="S883" s="245"/>
    </row>
    <row r="884" spans="16:19" ht="12.75" x14ac:dyDescent="0.35">
      <c r="P884" s="245"/>
      <c r="S884" s="245"/>
    </row>
    <row r="885" spans="16:19" ht="12.75" x14ac:dyDescent="0.35">
      <c r="P885" s="245"/>
      <c r="S885" s="245"/>
    </row>
    <row r="886" spans="16:19" ht="12.75" x14ac:dyDescent="0.35">
      <c r="P886" s="245"/>
      <c r="S886" s="245"/>
    </row>
    <row r="887" spans="16:19" ht="12.75" x14ac:dyDescent="0.35">
      <c r="P887" s="245"/>
      <c r="S887" s="245"/>
    </row>
    <row r="888" spans="16:19" ht="12.75" x14ac:dyDescent="0.35">
      <c r="P888" s="245"/>
      <c r="S888" s="245"/>
    </row>
    <row r="889" spans="16:19" ht="12.75" x14ac:dyDescent="0.35">
      <c r="P889" s="245"/>
      <c r="S889" s="245"/>
    </row>
    <row r="890" spans="16:19" ht="12.75" x14ac:dyDescent="0.35">
      <c r="P890" s="245"/>
      <c r="S890" s="245"/>
    </row>
    <row r="891" spans="16:19" ht="12.75" x14ac:dyDescent="0.35">
      <c r="P891" s="245"/>
      <c r="S891" s="245"/>
    </row>
    <row r="892" spans="16:19" ht="12.75" x14ac:dyDescent="0.35">
      <c r="P892" s="245"/>
      <c r="S892" s="245"/>
    </row>
    <row r="893" spans="16:19" ht="12.75" x14ac:dyDescent="0.35">
      <c r="P893" s="245"/>
      <c r="S893" s="245"/>
    </row>
    <row r="894" spans="16:19" ht="12.75" x14ac:dyDescent="0.35">
      <c r="P894" s="245"/>
      <c r="S894" s="245"/>
    </row>
    <row r="895" spans="16:19" ht="12.75" x14ac:dyDescent="0.35">
      <c r="P895" s="245"/>
      <c r="S895" s="245"/>
    </row>
    <row r="896" spans="16:19" ht="12.75" x14ac:dyDescent="0.35">
      <c r="P896" s="245"/>
      <c r="S896" s="245"/>
    </row>
    <row r="897" spans="16:19" ht="12.75" x14ac:dyDescent="0.35">
      <c r="P897" s="245"/>
      <c r="S897" s="245"/>
    </row>
    <row r="898" spans="16:19" ht="12.75" x14ac:dyDescent="0.35">
      <c r="P898" s="245"/>
      <c r="S898" s="245"/>
    </row>
    <row r="899" spans="16:19" ht="12.75" x14ac:dyDescent="0.35">
      <c r="P899" s="245"/>
      <c r="S899" s="245"/>
    </row>
    <row r="900" spans="16:19" ht="12.75" x14ac:dyDescent="0.35">
      <c r="P900" s="245"/>
      <c r="S900" s="245"/>
    </row>
    <row r="901" spans="16:19" ht="12.75" x14ac:dyDescent="0.35">
      <c r="P901" s="245"/>
      <c r="S901" s="245"/>
    </row>
    <row r="902" spans="16:19" ht="12.75" x14ac:dyDescent="0.35">
      <c r="P902" s="245"/>
      <c r="S902" s="245"/>
    </row>
    <row r="903" spans="16:19" ht="12.75" x14ac:dyDescent="0.35">
      <c r="P903" s="245"/>
      <c r="S903" s="245"/>
    </row>
    <row r="904" spans="16:19" ht="12.75" x14ac:dyDescent="0.35">
      <c r="P904" s="245"/>
      <c r="S904" s="245"/>
    </row>
    <row r="905" spans="16:19" ht="12.75" x14ac:dyDescent="0.35">
      <c r="P905" s="245"/>
      <c r="S905" s="245"/>
    </row>
    <row r="906" spans="16:19" ht="12.75" x14ac:dyDescent="0.35">
      <c r="P906" s="245"/>
      <c r="S906" s="245"/>
    </row>
    <row r="907" spans="16:19" ht="12.75" x14ac:dyDescent="0.35">
      <c r="P907" s="245"/>
      <c r="S907" s="245"/>
    </row>
    <row r="908" spans="16:19" ht="12.75" x14ac:dyDescent="0.35">
      <c r="P908" s="245"/>
      <c r="S908" s="245"/>
    </row>
    <row r="909" spans="16:19" ht="12.75" x14ac:dyDescent="0.35">
      <c r="P909" s="245"/>
      <c r="S909" s="245"/>
    </row>
    <row r="910" spans="16:19" ht="12.75" x14ac:dyDescent="0.35">
      <c r="P910" s="245"/>
      <c r="S910" s="245"/>
    </row>
    <row r="911" spans="16:19" ht="12.75" x14ac:dyDescent="0.35">
      <c r="P911" s="245"/>
      <c r="S911" s="245"/>
    </row>
    <row r="912" spans="16:19" ht="12.75" x14ac:dyDescent="0.35">
      <c r="P912" s="245"/>
      <c r="S912" s="245"/>
    </row>
    <row r="913" spans="16:19" ht="12.75" x14ac:dyDescent="0.35">
      <c r="P913" s="245"/>
      <c r="S913" s="245"/>
    </row>
    <row r="914" spans="16:19" ht="12.75" x14ac:dyDescent="0.35">
      <c r="P914" s="245"/>
      <c r="S914" s="245"/>
    </row>
    <row r="915" spans="16:19" ht="12.75" x14ac:dyDescent="0.35">
      <c r="P915" s="245"/>
      <c r="S915" s="245"/>
    </row>
    <row r="916" spans="16:19" ht="12.75" x14ac:dyDescent="0.35">
      <c r="P916" s="245"/>
      <c r="S916" s="245"/>
    </row>
    <row r="917" spans="16:19" ht="12.75" x14ac:dyDescent="0.35">
      <c r="P917" s="245"/>
      <c r="S917" s="245"/>
    </row>
    <row r="918" spans="16:19" ht="12.75" x14ac:dyDescent="0.35">
      <c r="P918" s="245"/>
      <c r="S918" s="245"/>
    </row>
    <row r="919" spans="16:19" ht="12.75" x14ac:dyDescent="0.35">
      <c r="P919" s="245"/>
      <c r="S919" s="245"/>
    </row>
    <row r="920" spans="16:19" ht="12.75" x14ac:dyDescent="0.35">
      <c r="P920" s="245"/>
      <c r="S920" s="245"/>
    </row>
    <row r="921" spans="16:19" ht="12.75" x14ac:dyDescent="0.35">
      <c r="P921" s="245"/>
      <c r="S921" s="245"/>
    </row>
    <row r="922" spans="16:19" ht="12.75" x14ac:dyDescent="0.35">
      <c r="P922" s="245"/>
      <c r="S922" s="245"/>
    </row>
    <row r="923" spans="16:19" ht="12.75" x14ac:dyDescent="0.35">
      <c r="P923" s="245"/>
      <c r="S923" s="245"/>
    </row>
    <row r="924" spans="16:19" ht="12.75" x14ac:dyDescent="0.35">
      <c r="P924" s="245"/>
      <c r="S924" s="245"/>
    </row>
    <row r="925" spans="16:19" ht="12.75" x14ac:dyDescent="0.35">
      <c r="P925" s="245"/>
      <c r="S925" s="245"/>
    </row>
    <row r="926" spans="16:19" ht="12.75" x14ac:dyDescent="0.35">
      <c r="P926" s="245"/>
      <c r="S926" s="245"/>
    </row>
    <row r="927" spans="16:19" ht="12.75" x14ac:dyDescent="0.35">
      <c r="P927" s="245"/>
      <c r="S927" s="245"/>
    </row>
    <row r="928" spans="16:19" ht="12.75" x14ac:dyDescent="0.35">
      <c r="P928" s="245"/>
      <c r="S928" s="245"/>
    </row>
    <row r="929" spans="16:19" ht="12.75" x14ac:dyDescent="0.35">
      <c r="P929" s="245"/>
      <c r="S929" s="245"/>
    </row>
    <row r="930" spans="16:19" ht="12.75" x14ac:dyDescent="0.35">
      <c r="P930" s="245"/>
      <c r="S930" s="245"/>
    </row>
    <row r="931" spans="16:19" ht="12.75" x14ac:dyDescent="0.35">
      <c r="P931" s="245"/>
      <c r="S931" s="245"/>
    </row>
    <row r="932" spans="16:19" ht="12.75" x14ac:dyDescent="0.35">
      <c r="P932" s="245"/>
      <c r="S932" s="245"/>
    </row>
    <row r="933" spans="16:19" ht="12.75" x14ac:dyDescent="0.35">
      <c r="P933" s="245"/>
      <c r="S933" s="245"/>
    </row>
    <row r="934" spans="16:19" ht="12.75" x14ac:dyDescent="0.35">
      <c r="P934" s="245"/>
      <c r="S934" s="245"/>
    </row>
    <row r="935" spans="16:19" ht="12.75" x14ac:dyDescent="0.35">
      <c r="P935" s="245"/>
      <c r="S935" s="245"/>
    </row>
    <row r="936" spans="16:19" ht="12.75" x14ac:dyDescent="0.35">
      <c r="P936" s="245"/>
      <c r="S936" s="245"/>
    </row>
    <row r="937" spans="16:19" ht="12.75" x14ac:dyDescent="0.35">
      <c r="P937" s="245"/>
      <c r="S937" s="245"/>
    </row>
    <row r="938" spans="16:19" ht="12.75" x14ac:dyDescent="0.35">
      <c r="P938" s="245"/>
      <c r="S938" s="245"/>
    </row>
    <row r="939" spans="16:19" ht="12.75" x14ac:dyDescent="0.35">
      <c r="P939" s="245"/>
      <c r="S939" s="245"/>
    </row>
    <row r="940" spans="16:19" ht="12.75" x14ac:dyDescent="0.35">
      <c r="P940" s="245"/>
      <c r="S940" s="245"/>
    </row>
    <row r="941" spans="16:19" ht="12.75" x14ac:dyDescent="0.35">
      <c r="P941" s="245"/>
      <c r="S941" s="245"/>
    </row>
    <row r="942" spans="16:19" ht="12.75" x14ac:dyDescent="0.35">
      <c r="P942" s="245"/>
      <c r="S942" s="245"/>
    </row>
    <row r="943" spans="16:19" ht="12.75" x14ac:dyDescent="0.35">
      <c r="P943" s="245"/>
      <c r="S943" s="245"/>
    </row>
    <row r="944" spans="16:19" ht="12.75" x14ac:dyDescent="0.35">
      <c r="P944" s="245"/>
      <c r="S944" s="245"/>
    </row>
    <row r="945" spans="16:19" ht="12.75" x14ac:dyDescent="0.35">
      <c r="P945" s="245"/>
      <c r="S945" s="245"/>
    </row>
    <row r="946" spans="16:19" ht="12.75" x14ac:dyDescent="0.35">
      <c r="P946" s="245"/>
      <c r="S946" s="245"/>
    </row>
    <row r="947" spans="16:19" ht="12.75" x14ac:dyDescent="0.35">
      <c r="P947" s="245"/>
      <c r="S947" s="245"/>
    </row>
    <row r="948" spans="16:19" ht="12.75" x14ac:dyDescent="0.35">
      <c r="P948" s="245"/>
      <c r="S948" s="245"/>
    </row>
    <row r="949" spans="16:19" ht="12.75" x14ac:dyDescent="0.35">
      <c r="P949" s="245"/>
      <c r="S949" s="245"/>
    </row>
    <row r="950" spans="16:19" ht="12.75" x14ac:dyDescent="0.35">
      <c r="P950" s="245"/>
      <c r="S950" s="245"/>
    </row>
    <row r="951" spans="16:19" ht="12.75" x14ac:dyDescent="0.35">
      <c r="P951" s="245"/>
      <c r="S951" s="245"/>
    </row>
    <row r="952" spans="16:19" ht="12.75" x14ac:dyDescent="0.35">
      <c r="P952" s="245"/>
      <c r="S952" s="245"/>
    </row>
    <row r="953" spans="16:19" ht="12.75" x14ac:dyDescent="0.35">
      <c r="P953" s="245"/>
      <c r="S953" s="245"/>
    </row>
    <row r="954" spans="16:19" ht="12.75" x14ac:dyDescent="0.35">
      <c r="P954" s="245"/>
      <c r="S954" s="245"/>
    </row>
    <row r="955" spans="16:19" ht="12.75" x14ac:dyDescent="0.35">
      <c r="P955" s="245"/>
      <c r="S955" s="245"/>
    </row>
    <row r="956" spans="16:19" ht="12.75" x14ac:dyDescent="0.35">
      <c r="P956" s="245"/>
      <c r="S956" s="245"/>
    </row>
    <row r="957" spans="16:19" ht="12.75" x14ac:dyDescent="0.35">
      <c r="P957" s="245"/>
      <c r="S957" s="245"/>
    </row>
    <row r="958" spans="16:19" ht="12.75" x14ac:dyDescent="0.35">
      <c r="P958" s="245"/>
      <c r="S958" s="245"/>
    </row>
    <row r="959" spans="16:19" ht="12.75" x14ac:dyDescent="0.35">
      <c r="P959" s="245"/>
      <c r="S959" s="245"/>
    </row>
    <row r="960" spans="16:19" ht="12.75" x14ac:dyDescent="0.35">
      <c r="P960" s="245"/>
      <c r="S960" s="245"/>
    </row>
    <row r="961" spans="16:19" ht="12.75" x14ac:dyDescent="0.35">
      <c r="P961" s="245"/>
      <c r="S961" s="245"/>
    </row>
    <row r="962" spans="16:19" ht="12.75" x14ac:dyDescent="0.35">
      <c r="P962" s="245"/>
      <c r="S962" s="245"/>
    </row>
    <row r="963" spans="16:19" ht="12.75" x14ac:dyDescent="0.35">
      <c r="P963" s="245"/>
      <c r="S963" s="245"/>
    </row>
    <row r="964" spans="16:19" ht="12.75" x14ac:dyDescent="0.35">
      <c r="P964" s="245"/>
      <c r="S964" s="245"/>
    </row>
    <row r="965" spans="16:19" ht="12.75" x14ac:dyDescent="0.35">
      <c r="P965" s="245"/>
      <c r="S965" s="245"/>
    </row>
    <row r="966" spans="16:19" ht="12.75" x14ac:dyDescent="0.35">
      <c r="P966" s="245"/>
      <c r="S966" s="245"/>
    </row>
    <row r="967" spans="16:19" ht="12.75" x14ac:dyDescent="0.35">
      <c r="P967" s="245"/>
      <c r="S967" s="245"/>
    </row>
    <row r="968" spans="16:19" ht="12.75" x14ac:dyDescent="0.35">
      <c r="P968" s="245"/>
      <c r="S968" s="245"/>
    </row>
    <row r="969" spans="16:19" ht="12.75" x14ac:dyDescent="0.35">
      <c r="P969" s="245"/>
      <c r="S969" s="245"/>
    </row>
    <row r="970" spans="16:19" ht="12.75" x14ac:dyDescent="0.35">
      <c r="P970" s="245"/>
      <c r="S970" s="245"/>
    </row>
    <row r="971" spans="16:19" ht="12.75" x14ac:dyDescent="0.35">
      <c r="P971" s="245"/>
      <c r="S971" s="245"/>
    </row>
    <row r="972" spans="16:19" ht="12.75" x14ac:dyDescent="0.35">
      <c r="P972" s="245"/>
      <c r="S972" s="245"/>
    </row>
    <row r="973" spans="16:19" ht="12.75" x14ac:dyDescent="0.35">
      <c r="P973" s="245"/>
      <c r="S973" s="245"/>
    </row>
    <row r="974" spans="16:19" ht="12.75" x14ac:dyDescent="0.35">
      <c r="P974" s="245"/>
      <c r="S974" s="245"/>
    </row>
    <row r="975" spans="16:19" ht="12.75" x14ac:dyDescent="0.35">
      <c r="P975" s="245"/>
      <c r="S975" s="245"/>
    </row>
    <row r="976" spans="16:19" ht="12.75" x14ac:dyDescent="0.35">
      <c r="P976" s="245"/>
      <c r="S976" s="245"/>
    </row>
    <row r="977" spans="16:19" ht="12.75" x14ac:dyDescent="0.35">
      <c r="P977" s="245"/>
      <c r="S977" s="245"/>
    </row>
    <row r="978" spans="16:19" ht="12.75" x14ac:dyDescent="0.35">
      <c r="P978" s="245"/>
      <c r="S978" s="245"/>
    </row>
    <row r="979" spans="16:19" ht="12.75" x14ac:dyDescent="0.35">
      <c r="P979" s="245"/>
      <c r="S979" s="245"/>
    </row>
    <row r="980" spans="16:19" ht="12.75" x14ac:dyDescent="0.35">
      <c r="P980" s="245"/>
      <c r="S980" s="245"/>
    </row>
    <row r="981" spans="16:19" ht="12.75" x14ac:dyDescent="0.35">
      <c r="P981" s="245"/>
      <c r="S981" s="245"/>
    </row>
    <row r="982" spans="16:19" ht="12.75" x14ac:dyDescent="0.35">
      <c r="P982" s="245"/>
      <c r="S982" s="245"/>
    </row>
    <row r="983" spans="16:19" ht="12.75" x14ac:dyDescent="0.35">
      <c r="P983" s="245"/>
      <c r="S983" s="245"/>
    </row>
    <row r="984" spans="16:19" ht="12.75" x14ac:dyDescent="0.35">
      <c r="P984" s="245"/>
      <c r="S984" s="245"/>
    </row>
    <row r="985" spans="16:19" ht="12.75" x14ac:dyDescent="0.35">
      <c r="P985" s="245"/>
      <c r="S985" s="245"/>
    </row>
    <row r="986" spans="16:19" ht="12.75" x14ac:dyDescent="0.35">
      <c r="P986" s="245"/>
      <c r="S986" s="245"/>
    </row>
    <row r="987" spans="16:19" ht="12.75" x14ac:dyDescent="0.35">
      <c r="P987" s="245"/>
      <c r="S987" s="245"/>
    </row>
    <row r="988" spans="16:19" ht="12.75" x14ac:dyDescent="0.35">
      <c r="P988" s="245"/>
      <c r="S988" s="245"/>
    </row>
    <row r="989" spans="16:19" ht="12.75" x14ac:dyDescent="0.35">
      <c r="P989" s="245"/>
      <c r="S989" s="245"/>
    </row>
    <row r="990" spans="16:19" ht="12.75" x14ac:dyDescent="0.35">
      <c r="P990" s="245"/>
      <c r="S990" s="245"/>
    </row>
    <row r="991" spans="16:19" ht="12.75" x14ac:dyDescent="0.35">
      <c r="P991" s="245"/>
      <c r="S991" s="245"/>
    </row>
    <row r="992" spans="16:19" ht="12.75" x14ac:dyDescent="0.35">
      <c r="P992" s="245"/>
      <c r="S992" s="245"/>
    </row>
    <row r="993" spans="16:19" ht="12.75" x14ac:dyDescent="0.35">
      <c r="P993" s="245"/>
      <c r="S993" s="245"/>
    </row>
    <row r="994" spans="16:19" ht="12.75" x14ac:dyDescent="0.35">
      <c r="P994" s="245"/>
      <c r="S994" s="245"/>
    </row>
    <row r="995" spans="16:19" ht="12.75" x14ac:dyDescent="0.35">
      <c r="P995" s="245"/>
      <c r="S995" s="245"/>
    </row>
    <row r="996" spans="16:19" ht="12.75" x14ac:dyDescent="0.35">
      <c r="P996" s="245"/>
      <c r="S996" s="245"/>
    </row>
    <row r="997" spans="16:19" ht="12.75" x14ac:dyDescent="0.35">
      <c r="P997" s="245"/>
      <c r="S997" s="245"/>
    </row>
    <row r="998" spans="16:19" ht="12.75" x14ac:dyDescent="0.35">
      <c r="P998" s="245"/>
      <c r="S998" s="245"/>
    </row>
    <row r="999" spans="16:19" ht="12.75" x14ac:dyDescent="0.35">
      <c r="P999" s="245"/>
      <c r="S999" s="245"/>
    </row>
    <row r="1000" spans="16:19" ht="12.75" x14ac:dyDescent="0.35">
      <c r="P1000" s="245"/>
      <c r="S1000" s="245"/>
    </row>
    <row r="1001" spans="16:19" ht="12.75" x14ac:dyDescent="0.35">
      <c r="P1001" s="245"/>
      <c r="S1001" s="245"/>
    </row>
    <row r="1002" spans="16:19" ht="12.75" x14ac:dyDescent="0.35">
      <c r="P1002" s="245"/>
      <c r="S1002" s="245"/>
    </row>
    <row r="1003" spans="16:19" ht="12.75" x14ac:dyDescent="0.35">
      <c r="P1003" s="245"/>
      <c r="S1003" s="245"/>
    </row>
  </sheetData>
  <mergeCells count="3">
    <mergeCell ref="F7:G7"/>
    <mergeCell ref="I7:J7"/>
    <mergeCell ref="T9:T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activeCell="E14" sqref="E14"/>
    </sheetView>
  </sheetViews>
  <sheetFormatPr defaultColWidth="12.59765625" defaultRowHeight="15.75" customHeight="1" x14ac:dyDescent="0.35"/>
  <cols>
    <col min="14" max="14" width="16.46484375" customWidth="1"/>
  </cols>
  <sheetData>
    <row r="1" spans="1:26" ht="15.75" customHeight="1" x14ac:dyDescent="0.65">
      <c r="A1" s="152" t="s">
        <v>192</v>
      </c>
      <c r="B1" s="5"/>
      <c r="C1" s="5"/>
      <c r="D1" s="5"/>
      <c r="E1" s="5"/>
      <c r="F1" s="77"/>
      <c r="G1" s="77"/>
      <c r="H1" s="5"/>
      <c r="I1" s="5"/>
      <c r="J1" s="77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.75" customHeight="1" x14ac:dyDescent="0.45">
      <c r="A2" s="5"/>
      <c r="B2" s="5"/>
      <c r="C2" s="5"/>
      <c r="D2" s="5"/>
      <c r="E2" s="5"/>
      <c r="F2" s="77"/>
      <c r="G2" s="77"/>
      <c r="H2" s="5"/>
      <c r="I2" s="5"/>
      <c r="J2" s="77"/>
      <c r="K2" s="5"/>
      <c r="L2" s="5"/>
      <c r="M2" s="5"/>
      <c r="N2" s="5" t="s">
        <v>193</v>
      </c>
      <c r="O2" s="153" t="str">
        <f>Parameters!D36</f>
        <v>HES-260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55000000000000004">
      <c r="A3" s="299" t="s">
        <v>194</v>
      </c>
      <c r="B3" s="300"/>
      <c r="C3" s="5"/>
      <c r="D3" s="154" t="s">
        <v>195</v>
      </c>
      <c r="E3" s="155"/>
      <c r="F3" s="156"/>
      <c r="G3" s="77"/>
      <c r="H3" s="5"/>
      <c r="I3" s="5"/>
      <c r="J3" s="77"/>
      <c r="K3" s="5"/>
      <c r="L3" s="5"/>
      <c r="M3" s="5"/>
      <c r="N3" s="5" t="str">
        <f>Parameters!F32</f>
        <v>Area (m^2)</v>
      </c>
      <c r="O3" s="153">
        <f>Parameters!F36</f>
        <v>1.6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45">
      <c r="A4" s="157" t="s">
        <v>196</v>
      </c>
      <c r="B4" s="158" t="s">
        <v>197</v>
      </c>
      <c r="C4" s="5"/>
      <c r="D4" s="159" t="s">
        <v>198</v>
      </c>
      <c r="E4" s="160">
        <v>275</v>
      </c>
      <c r="F4" s="161" t="s">
        <v>199</v>
      </c>
      <c r="G4" s="77"/>
      <c r="H4" s="5"/>
      <c r="I4" s="5"/>
      <c r="J4" s="77"/>
      <c r="K4" s="5"/>
      <c r="L4" s="5"/>
      <c r="M4" s="5"/>
      <c r="N4" s="5" t="str">
        <f>Parameters!H32</f>
        <v>Efficiency</v>
      </c>
      <c r="O4" s="162">
        <f>Parameters!H36</f>
        <v>0.17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45">
      <c r="A5" s="163" t="s">
        <v>31</v>
      </c>
      <c r="B5" s="164" t="s">
        <v>200</v>
      </c>
      <c r="C5" s="5"/>
      <c r="D5" s="159" t="s">
        <v>201</v>
      </c>
      <c r="E5" s="160">
        <f>O3</f>
        <v>1.6</v>
      </c>
      <c r="F5" s="161" t="s">
        <v>202</v>
      </c>
      <c r="G5" s="77"/>
      <c r="H5" s="5"/>
      <c r="I5" s="5"/>
      <c r="J5" s="77"/>
      <c r="K5" s="5"/>
      <c r="L5" s="5"/>
      <c r="M5" s="5"/>
      <c r="N5" s="5" t="str">
        <f>Parameters!D37</f>
        <v>Quantity of Panels</v>
      </c>
      <c r="O5" s="153">
        <f>Parameters!E37</f>
        <v>9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45">
      <c r="A6" s="165" t="s">
        <v>203</v>
      </c>
      <c r="B6" s="166">
        <v>8.5</v>
      </c>
      <c r="C6" s="5"/>
      <c r="D6" s="159" t="s">
        <v>204</v>
      </c>
      <c r="E6" s="160">
        <f>O5</f>
        <v>9</v>
      </c>
      <c r="F6" s="161"/>
      <c r="G6" s="77"/>
      <c r="H6" s="5"/>
      <c r="I6" s="5"/>
      <c r="J6" s="77"/>
      <c r="K6" s="5"/>
      <c r="L6" s="5"/>
      <c r="M6" s="5"/>
      <c r="N6" s="5" t="str">
        <f>Parameters!D38</f>
        <v>Number of Batteries</v>
      </c>
      <c r="O6" s="153">
        <f>Parameters!E38</f>
        <v>7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45">
      <c r="A7" s="165" t="s">
        <v>205</v>
      </c>
      <c r="B7" s="166">
        <v>10</v>
      </c>
      <c r="C7" s="5"/>
      <c r="D7" s="159" t="s">
        <v>155</v>
      </c>
      <c r="E7" s="167">
        <f>O4</f>
        <v>0.17</v>
      </c>
      <c r="F7" s="161"/>
      <c r="G7" s="77"/>
      <c r="H7" s="5"/>
      <c r="I7" s="5"/>
      <c r="J7" s="77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55000000000000004">
      <c r="A8" s="165" t="s">
        <v>206</v>
      </c>
      <c r="B8" s="166">
        <v>11.8</v>
      </c>
      <c r="C8" s="5"/>
      <c r="D8" s="168" t="s">
        <v>207</v>
      </c>
      <c r="E8" s="169"/>
      <c r="F8" s="170"/>
      <c r="G8" s="77"/>
      <c r="H8" s="5"/>
      <c r="I8" s="5"/>
      <c r="J8" s="77"/>
      <c r="K8" s="5"/>
      <c r="L8" s="5"/>
      <c r="M8" s="5"/>
      <c r="N8" s="5" t="str">
        <f>Parameters!D39</f>
        <v>DC-AC Power Inverter</v>
      </c>
      <c r="O8" s="171" t="str">
        <f>Parameters!E39</f>
        <v>y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45">
      <c r="A9" s="165" t="s">
        <v>208</v>
      </c>
      <c r="B9" s="166">
        <v>13.6</v>
      </c>
      <c r="C9" s="5"/>
      <c r="D9" s="172" t="s">
        <v>209</v>
      </c>
      <c r="E9" s="173">
        <v>2000</v>
      </c>
      <c r="F9" s="174" t="s">
        <v>210</v>
      </c>
      <c r="G9" s="77"/>
      <c r="H9" s="5"/>
      <c r="I9" s="5"/>
      <c r="J9" s="77"/>
      <c r="K9" s="5"/>
      <c r="L9" s="5"/>
      <c r="M9" s="5"/>
      <c r="N9" s="5" t="s">
        <v>211</v>
      </c>
      <c r="O9" s="175">
        <v>0.92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45">
      <c r="A10" s="165" t="s">
        <v>212</v>
      </c>
      <c r="B10" s="166">
        <v>15.3</v>
      </c>
      <c r="C10" s="5"/>
      <c r="D10" s="172" t="s">
        <v>213</v>
      </c>
      <c r="E10" s="176">
        <f>O6</f>
        <v>7</v>
      </c>
      <c r="F10" s="174"/>
      <c r="G10" s="77"/>
      <c r="H10" s="5"/>
      <c r="I10" s="5"/>
      <c r="J10" s="77"/>
      <c r="K10" s="5"/>
      <c r="L10" s="5"/>
      <c r="M10" s="5"/>
      <c r="N10" s="5" t="s">
        <v>214</v>
      </c>
      <c r="O10" s="153">
        <f>COUNTIF(K:K,0)</f>
        <v>0</v>
      </c>
      <c r="P10" s="153" t="str">
        <f>IF(O10&gt;0,"Bad","Enough Power")</f>
        <v>Enough Power</v>
      </c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45">
      <c r="A11" s="165" t="s">
        <v>215</v>
      </c>
      <c r="B11" s="166">
        <v>16</v>
      </c>
      <c r="C11" s="5"/>
      <c r="D11" s="177" t="s">
        <v>155</v>
      </c>
      <c r="E11" s="178">
        <v>0.96</v>
      </c>
      <c r="F11" s="179"/>
      <c r="G11" s="77"/>
      <c r="H11" s="5"/>
      <c r="I11" s="5"/>
      <c r="J11" s="77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55000000000000004">
      <c r="A12" s="165" t="s">
        <v>216</v>
      </c>
      <c r="B12" s="166">
        <v>15.75</v>
      </c>
      <c r="C12" s="5"/>
      <c r="D12" s="180" t="s">
        <v>217</v>
      </c>
      <c r="E12" s="181"/>
      <c r="F12" s="182"/>
      <c r="G12" s="77"/>
      <c r="H12" s="5"/>
      <c r="I12" s="5"/>
      <c r="J12" s="77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45">
      <c r="A13" s="165" t="s">
        <v>218</v>
      </c>
      <c r="B13" s="166">
        <v>14.2</v>
      </c>
      <c r="C13" s="5"/>
      <c r="D13" s="183" t="s">
        <v>219</v>
      </c>
      <c r="E13" s="184">
        <v>24</v>
      </c>
      <c r="F13" s="182" t="s">
        <v>220</v>
      </c>
      <c r="G13" s="77"/>
      <c r="H13" s="5"/>
      <c r="I13" s="5"/>
      <c r="J13" s="77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45">
      <c r="A14" s="165" t="s">
        <v>221</v>
      </c>
      <c r="B14" s="166">
        <v>12.5</v>
      </c>
      <c r="C14" s="5"/>
      <c r="D14" s="185" t="s">
        <v>222</v>
      </c>
      <c r="E14" s="186">
        <f>Parameters!E29</f>
        <v>36</v>
      </c>
      <c r="F14" s="187" t="s">
        <v>223</v>
      </c>
      <c r="G14" s="77"/>
      <c r="H14" s="5"/>
      <c r="I14" s="5"/>
      <c r="J14" s="77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45">
      <c r="A15" s="165" t="s">
        <v>224</v>
      </c>
      <c r="B15" s="166">
        <v>10.75</v>
      </c>
      <c r="C15" s="5"/>
      <c r="G15" s="77"/>
      <c r="H15" s="5"/>
      <c r="I15" s="5"/>
      <c r="J15" s="77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45">
      <c r="A16" s="165" t="s">
        <v>225</v>
      </c>
      <c r="B16" s="166">
        <v>9</v>
      </c>
      <c r="C16" s="5"/>
      <c r="D16" s="5"/>
      <c r="E16" s="5"/>
      <c r="F16" s="77"/>
      <c r="G16" s="77"/>
      <c r="H16" s="5"/>
      <c r="I16" s="5"/>
      <c r="J16" s="77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45">
      <c r="A17" s="188" t="s">
        <v>226</v>
      </c>
      <c r="B17" s="189">
        <v>8.25</v>
      </c>
      <c r="C17" s="5"/>
      <c r="D17" s="5"/>
      <c r="E17" s="5"/>
      <c r="F17" s="77"/>
      <c r="G17" s="77"/>
      <c r="H17" s="5"/>
      <c r="I17" s="5"/>
      <c r="J17" s="77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45">
      <c r="A18" s="5"/>
      <c r="B18" s="5"/>
      <c r="C18" s="5"/>
      <c r="D18" s="5"/>
      <c r="E18" s="5"/>
      <c r="F18" s="77"/>
      <c r="G18" s="77"/>
      <c r="H18" s="5"/>
      <c r="I18" s="5"/>
      <c r="J18" s="77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5">
      <c r="A19" s="190" t="s">
        <v>91</v>
      </c>
      <c r="B19" s="190" t="s">
        <v>196</v>
      </c>
      <c r="C19" s="190" t="s">
        <v>227</v>
      </c>
      <c r="D19" s="191" t="s">
        <v>228</v>
      </c>
      <c r="E19" s="191" t="s">
        <v>229</v>
      </c>
      <c r="F19" s="192" t="s">
        <v>230</v>
      </c>
      <c r="G19" s="192" t="s">
        <v>231</v>
      </c>
      <c r="H19" s="191" t="s">
        <v>232</v>
      </c>
      <c r="I19" s="191" t="s">
        <v>233</v>
      </c>
      <c r="J19" s="192" t="s">
        <v>234</v>
      </c>
      <c r="K19" s="191" t="s">
        <v>235</v>
      </c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1"/>
      <c r="W19" s="191"/>
      <c r="X19" s="191"/>
      <c r="Y19" s="191"/>
      <c r="Z19" s="191"/>
    </row>
    <row r="20" spans="1:26" ht="15.75" customHeight="1" x14ac:dyDescent="0.45">
      <c r="A20" s="102" t="s">
        <v>31</v>
      </c>
      <c r="B20" s="102" t="s">
        <v>31</v>
      </c>
      <c r="C20" s="102" t="s">
        <v>31</v>
      </c>
      <c r="D20" s="5"/>
      <c r="E20" s="5"/>
      <c r="F20" s="77"/>
      <c r="G20" s="77"/>
      <c r="H20" s="5"/>
      <c r="I20" s="5"/>
      <c r="J20" s="77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45">
      <c r="A21" s="127">
        <v>1</v>
      </c>
      <c r="B21" s="193" t="s">
        <v>216</v>
      </c>
      <c r="C21" s="127">
        <v>1</v>
      </c>
      <c r="D21" s="77">
        <f t="shared" ref="D21:D275" si="0">INDEX($B$6:$B$17,MATCH(B21,$A$6:$A$17,0))</f>
        <v>15.75</v>
      </c>
      <c r="E21" s="5">
        <f t="shared" ref="E21:E275" si="1">$E$4*$E$5*$E$6*D21</f>
        <v>62370</v>
      </c>
      <c r="F21" s="77">
        <f t="shared" ref="F21:F275" si="2">$E$7*E21</f>
        <v>10602.900000000001</v>
      </c>
      <c r="G21" s="77">
        <f t="shared" ref="G21:G275" si="3">F21*$E$11</f>
        <v>10178.784000000001</v>
      </c>
      <c r="H21" s="77">
        <f>'Energy Usage'!O193</f>
        <v>3.1103999999999998</v>
      </c>
      <c r="I21" s="77">
        <f t="shared" ref="I21:I275" si="4">H21*(1000000/3600)</f>
        <v>863.99999999999989</v>
      </c>
      <c r="J21" s="77">
        <f t="shared" ref="J21:J275" si="5">I21/$E$11</f>
        <v>899.99999999999989</v>
      </c>
      <c r="K21" s="5">
        <f>$E$10*$E$9</f>
        <v>14000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45">
      <c r="A22" s="127">
        <f t="shared" ref="A22:A276" si="6">+A21+1</f>
        <v>2</v>
      </c>
      <c r="B22" s="193" t="s">
        <v>216</v>
      </c>
      <c r="C22" s="127">
        <v>2</v>
      </c>
      <c r="D22" s="77">
        <f t="shared" si="0"/>
        <v>15.75</v>
      </c>
      <c r="E22" s="5">
        <f t="shared" si="1"/>
        <v>62370</v>
      </c>
      <c r="F22" s="77">
        <f t="shared" si="2"/>
        <v>10602.900000000001</v>
      </c>
      <c r="G22" s="77">
        <f t="shared" si="3"/>
        <v>10178.784000000001</v>
      </c>
      <c r="H22" s="77">
        <f>'Energy Usage'!O194</f>
        <v>5.1268939218823615</v>
      </c>
      <c r="I22" s="77">
        <f t="shared" si="4"/>
        <v>1424.1372005228782</v>
      </c>
      <c r="J22" s="77">
        <f t="shared" si="5"/>
        <v>1483.4762505446647</v>
      </c>
      <c r="K22" s="77">
        <f t="shared" ref="K22:K276" si="7">MAX(MIN(K21+G21-J21,$E$10*$E$9),0)</f>
        <v>14000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45">
      <c r="A23" s="127">
        <f t="shared" si="6"/>
        <v>3</v>
      </c>
      <c r="B23" s="193" t="s">
        <v>216</v>
      </c>
      <c r="C23" s="127">
        <v>3</v>
      </c>
      <c r="D23" s="77">
        <f t="shared" si="0"/>
        <v>15.75</v>
      </c>
      <c r="E23" s="5">
        <f t="shared" si="1"/>
        <v>62370</v>
      </c>
      <c r="F23" s="77">
        <f t="shared" si="2"/>
        <v>10602.900000000001</v>
      </c>
      <c r="G23" s="77">
        <f t="shared" si="3"/>
        <v>10178.784000000001</v>
      </c>
      <c r="H23" s="77">
        <f>'Energy Usage'!O195</f>
        <v>10.056101286483692</v>
      </c>
      <c r="I23" s="77">
        <f t="shared" si="4"/>
        <v>2793.3614684676922</v>
      </c>
      <c r="J23" s="77">
        <f t="shared" si="5"/>
        <v>2909.7515296538463</v>
      </c>
      <c r="K23" s="77">
        <f t="shared" si="7"/>
        <v>14000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45">
      <c r="A24" s="127">
        <f t="shared" si="6"/>
        <v>4</v>
      </c>
      <c r="B24" s="193" t="s">
        <v>216</v>
      </c>
      <c r="C24" s="127">
        <v>4</v>
      </c>
      <c r="D24" s="77">
        <f t="shared" si="0"/>
        <v>15.75</v>
      </c>
      <c r="E24" s="5">
        <f t="shared" si="1"/>
        <v>62370</v>
      </c>
      <c r="F24" s="77">
        <f t="shared" si="2"/>
        <v>10602.900000000001</v>
      </c>
      <c r="G24" s="77">
        <f t="shared" si="3"/>
        <v>10178.784000000001</v>
      </c>
      <c r="H24" s="77">
        <f>'Energy Usage'!O196</f>
        <v>13.640979369830116</v>
      </c>
      <c r="I24" s="77">
        <f t="shared" si="4"/>
        <v>3789.1609360639213</v>
      </c>
      <c r="J24" s="77">
        <f t="shared" si="5"/>
        <v>3947.0426417332515</v>
      </c>
      <c r="K24" s="77">
        <f t="shared" si="7"/>
        <v>14000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45">
      <c r="A25" s="127">
        <f t="shared" si="6"/>
        <v>5</v>
      </c>
      <c r="B25" s="193" t="s">
        <v>216</v>
      </c>
      <c r="C25" s="127">
        <v>5</v>
      </c>
      <c r="D25" s="77">
        <f t="shared" si="0"/>
        <v>15.75</v>
      </c>
      <c r="E25" s="5">
        <f t="shared" si="1"/>
        <v>62370</v>
      </c>
      <c r="F25" s="77">
        <f t="shared" si="2"/>
        <v>10602.900000000001</v>
      </c>
      <c r="G25" s="77">
        <f t="shared" si="3"/>
        <v>10178.784000000001</v>
      </c>
      <c r="H25" s="77">
        <f>'Energy Usage'!O197</f>
        <v>28.571181841949024</v>
      </c>
      <c r="I25" s="77">
        <f t="shared" si="4"/>
        <v>7936.4394005413951</v>
      </c>
      <c r="J25" s="77">
        <f t="shared" si="5"/>
        <v>8267.1243755639534</v>
      </c>
      <c r="K25" s="77">
        <f t="shared" si="7"/>
        <v>14000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45">
      <c r="A26" s="127">
        <f t="shared" si="6"/>
        <v>6</v>
      </c>
      <c r="B26" s="193" t="s">
        <v>216</v>
      </c>
      <c r="C26" s="127">
        <v>6</v>
      </c>
      <c r="D26" s="77">
        <f t="shared" si="0"/>
        <v>15.75</v>
      </c>
      <c r="E26" s="5">
        <f t="shared" si="1"/>
        <v>62370</v>
      </c>
      <c r="F26" s="77">
        <f t="shared" si="2"/>
        <v>10602.900000000001</v>
      </c>
      <c r="G26" s="77">
        <f t="shared" si="3"/>
        <v>10178.784000000001</v>
      </c>
      <c r="H26" s="77">
        <f>'Energy Usage'!O198</f>
        <v>18.346131854222296</v>
      </c>
      <c r="I26" s="77">
        <f t="shared" si="4"/>
        <v>5096.1477372839709</v>
      </c>
      <c r="J26" s="77">
        <f t="shared" si="5"/>
        <v>5308.48722633747</v>
      </c>
      <c r="K26" s="77">
        <f t="shared" si="7"/>
        <v>14000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45">
      <c r="A27" s="127">
        <f t="shared" si="6"/>
        <v>7</v>
      </c>
      <c r="B27" s="193" t="s">
        <v>216</v>
      </c>
      <c r="C27" s="127">
        <v>7</v>
      </c>
      <c r="D27" s="77">
        <f t="shared" si="0"/>
        <v>15.75</v>
      </c>
      <c r="E27" s="5">
        <f t="shared" si="1"/>
        <v>62370</v>
      </c>
      <c r="F27" s="77">
        <f t="shared" si="2"/>
        <v>10602.900000000001</v>
      </c>
      <c r="G27" s="77">
        <f t="shared" si="3"/>
        <v>10178.784000000001</v>
      </c>
      <c r="H27" s="77">
        <f>'Energy Usage'!O199</f>
        <v>3.1103999999999998</v>
      </c>
      <c r="I27" s="77">
        <f t="shared" si="4"/>
        <v>863.99999999999989</v>
      </c>
      <c r="J27" s="77">
        <f t="shared" si="5"/>
        <v>899.99999999999989</v>
      </c>
      <c r="K27" s="77">
        <f t="shared" si="7"/>
        <v>14000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x14ac:dyDescent="0.45">
      <c r="A28" s="127">
        <f t="shared" si="6"/>
        <v>8</v>
      </c>
      <c r="B28" s="193" t="s">
        <v>216</v>
      </c>
      <c r="C28" s="127">
        <v>8</v>
      </c>
      <c r="D28" s="77">
        <f t="shared" si="0"/>
        <v>15.75</v>
      </c>
      <c r="E28" s="5">
        <f t="shared" si="1"/>
        <v>62370</v>
      </c>
      <c r="F28" s="77">
        <f t="shared" si="2"/>
        <v>10602.900000000001</v>
      </c>
      <c r="G28" s="77">
        <f t="shared" si="3"/>
        <v>10178.784000000001</v>
      </c>
      <c r="H28" s="77">
        <f>'Energy Usage'!O200</f>
        <v>3.1103999999999998</v>
      </c>
      <c r="I28" s="77">
        <f t="shared" si="4"/>
        <v>863.99999999999989</v>
      </c>
      <c r="J28" s="77">
        <f t="shared" si="5"/>
        <v>899.99999999999989</v>
      </c>
      <c r="K28" s="77">
        <f t="shared" si="7"/>
        <v>14000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x14ac:dyDescent="0.45">
      <c r="A29" s="127">
        <f t="shared" si="6"/>
        <v>9</v>
      </c>
      <c r="B29" s="193" t="s">
        <v>216</v>
      </c>
      <c r="C29" s="127">
        <v>9</v>
      </c>
      <c r="D29" s="77">
        <f t="shared" si="0"/>
        <v>15.75</v>
      </c>
      <c r="E29" s="5">
        <f t="shared" si="1"/>
        <v>62370</v>
      </c>
      <c r="F29" s="77">
        <f t="shared" si="2"/>
        <v>10602.900000000001</v>
      </c>
      <c r="G29" s="77">
        <f t="shared" si="3"/>
        <v>10178.784000000001</v>
      </c>
      <c r="H29" s="77">
        <f>'Energy Usage'!O201</f>
        <v>3.1103999999999998</v>
      </c>
      <c r="I29" s="77">
        <f t="shared" si="4"/>
        <v>863.99999999999989</v>
      </c>
      <c r="J29" s="77">
        <f t="shared" si="5"/>
        <v>899.99999999999989</v>
      </c>
      <c r="K29" s="77">
        <f t="shared" si="7"/>
        <v>14000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x14ac:dyDescent="0.45">
      <c r="A30" s="127">
        <f t="shared" si="6"/>
        <v>10</v>
      </c>
      <c r="B30" s="193" t="s">
        <v>216</v>
      </c>
      <c r="C30" s="127">
        <v>10</v>
      </c>
      <c r="D30" s="77">
        <f t="shared" si="0"/>
        <v>15.75</v>
      </c>
      <c r="E30" s="5">
        <f t="shared" si="1"/>
        <v>62370</v>
      </c>
      <c r="F30" s="77">
        <f t="shared" si="2"/>
        <v>10602.900000000001</v>
      </c>
      <c r="G30" s="77">
        <f t="shared" si="3"/>
        <v>10178.784000000001</v>
      </c>
      <c r="H30" s="77">
        <f>'Energy Usage'!O202</f>
        <v>3.1103999999999998</v>
      </c>
      <c r="I30" s="77">
        <f t="shared" si="4"/>
        <v>863.99999999999989</v>
      </c>
      <c r="J30" s="77">
        <f t="shared" si="5"/>
        <v>899.99999999999989</v>
      </c>
      <c r="K30" s="77">
        <f t="shared" si="7"/>
        <v>14000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x14ac:dyDescent="0.45">
      <c r="A31" s="127">
        <f t="shared" si="6"/>
        <v>11</v>
      </c>
      <c r="B31" s="193" t="s">
        <v>216</v>
      </c>
      <c r="C31" s="127">
        <v>11</v>
      </c>
      <c r="D31" s="77">
        <f t="shared" si="0"/>
        <v>15.75</v>
      </c>
      <c r="E31" s="5">
        <f t="shared" si="1"/>
        <v>62370</v>
      </c>
      <c r="F31" s="77">
        <f t="shared" si="2"/>
        <v>10602.900000000001</v>
      </c>
      <c r="G31" s="77">
        <f t="shared" si="3"/>
        <v>10178.784000000001</v>
      </c>
      <c r="H31" s="77">
        <f>'Energy Usage'!O203</f>
        <v>3.1103999999999998</v>
      </c>
      <c r="I31" s="77">
        <f t="shared" si="4"/>
        <v>863.99999999999989</v>
      </c>
      <c r="J31" s="77">
        <f t="shared" si="5"/>
        <v>899.99999999999989</v>
      </c>
      <c r="K31" s="77">
        <f t="shared" si="7"/>
        <v>14000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x14ac:dyDescent="0.45">
      <c r="A32" s="127">
        <f t="shared" si="6"/>
        <v>12</v>
      </c>
      <c r="B32" s="193" t="s">
        <v>216</v>
      </c>
      <c r="C32" s="127">
        <v>12</v>
      </c>
      <c r="D32" s="77">
        <f t="shared" si="0"/>
        <v>15.75</v>
      </c>
      <c r="E32" s="5">
        <f t="shared" si="1"/>
        <v>62370</v>
      </c>
      <c r="F32" s="77">
        <f t="shared" si="2"/>
        <v>10602.900000000001</v>
      </c>
      <c r="G32" s="77">
        <f t="shared" si="3"/>
        <v>10178.784000000001</v>
      </c>
      <c r="H32" s="77">
        <f>'Energy Usage'!O204</f>
        <v>3.1103999999999998</v>
      </c>
      <c r="I32" s="77">
        <f t="shared" si="4"/>
        <v>863.99999999999989</v>
      </c>
      <c r="J32" s="77">
        <f t="shared" si="5"/>
        <v>899.99999999999989</v>
      </c>
      <c r="K32" s="77">
        <f t="shared" si="7"/>
        <v>14000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x14ac:dyDescent="0.45">
      <c r="A33" s="127">
        <f t="shared" si="6"/>
        <v>13</v>
      </c>
      <c r="B33" s="193" t="s">
        <v>216</v>
      </c>
      <c r="C33" s="127">
        <v>13</v>
      </c>
      <c r="D33" s="77">
        <f t="shared" si="0"/>
        <v>15.75</v>
      </c>
      <c r="E33" s="5">
        <f t="shared" si="1"/>
        <v>62370</v>
      </c>
      <c r="F33" s="77">
        <f t="shared" si="2"/>
        <v>10602.900000000001</v>
      </c>
      <c r="G33" s="77">
        <f t="shared" si="3"/>
        <v>10178.784000000001</v>
      </c>
      <c r="H33" s="77">
        <f>'Energy Usage'!O205</f>
        <v>3.1103999999999998</v>
      </c>
      <c r="I33" s="77">
        <f t="shared" si="4"/>
        <v>863.99999999999989</v>
      </c>
      <c r="J33" s="77">
        <f t="shared" si="5"/>
        <v>899.99999999999989</v>
      </c>
      <c r="K33" s="77">
        <f t="shared" si="7"/>
        <v>14000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x14ac:dyDescent="0.45">
      <c r="A34" s="127">
        <f t="shared" si="6"/>
        <v>14</v>
      </c>
      <c r="B34" s="193" t="s">
        <v>216</v>
      </c>
      <c r="C34" s="127">
        <v>14</v>
      </c>
      <c r="D34" s="77">
        <f t="shared" si="0"/>
        <v>15.75</v>
      </c>
      <c r="E34" s="5">
        <f t="shared" si="1"/>
        <v>62370</v>
      </c>
      <c r="F34" s="77">
        <f t="shared" si="2"/>
        <v>10602.900000000001</v>
      </c>
      <c r="G34" s="77">
        <f t="shared" si="3"/>
        <v>10178.784000000001</v>
      </c>
      <c r="H34" s="77">
        <f>'Energy Usage'!O206</f>
        <v>3.1103999999999998</v>
      </c>
      <c r="I34" s="77">
        <f t="shared" si="4"/>
        <v>863.99999999999989</v>
      </c>
      <c r="J34" s="77">
        <f t="shared" si="5"/>
        <v>899.99999999999989</v>
      </c>
      <c r="K34" s="77">
        <f t="shared" si="7"/>
        <v>14000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x14ac:dyDescent="0.45">
      <c r="A35" s="127">
        <f t="shared" si="6"/>
        <v>15</v>
      </c>
      <c r="B35" s="193" t="s">
        <v>216</v>
      </c>
      <c r="C35" s="127">
        <v>15</v>
      </c>
      <c r="D35" s="77">
        <f t="shared" si="0"/>
        <v>15.75</v>
      </c>
      <c r="E35" s="5">
        <f t="shared" si="1"/>
        <v>62370</v>
      </c>
      <c r="F35" s="77">
        <f t="shared" si="2"/>
        <v>10602.900000000001</v>
      </c>
      <c r="G35" s="77">
        <f t="shared" si="3"/>
        <v>10178.784000000001</v>
      </c>
      <c r="H35" s="77">
        <f>'Energy Usage'!O207</f>
        <v>3.1103999999999998</v>
      </c>
      <c r="I35" s="77">
        <f t="shared" si="4"/>
        <v>863.99999999999989</v>
      </c>
      <c r="J35" s="77">
        <f t="shared" si="5"/>
        <v>899.99999999999989</v>
      </c>
      <c r="K35" s="77">
        <f t="shared" si="7"/>
        <v>14000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x14ac:dyDescent="0.45">
      <c r="A36" s="127">
        <f t="shared" si="6"/>
        <v>16</v>
      </c>
      <c r="B36" s="193" t="s">
        <v>216</v>
      </c>
      <c r="C36" s="127">
        <v>16</v>
      </c>
      <c r="D36" s="77">
        <f t="shared" si="0"/>
        <v>15.75</v>
      </c>
      <c r="E36" s="5">
        <f t="shared" si="1"/>
        <v>62370</v>
      </c>
      <c r="F36" s="77">
        <f t="shared" si="2"/>
        <v>10602.900000000001</v>
      </c>
      <c r="G36" s="77">
        <f t="shared" si="3"/>
        <v>10178.784000000001</v>
      </c>
      <c r="H36" s="77">
        <f>'Energy Usage'!O208</f>
        <v>3.1103999999999998</v>
      </c>
      <c r="I36" s="77">
        <f t="shared" si="4"/>
        <v>863.99999999999989</v>
      </c>
      <c r="J36" s="77">
        <f t="shared" si="5"/>
        <v>899.99999999999989</v>
      </c>
      <c r="K36" s="77">
        <f t="shared" si="7"/>
        <v>14000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x14ac:dyDescent="0.45">
      <c r="A37" s="127">
        <f t="shared" si="6"/>
        <v>17</v>
      </c>
      <c r="B37" s="193" t="s">
        <v>216</v>
      </c>
      <c r="C37" s="127">
        <v>17</v>
      </c>
      <c r="D37" s="77">
        <f t="shared" si="0"/>
        <v>15.75</v>
      </c>
      <c r="E37" s="5">
        <f t="shared" si="1"/>
        <v>62370</v>
      </c>
      <c r="F37" s="77">
        <f t="shared" si="2"/>
        <v>10602.900000000001</v>
      </c>
      <c r="G37" s="77">
        <f t="shared" si="3"/>
        <v>10178.784000000001</v>
      </c>
      <c r="H37" s="77">
        <f>'Energy Usage'!O209</f>
        <v>3.1103999999999998</v>
      </c>
      <c r="I37" s="77">
        <f t="shared" si="4"/>
        <v>863.99999999999989</v>
      </c>
      <c r="J37" s="77">
        <f t="shared" si="5"/>
        <v>899.99999999999989</v>
      </c>
      <c r="K37" s="77">
        <f t="shared" si="7"/>
        <v>14000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x14ac:dyDescent="0.45">
      <c r="A38" s="127">
        <f t="shared" si="6"/>
        <v>18</v>
      </c>
      <c r="B38" s="193" t="s">
        <v>216</v>
      </c>
      <c r="C38" s="127">
        <v>18</v>
      </c>
      <c r="D38" s="77">
        <f t="shared" si="0"/>
        <v>15.75</v>
      </c>
      <c r="E38" s="5">
        <f t="shared" si="1"/>
        <v>62370</v>
      </c>
      <c r="F38" s="77">
        <f t="shared" si="2"/>
        <v>10602.900000000001</v>
      </c>
      <c r="G38" s="77">
        <f t="shared" si="3"/>
        <v>10178.784000000001</v>
      </c>
      <c r="H38" s="77">
        <f>'Energy Usage'!O210</f>
        <v>28.571181841949024</v>
      </c>
      <c r="I38" s="77">
        <f t="shared" si="4"/>
        <v>7936.4394005413951</v>
      </c>
      <c r="J38" s="77">
        <f t="shared" si="5"/>
        <v>8267.1243755639534</v>
      </c>
      <c r="K38" s="77">
        <f t="shared" si="7"/>
        <v>14000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x14ac:dyDescent="0.45">
      <c r="A39" s="127">
        <f t="shared" si="6"/>
        <v>19</v>
      </c>
      <c r="B39" s="193" t="s">
        <v>216</v>
      </c>
      <c r="C39" s="127">
        <v>19</v>
      </c>
      <c r="D39" s="77">
        <f t="shared" si="0"/>
        <v>15.75</v>
      </c>
      <c r="E39" s="5">
        <f t="shared" si="1"/>
        <v>62370</v>
      </c>
      <c r="F39" s="77">
        <f t="shared" si="2"/>
        <v>10602.900000000001</v>
      </c>
      <c r="G39" s="77">
        <f t="shared" si="3"/>
        <v>10178.784000000001</v>
      </c>
      <c r="H39" s="77">
        <f>'Energy Usage'!O211</f>
        <v>5.1268939218823615</v>
      </c>
      <c r="I39" s="77">
        <f t="shared" si="4"/>
        <v>1424.1372005228782</v>
      </c>
      <c r="J39" s="77">
        <f t="shared" si="5"/>
        <v>1483.4762505446647</v>
      </c>
      <c r="K39" s="77">
        <f t="shared" si="7"/>
        <v>14000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x14ac:dyDescent="0.45">
      <c r="A40" s="127">
        <f t="shared" si="6"/>
        <v>20</v>
      </c>
      <c r="B40" s="193" t="s">
        <v>216</v>
      </c>
      <c r="C40" s="127">
        <v>20</v>
      </c>
      <c r="D40" s="77">
        <f t="shared" si="0"/>
        <v>15.75</v>
      </c>
      <c r="E40" s="5">
        <f t="shared" si="1"/>
        <v>62370</v>
      </c>
      <c r="F40" s="77">
        <f t="shared" si="2"/>
        <v>10602.900000000001</v>
      </c>
      <c r="G40" s="77">
        <f t="shared" si="3"/>
        <v>10178.784000000001</v>
      </c>
      <c r="H40" s="77">
        <f>'Energy Usage'!O212</f>
        <v>3.1103999999999998</v>
      </c>
      <c r="I40" s="77">
        <f t="shared" si="4"/>
        <v>863.99999999999989</v>
      </c>
      <c r="J40" s="77">
        <f t="shared" si="5"/>
        <v>899.99999999999989</v>
      </c>
      <c r="K40" s="77">
        <f t="shared" si="7"/>
        <v>14000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x14ac:dyDescent="0.45">
      <c r="A41" s="127">
        <f t="shared" si="6"/>
        <v>21</v>
      </c>
      <c r="B41" s="193" t="s">
        <v>216</v>
      </c>
      <c r="C41" s="127">
        <v>21</v>
      </c>
      <c r="D41" s="77">
        <f t="shared" si="0"/>
        <v>15.75</v>
      </c>
      <c r="E41" s="5">
        <f t="shared" si="1"/>
        <v>62370</v>
      </c>
      <c r="F41" s="77">
        <f t="shared" si="2"/>
        <v>10602.900000000001</v>
      </c>
      <c r="G41" s="77">
        <f t="shared" si="3"/>
        <v>10178.784000000001</v>
      </c>
      <c r="H41" s="77">
        <f>'Energy Usage'!O213</f>
        <v>3.1103999999999998</v>
      </c>
      <c r="I41" s="77">
        <f t="shared" si="4"/>
        <v>863.99999999999989</v>
      </c>
      <c r="J41" s="77">
        <f t="shared" si="5"/>
        <v>899.99999999999989</v>
      </c>
      <c r="K41" s="77">
        <f t="shared" si="7"/>
        <v>14000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x14ac:dyDescent="0.45">
      <c r="A42" s="127">
        <f t="shared" si="6"/>
        <v>22</v>
      </c>
      <c r="B42" s="193" t="s">
        <v>216</v>
      </c>
      <c r="C42" s="127">
        <v>22</v>
      </c>
      <c r="D42" s="77">
        <f t="shared" si="0"/>
        <v>15.75</v>
      </c>
      <c r="E42" s="5">
        <f t="shared" si="1"/>
        <v>62370</v>
      </c>
      <c r="F42" s="77">
        <f t="shared" si="2"/>
        <v>10602.900000000001</v>
      </c>
      <c r="G42" s="77">
        <f t="shared" si="3"/>
        <v>10178.784000000001</v>
      </c>
      <c r="H42" s="77">
        <f>'Energy Usage'!O214</f>
        <v>12.072595208366058</v>
      </c>
      <c r="I42" s="77">
        <f t="shared" si="4"/>
        <v>3353.4986689905718</v>
      </c>
      <c r="J42" s="77">
        <f t="shared" si="5"/>
        <v>3493.2277801985124</v>
      </c>
      <c r="K42" s="77">
        <f t="shared" si="7"/>
        <v>14000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x14ac:dyDescent="0.45">
      <c r="A43" s="127">
        <f t="shared" si="6"/>
        <v>23</v>
      </c>
      <c r="B43" s="193" t="s">
        <v>216</v>
      </c>
      <c r="C43" s="127">
        <v>23</v>
      </c>
      <c r="D43" s="77">
        <f t="shared" si="0"/>
        <v>15.75</v>
      </c>
      <c r="E43" s="5">
        <f t="shared" si="1"/>
        <v>62370</v>
      </c>
      <c r="F43" s="77">
        <f t="shared" si="2"/>
        <v>10602.900000000001</v>
      </c>
      <c r="G43" s="77">
        <f t="shared" si="3"/>
        <v>10178.784000000001</v>
      </c>
      <c r="H43" s="77">
        <f>'Energy Usage'!O215</f>
        <v>23.499394099032781</v>
      </c>
      <c r="I43" s="77">
        <f t="shared" si="4"/>
        <v>6527.6094719535504</v>
      </c>
      <c r="J43" s="77">
        <f t="shared" si="5"/>
        <v>6799.5931999516151</v>
      </c>
      <c r="K43" s="77">
        <f t="shared" si="7"/>
        <v>14000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x14ac:dyDescent="0.45">
      <c r="A44" s="127">
        <f t="shared" si="6"/>
        <v>24</v>
      </c>
      <c r="B44" s="193" t="s">
        <v>216</v>
      </c>
      <c r="C44" s="127">
        <v>24</v>
      </c>
      <c r="D44" s="77">
        <f t="shared" si="0"/>
        <v>15.75</v>
      </c>
      <c r="E44" s="5">
        <f t="shared" si="1"/>
        <v>62370</v>
      </c>
      <c r="F44" s="77">
        <f t="shared" si="2"/>
        <v>10602.900000000001</v>
      </c>
      <c r="G44" s="77">
        <f t="shared" si="3"/>
        <v>10178.784000000001</v>
      </c>
      <c r="H44" s="77">
        <f>'Energy Usage'!O216</f>
        <v>3.782564640627454</v>
      </c>
      <c r="I44" s="77">
        <f t="shared" si="4"/>
        <v>1050.7124001742927</v>
      </c>
      <c r="J44" s="77">
        <f t="shared" si="5"/>
        <v>1094.4920835148882</v>
      </c>
      <c r="K44" s="77">
        <f t="shared" si="7"/>
        <v>14000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x14ac:dyDescent="0.45">
      <c r="A45" s="127">
        <f t="shared" si="6"/>
        <v>25</v>
      </c>
      <c r="B45" s="193" t="s">
        <v>216</v>
      </c>
      <c r="C45" s="127">
        <v>25</v>
      </c>
      <c r="D45" s="77">
        <f t="shared" si="0"/>
        <v>15.75</v>
      </c>
      <c r="E45" s="5">
        <f t="shared" si="1"/>
        <v>62370</v>
      </c>
      <c r="F45" s="77">
        <f t="shared" si="2"/>
        <v>10602.900000000001</v>
      </c>
      <c r="G45" s="77">
        <f t="shared" si="3"/>
        <v>10178.784000000001</v>
      </c>
      <c r="H45" s="77">
        <f>'Energy Usage'!O217</f>
        <v>3.1103999999999998</v>
      </c>
      <c r="I45" s="77">
        <f t="shared" si="4"/>
        <v>863.99999999999989</v>
      </c>
      <c r="J45" s="77">
        <f t="shared" si="5"/>
        <v>899.99999999999989</v>
      </c>
      <c r="K45" s="77">
        <f t="shared" si="7"/>
        <v>14000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x14ac:dyDescent="0.45">
      <c r="A46" s="127">
        <f t="shared" si="6"/>
        <v>26</v>
      </c>
      <c r="B46" s="193" t="s">
        <v>216</v>
      </c>
      <c r="C46" s="127">
        <v>26</v>
      </c>
      <c r="D46" s="77">
        <f t="shared" si="0"/>
        <v>15.75</v>
      </c>
      <c r="E46" s="5">
        <f t="shared" si="1"/>
        <v>62370</v>
      </c>
      <c r="F46" s="77">
        <f t="shared" si="2"/>
        <v>10602.900000000001</v>
      </c>
      <c r="G46" s="77">
        <f t="shared" si="3"/>
        <v>10178.784000000001</v>
      </c>
      <c r="H46" s="77">
        <f>'Energy Usage'!O218</f>
        <v>3.1103999999999998</v>
      </c>
      <c r="I46" s="77">
        <f t="shared" si="4"/>
        <v>863.99999999999989</v>
      </c>
      <c r="J46" s="77">
        <f t="shared" si="5"/>
        <v>899.99999999999989</v>
      </c>
      <c r="K46" s="77">
        <f t="shared" si="7"/>
        <v>14000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x14ac:dyDescent="0.45">
      <c r="A47" s="127">
        <f t="shared" si="6"/>
        <v>27</v>
      </c>
      <c r="B47" s="193" t="s">
        <v>216</v>
      </c>
      <c r="C47" s="127">
        <v>27</v>
      </c>
      <c r="D47" s="77">
        <f t="shared" si="0"/>
        <v>15.75</v>
      </c>
      <c r="E47" s="5">
        <f t="shared" si="1"/>
        <v>62370</v>
      </c>
      <c r="F47" s="77">
        <f t="shared" si="2"/>
        <v>10602.900000000001</v>
      </c>
      <c r="G47" s="77">
        <f t="shared" si="3"/>
        <v>10178.784000000001</v>
      </c>
      <c r="H47" s="77">
        <f>'Energy Usage'!O219</f>
        <v>3.1103999999999998</v>
      </c>
      <c r="I47" s="77">
        <f t="shared" si="4"/>
        <v>863.99999999999989</v>
      </c>
      <c r="J47" s="77">
        <f t="shared" si="5"/>
        <v>899.99999999999989</v>
      </c>
      <c r="K47" s="77">
        <f t="shared" si="7"/>
        <v>14000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x14ac:dyDescent="0.45">
      <c r="A48" s="127">
        <f t="shared" si="6"/>
        <v>28</v>
      </c>
      <c r="B48" s="193" t="s">
        <v>216</v>
      </c>
      <c r="C48" s="127">
        <v>28</v>
      </c>
      <c r="D48" s="77">
        <f t="shared" si="0"/>
        <v>15.75</v>
      </c>
      <c r="E48" s="5">
        <f t="shared" si="1"/>
        <v>62370</v>
      </c>
      <c r="F48" s="77">
        <f t="shared" si="2"/>
        <v>10602.900000000001</v>
      </c>
      <c r="G48" s="77">
        <f t="shared" si="3"/>
        <v>10178.784000000001</v>
      </c>
      <c r="H48" s="77">
        <f>'Energy Usage'!O220</f>
        <v>3.1103999999999998</v>
      </c>
      <c r="I48" s="77">
        <f t="shared" si="4"/>
        <v>863.99999999999989</v>
      </c>
      <c r="J48" s="77">
        <f t="shared" si="5"/>
        <v>899.99999999999989</v>
      </c>
      <c r="K48" s="77">
        <f t="shared" si="7"/>
        <v>14000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x14ac:dyDescent="0.45">
      <c r="A49" s="127">
        <f t="shared" si="6"/>
        <v>29</v>
      </c>
      <c r="B49" s="193" t="s">
        <v>216</v>
      </c>
      <c r="C49" s="127">
        <v>29</v>
      </c>
      <c r="D49" s="77">
        <f t="shared" si="0"/>
        <v>15.75</v>
      </c>
      <c r="E49" s="5">
        <f t="shared" si="1"/>
        <v>62370</v>
      </c>
      <c r="F49" s="77">
        <f t="shared" si="2"/>
        <v>10602.900000000001</v>
      </c>
      <c r="G49" s="77">
        <f t="shared" si="3"/>
        <v>10178.784000000001</v>
      </c>
      <c r="H49" s="77">
        <f>'Energy Usage'!O221</f>
        <v>3.1103999999999998</v>
      </c>
      <c r="I49" s="77">
        <f t="shared" si="4"/>
        <v>863.99999999999989</v>
      </c>
      <c r="J49" s="77">
        <f t="shared" si="5"/>
        <v>899.99999999999989</v>
      </c>
      <c r="K49" s="77">
        <f t="shared" si="7"/>
        <v>14000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x14ac:dyDescent="0.45">
      <c r="A50" s="127">
        <f t="shared" si="6"/>
        <v>30</v>
      </c>
      <c r="B50" s="193" t="s">
        <v>216</v>
      </c>
      <c r="C50" s="127">
        <v>30</v>
      </c>
      <c r="D50" s="77">
        <f t="shared" si="0"/>
        <v>15.75</v>
      </c>
      <c r="E50" s="5">
        <f t="shared" si="1"/>
        <v>62370</v>
      </c>
      <c r="F50" s="77">
        <f t="shared" si="2"/>
        <v>10602.900000000001</v>
      </c>
      <c r="G50" s="77">
        <f t="shared" si="3"/>
        <v>10178.784000000001</v>
      </c>
      <c r="H50" s="77">
        <f>'Energy Usage'!O222</f>
        <v>3.1103999999999998</v>
      </c>
      <c r="I50" s="77">
        <f t="shared" si="4"/>
        <v>863.99999999999989</v>
      </c>
      <c r="J50" s="77">
        <f t="shared" si="5"/>
        <v>899.99999999999989</v>
      </c>
      <c r="K50" s="77">
        <f t="shared" si="7"/>
        <v>14000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x14ac:dyDescent="0.45">
      <c r="A51" s="127">
        <f t="shared" si="6"/>
        <v>31</v>
      </c>
      <c r="B51" s="193" t="s">
        <v>216</v>
      </c>
      <c r="C51" s="127">
        <v>31</v>
      </c>
      <c r="D51" s="77">
        <f t="shared" si="0"/>
        <v>15.75</v>
      </c>
      <c r="E51" s="5">
        <f t="shared" si="1"/>
        <v>62370</v>
      </c>
      <c r="F51" s="77">
        <f t="shared" si="2"/>
        <v>10602.900000000001</v>
      </c>
      <c r="G51" s="77">
        <f t="shared" si="3"/>
        <v>10178.784000000001</v>
      </c>
      <c r="H51" s="77">
        <f>'Energy Usage'!O223</f>
        <v>3.1103999999999998</v>
      </c>
      <c r="I51" s="77">
        <f t="shared" si="4"/>
        <v>863.99999999999989</v>
      </c>
      <c r="J51" s="77">
        <f t="shared" si="5"/>
        <v>899.99999999999989</v>
      </c>
      <c r="K51" s="77">
        <f t="shared" si="7"/>
        <v>14000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x14ac:dyDescent="0.45">
      <c r="A52" s="127">
        <f t="shared" si="6"/>
        <v>32</v>
      </c>
      <c r="B52" s="193" t="s">
        <v>218</v>
      </c>
      <c r="C52" s="127">
        <v>1</v>
      </c>
      <c r="D52" s="77">
        <f t="shared" si="0"/>
        <v>14.2</v>
      </c>
      <c r="E52" s="5">
        <f t="shared" si="1"/>
        <v>56232</v>
      </c>
      <c r="F52" s="77">
        <f t="shared" si="2"/>
        <v>9559.44</v>
      </c>
      <c r="G52" s="77">
        <f t="shared" si="3"/>
        <v>9177.0624000000007</v>
      </c>
      <c r="H52" s="77">
        <f>'Energy Usage'!O224</f>
        <v>3.1103999999999998</v>
      </c>
      <c r="I52" s="77">
        <f t="shared" si="4"/>
        <v>863.99999999999989</v>
      </c>
      <c r="J52" s="77">
        <f t="shared" si="5"/>
        <v>899.99999999999989</v>
      </c>
      <c r="K52" s="77">
        <f t="shared" si="7"/>
        <v>14000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x14ac:dyDescent="0.45">
      <c r="A53" s="127">
        <f t="shared" si="6"/>
        <v>33</v>
      </c>
      <c r="B53" s="193" t="s">
        <v>218</v>
      </c>
      <c r="C53" s="127">
        <v>2</v>
      </c>
      <c r="D53" s="77">
        <f t="shared" si="0"/>
        <v>14.2</v>
      </c>
      <c r="E53" s="5">
        <f t="shared" si="1"/>
        <v>56232</v>
      </c>
      <c r="F53" s="77">
        <f t="shared" si="2"/>
        <v>9559.44</v>
      </c>
      <c r="G53" s="77">
        <f t="shared" si="3"/>
        <v>9177.0624000000007</v>
      </c>
      <c r="H53" s="77">
        <f>'Energy Usage'!O225</f>
        <v>3.1103999999999998</v>
      </c>
      <c r="I53" s="77">
        <f t="shared" si="4"/>
        <v>863.99999999999989</v>
      </c>
      <c r="J53" s="77">
        <f t="shared" si="5"/>
        <v>899.99999999999989</v>
      </c>
      <c r="K53" s="77">
        <f t="shared" si="7"/>
        <v>14000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x14ac:dyDescent="0.45">
      <c r="A54" s="127">
        <f t="shared" si="6"/>
        <v>34</v>
      </c>
      <c r="B54" s="193" t="s">
        <v>218</v>
      </c>
      <c r="C54" s="127">
        <v>3</v>
      </c>
      <c r="D54" s="77">
        <f t="shared" si="0"/>
        <v>14.2</v>
      </c>
      <c r="E54" s="5">
        <f t="shared" si="1"/>
        <v>56232</v>
      </c>
      <c r="F54" s="77">
        <f t="shared" si="2"/>
        <v>9559.44</v>
      </c>
      <c r="G54" s="77">
        <f t="shared" si="3"/>
        <v>9177.0624000000007</v>
      </c>
      <c r="H54" s="77">
        <f>'Energy Usage'!O226</f>
        <v>3.1103999999999998</v>
      </c>
      <c r="I54" s="77">
        <f t="shared" si="4"/>
        <v>863.99999999999989</v>
      </c>
      <c r="J54" s="77">
        <f t="shared" si="5"/>
        <v>899.99999999999989</v>
      </c>
      <c r="K54" s="77">
        <f t="shared" si="7"/>
        <v>14000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x14ac:dyDescent="0.45">
      <c r="A55" s="127">
        <f t="shared" si="6"/>
        <v>35</v>
      </c>
      <c r="B55" s="193" t="s">
        <v>218</v>
      </c>
      <c r="C55" s="127">
        <v>4</v>
      </c>
      <c r="D55" s="77">
        <f t="shared" si="0"/>
        <v>14.2</v>
      </c>
      <c r="E55" s="5">
        <f t="shared" si="1"/>
        <v>56232</v>
      </c>
      <c r="F55" s="77">
        <f t="shared" si="2"/>
        <v>9559.44</v>
      </c>
      <c r="G55" s="77">
        <f t="shared" si="3"/>
        <v>9177.0624000000007</v>
      </c>
      <c r="H55" s="77">
        <f>'Energy Usage'!O227</f>
        <v>3.1103999999999998</v>
      </c>
      <c r="I55" s="77">
        <f t="shared" si="4"/>
        <v>863.99999999999989</v>
      </c>
      <c r="J55" s="77">
        <f t="shared" si="5"/>
        <v>899.99999999999989</v>
      </c>
      <c r="K55" s="77">
        <f t="shared" si="7"/>
        <v>14000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x14ac:dyDescent="0.45">
      <c r="A56" s="127">
        <f t="shared" si="6"/>
        <v>36</v>
      </c>
      <c r="B56" s="193" t="s">
        <v>218</v>
      </c>
      <c r="C56" s="127">
        <v>5</v>
      </c>
      <c r="D56" s="77">
        <f t="shared" si="0"/>
        <v>14.2</v>
      </c>
      <c r="E56" s="5">
        <f t="shared" si="1"/>
        <v>56232</v>
      </c>
      <c r="F56" s="77">
        <f t="shared" si="2"/>
        <v>9559.44</v>
      </c>
      <c r="G56" s="77">
        <f t="shared" si="3"/>
        <v>9177.0624000000007</v>
      </c>
      <c r="H56" s="77">
        <f>'Energy Usage'!O228</f>
        <v>3.1103999999999998</v>
      </c>
      <c r="I56" s="77">
        <f t="shared" si="4"/>
        <v>863.99999999999989</v>
      </c>
      <c r="J56" s="77">
        <f t="shared" si="5"/>
        <v>899.99999999999989</v>
      </c>
      <c r="K56" s="77">
        <f t="shared" si="7"/>
        <v>14000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x14ac:dyDescent="0.45">
      <c r="A57" s="127">
        <f t="shared" si="6"/>
        <v>37</v>
      </c>
      <c r="B57" s="193" t="s">
        <v>218</v>
      </c>
      <c r="C57" s="127">
        <v>6</v>
      </c>
      <c r="D57" s="77">
        <f t="shared" si="0"/>
        <v>14.2</v>
      </c>
      <c r="E57" s="5">
        <f t="shared" si="1"/>
        <v>56232</v>
      </c>
      <c r="F57" s="77">
        <f t="shared" si="2"/>
        <v>9559.44</v>
      </c>
      <c r="G57" s="77">
        <f t="shared" si="3"/>
        <v>9177.0624000000007</v>
      </c>
      <c r="H57" s="77">
        <f>'Energy Usage'!O229</f>
        <v>3.1103999999999998</v>
      </c>
      <c r="I57" s="77">
        <f t="shared" si="4"/>
        <v>863.99999999999989</v>
      </c>
      <c r="J57" s="77">
        <f t="shared" si="5"/>
        <v>899.99999999999989</v>
      </c>
      <c r="K57" s="77">
        <f t="shared" si="7"/>
        <v>14000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x14ac:dyDescent="0.45">
      <c r="A58" s="127">
        <f t="shared" si="6"/>
        <v>38</v>
      </c>
      <c r="B58" s="193" t="s">
        <v>218</v>
      </c>
      <c r="C58" s="127">
        <v>7</v>
      </c>
      <c r="D58" s="77">
        <f t="shared" si="0"/>
        <v>14.2</v>
      </c>
      <c r="E58" s="5">
        <f t="shared" si="1"/>
        <v>56232</v>
      </c>
      <c r="F58" s="77">
        <f t="shared" si="2"/>
        <v>9559.44</v>
      </c>
      <c r="G58" s="77">
        <f t="shared" si="3"/>
        <v>9177.0624000000007</v>
      </c>
      <c r="H58" s="77">
        <f>'Energy Usage'!O230</f>
        <v>3.1103999999999998</v>
      </c>
      <c r="I58" s="77">
        <f t="shared" si="4"/>
        <v>863.99999999999989</v>
      </c>
      <c r="J58" s="77">
        <f t="shared" si="5"/>
        <v>899.99999999999989</v>
      </c>
      <c r="K58" s="77">
        <f t="shared" si="7"/>
        <v>14000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x14ac:dyDescent="0.45">
      <c r="A59" s="127">
        <f t="shared" si="6"/>
        <v>39</v>
      </c>
      <c r="B59" s="193" t="s">
        <v>218</v>
      </c>
      <c r="C59" s="127">
        <v>8</v>
      </c>
      <c r="D59" s="77">
        <f t="shared" si="0"/>
        <v>14.2</v>
      </c>
      <c r="E59" s="5">
        <f t="shared" si="1"/>
        <v>56232</v>
      </c>
      <c r="F59" s="77">
        <f t="shared" si="2"/>
        <v>9559.44</v>
      </c>
      <c r="G59" s="77">
        <f t="shared" si="3"/>
        <v>9177.0624000000007</v>
      </c>
      <c r="H59" s="77">
        <f>'Energy Usage'!O231</f>
        <v>3.1103999999999998</v>
      </c>
      <c r="I59" s="77">
        <f t="shared" si="4"/>
        <v>863.99999999999989</v>
      </c>
      <c r="J59" s="77">
        <f t="shared" si="5"/>
        <v>899.99999999999989</v>
      </c>
      <c r="K59" s="77">
        <f t="shared" si="7"/>
        <v>14000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x14ac:dyDescent="0.45">
      <c r="A60" s="127">
        <f t="shared" si="6"/>
        <v>40</v>
      </c>
      <c r="B60" s="193" t="s">
        <v>218</v>
      </c>
      <c r="C60" s="127">
        <v>9</v>
      </c>
      <c r="D60" s="77">
        <f t="shared" si="0"/>
        <v>14.2</v>
      </c>
      <c r="E60" s="5">
        <f t="shared" si="1"/>
        <v>56232</v>
      </c>
      <c r="F60" s="77">
        <f t="shared" si="2"/>
        <v>9559.44</v>
      </c>
      <c r="G60" s="77">
        <f t="shared" si="3"/>
        <v>9177.0624000000007</v>
      </c>
      <c r="H60" s="77">
        <f>'Energy Usage'!O232</f>
        <v>3.1103999999999998</v>
      </c>
      <c r="I60" s="77">
        <f t="shared" si="4"/>
        <v>863.99999999999989</v>
      </c>
      <c r="J60" s="77">
        <f t="shared" si="5"/>
        <v>899.99999999999989</v>
      </c>
      <c r="K60" s="77">
        <f t="shared" si="7"/>
        <v>14000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x14ac:dyDescent="0.45">
      <c r="A61" s="127">
        <f t="shared" si="6"/>
        <v>41</v>
      </c>
      <c r="B61" s="193" t="s">
        <v>218</v>
      </c>
      <c r="C61" s="127">
        <v>10</v>
      </c>
      <c r="D61" s="77">
        <f t="shared" si="0"/>
        <v>14.2</v>
      </c>
      <c r="E61" s="5">
        <f t="shared" si="1"/>
        <v>56232</v>
      </c>
      <c r="F61" s="77">
        <f t="shared" si="2"/>
        <v>9559.44</v>
      </c>
      <c r="G61" s="77">
        <f t="shared" si="3"/>
        <v>9177.0624000000007</v>
      </c>
      <c r="H61" s="77">
        <f>'Energy Usage'!O233</f>
        <v>3.1103999999999998</v>
      </c>
      <c r="I61" s="77">
        <f t="shared" si="4"/>
        <v>863.99999999999989</v>
      </c>
      <c r="J61" s="77">
        <f t="shared" si="5"/>
        <v>899.99999999999989</v>
      </c>
      <c r="K61" s="77">
        <f t="shared" si="7"/>
        <v>14000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x14ac:dyDescent="0.45">
      <c r="A62" s="127">
        <f t="shared" si="6"/>
        <v>42</v>
      </c>
      <c r="B62" s="193" t="s">
        <v>218</v>
      </c>
      <c r="C62" s="127">
        <v>11</v>
      </c>
      <c r="D62" s="77">
        <f t="shared" si="0"/>
        <v>14.2</v>
      </c>
      <c r="E62" s="5">
        <f t="shared" si="1"/>
        <v>56232</v>
      </c>
      <c r="F62" s="77">
        <f t="shared" si="2"/>
        <v>9559.44</v>
      </c>
      <c r="G62" s="77">
        <f t="shared" si="3"/>
        <v>9177.0624000000007</v>
      </c>
      <c r="H62" s="77">
        <f>'Energy Usage'!O234</f>
        <v>3.1103999999999998</v>
      </c>
      <c r="I62" s="77">
        <f t="shared" si="4"/>
        <v>863.99999999999989</v>
      </c>
      <c r="J62" s="77">
        <f t="shared" si="5"/>
        <v>899.99999999999989</v>
      </c>
      <c r="K62" s="77">
        <f t="shared" si="7"/>
        <v>14000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x14ac:dyDescent="0.45">
      <c r="A63" s="127">
        <f t="shared" si="6"/>
        <v>43</v>
      </c>
      <c r="B63" s="193" t="s">
        <v>218</v>
      </c>
      <c r="C63" s="127">
        <v>12</v>
      </c>
      <c r="D63" s="77">
        <f t="shared" si="0"/>
        <v>14.2</v>
      </c>
      <c r="E63" s="5">
        <f t="shared" si="1"/>
        <v>56232</v>
      </c>
      <c r="F63" s="77">
        <f t="shared" si="2"/>
        <v>9559.44</v>
      </c>
      <c r="G63" s="77">
        <f t="shared" si="3"/>
        <v>9177.0624000000007</v>
      </c>
      <c r="H63" s="77">
        <f>'Energy Usage'!O235</f>
        <v>3.1103999999999998</v>
      </c>
      <c r="I63" s="77">
        <f t="shared" si="4"/>
        <v>863.99999999999989</v>
      </c>
      <c r="J63" s="77">
        <f t="shared" si="5"/>
        <v>899.99999999999989</v>
      </c>
      <c r="K63" s="77">
        <f t="shared" si="7"/>
        <v>14000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x14ac:dyDescent="0.45">
      <c r="A64" s="127">
        <f t="shared" si="6"/>
        <v>44</v>
      </c>
      <c r="B64" s="193" t="s">
        <v>218</v>
      </c>
      <c r="C64" s="127">
        <v>13</v>
      </c>
      <c r="D64" s="77">
        <f t="shared" si="0"/>
        <v>14.2</v>
      </c>
      <c r="E64" s="5">
        <f t="shared" si="1"/>
        <v>56232</v>
      </c>
      <c r="F64" s="77">
        <f t="shared" si="2"/>
        <v>9559.44</v>
      </c>
      <c r="G64" s="77">
        <f t="shared" si="3"/>
        <v>9177.0624000000007</v>
      </c>
      <c r="H64" s="77">
        <f>'Energy Usage'!O236</f>
        <v>3.1103999999999998</v>
      </c>
      <c r="I64" s="77">
        <f t="shared" si="4"/>
        <v>863.99999999999989</v>
      </c>
      <c r="J64" s="77">
        <f t="shared" si="5"/>
        <v>899.99999999999989</v>
      </c>
      <c r="K64" s="77">
        <f t="shared" si="7"/>
        <v>14000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x14ac:dyDescent="0.45">
      <c r="A65" s="127">
        <f t="shared" si="6"/>
        <v>45</v>
      </c>
      <c r="B65" s="193" t="s">
        <v>218</v>
      </c>
      <c r="C65" s="127">
        <v>14</v>
      </c>
      <c r="D65" s="77">
        <f t="shared" si="0"/>
        <v>14.2</v>
      </c>
      <c r="E65" s="5">
        <f t="shared" si="1"/>
        <v>56232</v>
      </c>
      <c r="F65" s="77">
        <f t="shared" si="2"/>
        <v>9559.44</v>
      </c>
      <c r="G65" s="77">
        <f t="shared" si="3"/>
        <v>9177.0624000000007</v>
      </c>
      <c r="H65" s="77">
        <f>'Energy Usage'!O237</f>
        <v>3.1103999999999998</v>
      </c>
      <c r="I65" s="77">
        <f t="shared" si="4"/>
        <v>863.99999999999989</v>
      </c>
      <c r="J65" s="77">
        <f t="shared" si="5"/>
        <v>899.99999999999989</v>
      </c>
      <c r="K65" s="77">
        <f t="shared" si="7"/>
        <v>14000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x14ac:dyDescent="0.45">
      <c r="A66" s="127">
        <f t="shared" si="6"/>
        <v>46</v>
      </c>
      <c r="B66" s="193" t="s">
        <v>218</v>
      </c>
      <c r="C66" s="127">
        <v>15</v>
      </c>
      <c r="D66" s="77">
        <f t="shared" si="0"/>
        <v>14.2</v>
      </c>
      <c r="E66" s="5">
        <f t="shared" si="1"/>
        <v>56232</v>
      </c>
      <c r="F66" s="77">
        <f t="shared" si="2"/>
        <v>9559.44</v>
      </c>
      <c r="G66" s="77">
        <f t="shared" si="3"/>
        <v>9177.0624000000007</v>
      </c>
      <c r="H66" s="77">
        <f>'Energy Usage'!O238</f>
        <v>3.1103999999999998</v>
      </c>
      <c r="I66" s="77">
        <f t="shared" si="4"/>
        <v>863.99999999999989</v>
      </c>
      <c r="J66" s="77">
        <f t="shared" si="5"/>
        <v>899.99999999999989</v>
      </c>
      <c r="K66" s="77">
        <f t="shared" si="7"/>
        <v>14000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x14ac:dyDescent="0.45">
      <c r="A67" s="127">
        <f t="shared" si="6"/>
        <v>47</v>
      </c>
      <c r="B67" s="193" t="s">
        <v>218</v>
      </c>
      <c r="C67" s="127">
        <v>16</v>
      </c>
      <c r="D67" s="77">
        <f t="shared" si="0"/>
        <v>14.2</v>
      </c>
      <c r="E67" s="5">
        <f t="shared" si="1"/>
        <v>56232</v>
      </c>
      <c r="F67" s="77">
        <f t="shared" si="2"/>
        <v>9559.44</v>
      </c>
      <c r="G67" s="77">
        <f t="shared" si="3"/>
        <v>9177.0624000000007</v>
      </c>
      <c r="H67" s="77">
        <f>'Energy Usage'!O239</f>
        <v>3.1103999999999998</v>
      </c>
      <c r="I67" s="77">
        <f t="shared" si="4"/>
        <v>863.99999999999989</v>
      </c>
      <c r="J67" s="77">
        <f t="shared" si="5"/>
        <v>899.99999999999989</v>
      </c>
      <c r="K67" s="77">
        <f t="shared" si="7"/>
        <v>14000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x14ac:dyDescent="0.45">
      <c r="A68" s="127">
        <f t="shared" si="6"/>
        <v>48</v>
      </c>
      <c r="B68" s="193" t="s">
        <v>218</v>
      </c>
      <c r="C68" s="127">
        <v>17</v>
      </c>
      <c r="D68" s="77">
        <f t="shared" si="0"/>
        <v>14.2</v>
      </c>
      <c r="E68" s="5">
        <f t="shared" si="1"/>
        <v>56232</v>
      </c>
      <c r="F68" s="77">
        <f t="shared" si="2"/>
        <v>9559.44</v>
      </c>
      <c r="G68" s="77">
        <f t="shared" si="3"/>
        <v>9177.0624000000007</v>
      </c>
      <c r="H68" s="77">
        <f>'Energy Usage'!O240</f>
        <v>3.1103999999999998</v>
      </c>
      <c r="I68" s="77">
        <f t="shared" si="4"/>
        <v>863.99999999999989</v>
      </c>
      <c r="J68" s="77">
        <f t="shared" si="5"/>
        <v>899.99999999999989</v>
      </c>
      <c r="K68" s="77">
        <f t="shared" si="7"/>
        <v>14000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x14ac:dyDescent="0.45">
      <c r="A69" s="127">
        <f t="shared" si="6"/>
        <v>49</v>
      </c>
      <c r="B69" s="193" t="s">
        <v>218</v>
      </c>
      <c r="C69" s="127">
        <v>18</v>
      </c>
      <c r="D69" s="77">
        <f t="shared" si="0"/>
        <v>14.2</v>
      </c>
      <c r="E69" s="5">
        <f t="shared" si="1"/>
        <v>56232</v>
      </c>
      <c r="F69" s="77">
        <f t="shared" si="2"/>
        <v>9559.44</v>
      </c>
      <c r="G69" s="77">
        <f t="shared" si="3"/>
        <v>9177.0624000000007</v>
      </c>
      <c r="H69" s="77">
        <f>'Energy Usage'!O241</f>
        <v>3.1103999999999998</v>
      </c>
      <c r="I69" s="77">
        <f t="shared" si="4"/>
        <v>863.99999999999989</v>
      </c>
      <c r="J69" s="77">
        <f t="shared" si="5"/>
        <v>899.99999999999989</v>
      </c>
      <c r="K69" s="77">
        <f t="shared" si="7"/>
        <v>14000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x14ac:dyDescent="0.45">
      <c r="A70" s="127">
        <f t="shared" si="6"/>
        <v>50</v>
      </c>
      <c r="B70" s="193" t="s">
        <v>218</v>
      </c>
      <c r="C70" s="127">
        <v>19</v>
      </c>
      <c r="D70" s="77">
        <f t="shared" si="0"/>
        <v>14.2</v>
      </c>
      <c r="E70" s="5">
        <f t="shared" si="1"/>
        <v>56232</v>
      </c>
      <c r="F70" s="77">
        <f t="shared" si="2"/>
        <v>9559.44</v>
      </c>
      <c r="G70" s="77">
        <f t="shared" si="3"/>
        <v>9177.0624000000007</v>
      </c>
      <c r="H70" s="77">
        <f>'Energy Usage'!O242</f>
        <v>3.1103999999999998</v>
      </c>
      <c r="I70" s="77">
        <f t="shared" si="4"/>
        <v>863.99999999999989</v>
      </c>
      <c r="J70" s="77">
        <f t="shared" si="5"/>
        <v>899.99999999999989</v>
      </c>
      <c r="K70" s="77">
        <f t="shared" si="7"/>
        <v>14000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x14ac:dyDescent="0.45">
      <c r="A71" s="127">
        <f t="shared" si="6"/>
        <v>51</v>
      </c>
      <c r="B71" s="193" t="s">
        <v>218</v>
      </c>
      <c r="C71" s="127">
        <v>20</v>
      </c>
      <c r="D71" s="77">
        <f t="shared" si="0"/>
        <v>14.2</v>
      </c>
      <c r="E71" s="5">
        <f t="shared" si="1"/>
        <v>56232</v>
      </c>
      <c r="F71" s="77">
        <f t="shared" si="2"/>
        <v>9559.44</v>
      </c>
      <c r="G71" s="77">
        <f t="shared" si="3"/>
        <v>9177.0624000000007</v>
      </c>
      <c r="H71" s="77">
        <f>'Energy Usage'!O243</f>
        <v>3.1103999999999998</v>
      </c>
      <c r="I71" s="77">
        <f t="shared" si="4"/>
        <v>863.99999999999989</v>
      </c>
      <c r="J71" s="77">
        <f t="shared" si="5"/>
        <v>899.99999999999989</v>
      </c>
      <c r="K71" s="77">
        <f t="shared" si="7"/>
        <v>14000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x14ac:dyDescent="0.45">
      <c r="A72" s="127">
        <f t="shared" si="6"/>
        <v>52</v>
      </c>
      <c r="B72" s="193" t="s">
        <v>218</v>
      </c>
      <c r="C72" s="127">
        <v>21</v>
      </c>
      <c r="D72" s="77">
        <f t="shared" si="0"/>
        <v>14.2</v>
      </c>
      <c r="E72" s="5">
        <f t="shared" si="1"/>
        <v>56232</v>
      </c>
      <c r="F72" s="77">
        <f t="shared" si="2"/>
        <v>9559.44</v>
      </c>
      <c r="G72" s="77">
        <f t="shared" si="3"/>
        <v>9177.0624000000007</v>
      </c>
      <c r="H72" s="77">
        <f>'Energy Usage'!O244</f>
        <v>3.1103999999999998</v>
      </c>
      <c r="I72" s="77">
        <f t="shared" si="4"/>
        <v>863.99999999999989</v>
      </c>
      <c r="J72" s="77">
        <f t="shared" si="5"/>
        <v>899.99999999999989</v>
      </c>
      <c r="K72" s="77">
        <f t="shared" si="7"/>
        <v>14000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x14ac:dyDescent="0.45">
      <c r="A73" s="127">
        <f t="shared" si="6"/>
        <v>53</v>
      </c>
      <c r="B73" s="193" t="s">
        <v>218</v>
      </c>
      <c r="C73" s="127">
        <v>22</v>
      </c>
      <c r="D73" s="77">
        <f t="shared" si="0"/>
        <v>14.2</v>
      </c>
      <c r="E73" s="5">
        <f t="shared" si="1"/>
        <v>56232</v>
      </c>
      <c r="F73" s="77">
        <f t="shared" si="2"/>
        <v>9559.44</v>
      </c>
      <c r="G73" s="77">
        <f t="shared" si="3"/>
        <v>9177.0624000000007</v>
      </c>
      <c r="H73" s="77">
        <f>'Energy Usage'!O245</f>
        <v>3.1103999999999998</v>
      </c>
      <c r="I73" s="77">
        <f t="shared" si="4"/>
        <v>863.99999999999989</v>
      </c>
      <c r="J73" s="77">
        <f t="shared" si="5"/>
        <v>899.99999999999989</v>
      </c>
      <c r="K73" s="77">
        <f t="shared" si="7"/>
        <v>14000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x14ac:dyDescent="0.45">
      <c r="A74" s="127">
        <f t="shared" si="6"/>
        <v>54</v>
      </c>
      <c r="B74" s="193" t="s">
        <v>218</v>
      </c>
      <c r="C74" s="127">
        <v>23</v>
      </c>
      <c r="D74" s="77">
        <f t="shared" si="0"/>
        <v>14.2</v>
      </c>
      <c r="E74" s="5">
        <f t="shared" si="1"/>
        <v>56232</v>
      </c>
      <c r="F74" s="77">
        <f t="shared" si="2"/>
        <v>9559.44</v>
      </c>
      <c r="G74" s="77">
        <f t="shared" si="3"/>
        <v>9177.0624000000007</v>
      </c>
      <c r="H74" s="77">
        <f>'Energy Usage'!O246</f>
        <v>3.1103999999999998</v>
      </c>
      <c r="I74" s="77">
        <f t="shared" si="4"/>
        <v>863.99999999999989</v>
      </c>
      <c r="J74" s="77">
        <f t="shared" si="5"/>
        <v>899.99999999999989</v>
      </c>
      <c r="K74" s="77">
        <f t="shared" si="7"/>
        <v>14000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x14ac:dyDescent="0.45">
      <c r="A75" s="127">
        <f t="shared" si="6"/>
        <v>55</v>
      </c>
      <c r="B75" s="193" t="s">
        <v>218</v>
      </c>
      <c r="C75" s="127">
        <v>24</v>
      </c>
      <c r="D75" s="77">
        <f t="shared" si="0"/>
        <v>14.2</v>
      </c>
      <c r="E75" s="5">
        <f t="shared" si="1"/>
        <v>56232</v>
      </c>
      <c r="F75" s="77">
        <f t="shared" si="2"/>
        <v>9559.44</v>
      </c>
      <c r="G75" s="77">
        <f t="shared" si="3"/>
        <v>9177.0624000000007</v>
      </c>
      <c r="H75" s="77">
        <f>'Energy Usage'!O247</f>
        <v>3.1103999999999998</v>
      </c>
      <c r="I75" s="77">
        <f t="shared" si="4"/>
        <v>863.99999999999989</v>
      </c>
      <c r="J75" s="77">
        <f t="shared" si="5"/>
        <v>899.99999999999989</v>
      </c>
      <c r="K75" s="77">
        <f t="shared" si="7"/>
        <v>14000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x14ac:dyDescent="0.45">
      <c r="A76" s="127">
        <f t="shared" si="6"/>
        <v>56</v>
      </c>
      <c r="B76" s="193" t="s">
        <v>218</v>
      </c>
      <c r="C76" s="127">
        <v>25</v>
      </c>
      <c r="D76" s="77">
        <f t="shared" si="0"/>
        <v>14.2</v>
      </c>
      <c r="E76" s="5">
        <f t="shared" si="1"/>
        <v>56232</v>
      </c>
      <c r="F76" s="77">
        <f t="shared" si="2"/>
        <v>9559.44</v>
      </c>
      <c r="G76" s="77">
        <f t="shared" si="3"/>
        <v>9177.0624000000007</v>
      </c>
      <c r="H76" s="77">
        <f>'Energy Usage'!O248</f>
        <v>3.1103999999999998</v>
      </c>
      <c r="I76" s="77">
        <f t="shared" si="4"/>
        <v>863.99999999999989</v>
      </c>
      <c r="J76" s="77">
        <f t="shared" si="5"/>
        <v>899.99999999999989</v>
      </c>
      <c r="K76" s="77">
        <f t="shared" si="7"/>
        <v>14000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x14ac:dyDescent="0.45">
      <c r="A77" s="127">
        <f t="shared" si="6"/>
        <v>57</v>
      </c>
      <c r="B77" s="193" t="s">
        <v>218</v>
      </c>
      <c r="C77" s="127">
        <v>26</v>
      </c>
      <c r="D77" s="77">
        <f t="shared" si="0"/>
        <v>14.2</v>
      </c>
      <c r="E77" s="5">
        <f t="shared" si="1"/>
        <v>56232</v>
      </c>
      <c r="F77" s="77">
        <f t="shared" si="2"/>
        <v>9559.44</v>
      </c>
      <c r="G77" s="77">
        <f t="shared" si="3"/>
        <v>9177.0624000000007</v>
      </c>
      <c r="H77" s="77">
        <f>'Energy Usage'!O249</f>
        <v>3.1103999999999998</v>
      </c>
      <c r="I77" s="77">
        <f t="shared" si="4"/>
        <v>863.99999999999989</v>
      </c>
      <c r="J77" s="77">
        <f t="shared" si="5"/>
        <v>899.99999999999989</v>
      </c>
      <c r="K77" s="77">
        <f t="shared" si="7"/>
        <v>14000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x14ac:dyDescent="0.45">
      <c r="A78" s="127">
        <f t="shared" si="6"/>
        <v>58</v>
      </c>
      <c r="B78" s="193" t="s">
        <v>218</v>
      </c>
      <c r="C78" s="127">
        <v>27</v>
      </c>
      <c r="D78" s="77">
        <f t="shared" si="0"/>
        <v>14.2</v>
      </c>
      <c r="E78" s="5">
        <f t="shared" si="1"/>
        <v>56232</v>
      </c>
      <c r="F78" s="77">
        <f t="shared" si="2"/>
        <v>9559.44</v>
      </c>
      <c r="G78" s="77">
        <f t="shared" si="3"/>
        <v>9177.0624000000007</v>
      </c>
      <c r="H78" s="77">
        <f>'Energy Usage'!O250</f>
        <v>3.1103999999999998</v>
      </c>
      <c r="I78" s="77">
        <f t="shared" si="4"/>
        <v>863.99999999999989</v>
      </c>
      <c r="J78" s="77">
        <f t="shared" si="5"/>
        <v>899.99999999999989</v>
      </c>
      <c r="K78" s="77">
        <f t="shared" si="7"/>
        <v>14000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x14ac:dyDescent="0.45">
      <c r="A79" s="127">
        <f t="shared" si="6"/>
        <v>59</v>
      </c>
      <c r="B79" s="193" t="s">
        <v>218</v>
      </c>
      <c r="C79" s="127">
        <v>28</v>
      </c>
      <c r="D79" s="77">
        <f t="shared" si="0"/>
        <v>14.2</v>
      </c>
      <c r="E79" s="5">
        <f t="shared" si="1"/>
        <v>56232</v>
      </c>
      <c r="F79" s="77">
        <f t="shared" si="2"/>
        <v>9559.44</v>
      </c>
      <c r="G79" s="77">
        <f t="shared" si="3"/>
        <v>9177.0624000000007</v>
      </c>
      <c r="H79" s="77">
        <f>'Energy Usage'!O251</f>
        <v>3.5585097604183029</v>
      </c>
      <c r="I79" s="77">
        <f t="shared" si="4"/>
        <v>988.47493344952852</v>
      </c>
      <c r="J79" s="77">
        <f t="shared" si="5"/>
        <v>1029.6613890099256</v>
      </c>
      <c r="K79" s="77">
        <f t="shared" si="7"/>
        <v>14000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x14ac:dyDescent="0.45">
      <c r="A80" s="127">
        <f t="shared" si="6"/>
        <v>60</v>
      </c>
      <c r="B80" s="193" t="s">
        <v>218</v>
      </c>
      <c r="C80" s="127">
        <v>29</v>
      </c>
      <c r="D80" s="77">
        <f t="shared" si="0"/>
        <v>14.2</v>
      </c>
      <c r="E80" s="5">
        <f t="shared" si="1"/>
        <v>56232</v>
      </c>
      <c r="F80" s="77">
        <f t="shared" si="2"/>
        <v>9559.44</v>
      </c>
      <c r="G80" s="77">
        <f t="shared" si="3"/>
        <v>9177.0624000000007</v>
      </c>
      <c r="H80" s="77">
        <f>'Energy Usage'!O252</f>
        <v>11.848540328156906</v>
      </c>
      <c r="I80" s="77">
        <f t="shared" si="4"/>
        <v>3291.2612022658072</v>
      </c>
      <c r="J80" s="77">
        <f t="shared" si="5"/>
        <v>3428.3970856935493</v>
      </c>
      <c r="K80" s="77">
        <f t="shared" si="7"/>
        <v>14000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x14ac:dyDescent="0.45">
      <c r="A81" s="127">
        <f t="shared" si="6"/>
        <v>61</v>
      </c>
      <c r="B81" s="193" t="s">
        <v>218</v>
      </c>
      <c r="C81" s="127">
        <v>30</v>
      </c>
      <c r="D81" s="77">
        <f t="shared" si="0"/>
        <v>14.2</v>
      </c>
      <c r="E81" s="5">
        <f t="shared" si="1"/>
        <v>56232</v>
      </c>
      <c r="F81" s="77">
        <f t="shared" si="2"/>
        <v>9559.44</v>
      </c>
      <c r="G81" s="77">
        <f t="shared" si="3"/>
        <v>9177.0624000000007</v>
      </c>
      <c r="H81" s="77">
        <f>'Energy Usage'!O253</f>
        <v>7.1433878437647245</v>
      </c>
      <c r="I81" s="77">
        <f t="shared" si="4"/>
        <v>1984.2744010457568</v>
      </c>
      <c r="J81" s="77">
        <f t="shared" si="5"/>
        <v>2066.9525010893299</v>
      </c>
      <c r="K81" s="77">
        <f t="shared" si="7"/>
        <v>14000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x14ac:dyDescent="0.45">
      <c r="A82" s="127">
        <f t="shared" si="6"/>
        <v>62</v>
      </c>
      <c r="B82" s="193" t="s">
        <v>218</v>
      </c>
      <c r="C82" s="127">
        <v>31</v>
      </c>
      <c r="D82" s="77">
        <f t="shared" si="0"/>
        <v>14.2</v>
      </c>
      <c r="E82" s="5">
        <f t="shared" si="1"/>
        <v>56232</v>
      </c>
      <c r="F82" s="77">
        <f t="shared" si="2"/>
        <v>9559.44</v>
      </c>
      <c r="G82" s="77">
        <f t="shared" si="3"/>
        <v>9177.0624000000007</v>
      </c>
      <c r="H82" s="77">
        <f>'Energy Usage'!O254</f>
        <v>14.985308651085026</v>
      </c>
      <c r="I82" s="77">
        <f t="shared" si="4"/>
        <v>4162.5857364125068</v>
      </c>
      <c r="J82" s="77">
        <f t="shared" si="5"/>
        <v>4336.0268087630284</v>
      </c>
      <c r="K82" s="77">
        <f t="shared" si="7"/>
        <v>14000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x14ac:dyDescent="0.45">
      <c r="A83" s="127">
        <f t="shared" si="6"/>
        <v>63</v>
      </c>
      <c r="B83" s="193" t="s">
        <v>221</v>
      </c>
      <c r="C83" s="127">
        <v>1</v>
      </c>
      <c r="D83" s="77">
        <f t="shared" si="0"/>
        <v>12.5</v>
      </c>
      <c r="E83" s="5">
        <f t="shared" si="1"/>
        <v>49500</v>
      </c>
      <c r="F83" s="77">
        <f t="shared" si="2"/>
        <v>8415</v>
      </c>
      <c r="G83" s="77">
        <f t="shared" si="3"/>
        <v>8078.4</v>
      </c>
      <c r="H83" s="77">
        <f>'Energy Usage'!O255</f>
        <v>6.6952780833464232</v>
      </c>
      <c r="I83" s="77">
        <f t="shared" si="4"/>
        <v>1859.7994675962286</v>
      </c>
      <c r="J83" s="77">
        <f t="shared" si="5"/>
        <v>1937.2911120794049</v>
      </c>
      <c r="K83" s="77">
        <f t="shared" si="7"/>
        <v>14000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x14ac:dyDescent="0.45">
      <c r="A84" s="127">
        <f t="shared" si="6"/>
        <v>64</v>
      </c>
      <c r="B84" s="193" t="s">
        <v>221</v>
      </c>
      <c r="C84" s="127">
        <v>2</v>
      </c>
      <c r="D84" s="77">
        <f t="shared" si="0"/>
        <v>12.5</v>
      </c>
      <c r="E84" s="5">
        <f t="shared" si="1"/>
        <v>49500</v>
      </c>
      <c r="F84" s="77">
        <f t="shared" si="2"/>
        <v>8415</v>
      </c>
      <c r="G84" s="77">
        <f t="shared" si="3"/>
        <v>8078.4</v>
      </c>
      <c r="H84" s="77">
        <f>'Energy Usage'!O256</f>
        <v>10.056101286483692</v>
      </c>
      <c r="I84" s="77">
        <f t="shared" si="4"/>
        <v>2793.3614684676922</v>
      </c>
      <c r="J84" s="77">
        <f t="shared" si="5"/>
        <v>2909.7515296538463</v>
      </c>
      <c r="K84" s="77">
        <f t="shared" si="7"/>
        <v>14000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x14ac:dyDescent="0.45">
      <c r="A85" s="127">
        <f t="shared" si="6"/>
        <v>65</v>
      </c>
      <c r="B85" s="193" t="s">
        <v>221</v>
      </c>
      <c r="C85" s="127">
        <v>3</v>
      </c>
      <c r="D85" s="77">
        <f t="shared" si="0"/>
        <v>12.5</v>
      </c>
      <c r="E85" s="5">
        <f t="shared" si="1"/>
        <v>49500</v>
      </c>
      <c r="F85" s="77">
        <f t="shared" si="2"/>
        <v>8415</v>
      </c>
      <c r="G85" s="77">
        <f t="shared" si="3"/>
        <v>8078.4</v>
      </c>
      <c r="H85" s="77">
        <f>'Energy Usage'!O257</f>
        <v>3.1103999999999998</v>
      </c>
      <c r="I85" s="77">
        <f t="shared" si="4"/>
        <v>863.99999999999989</v>
      </c>
      <c r="J85" s="77">
        <f t="shared" si="5"/>
        <v>899.99999999999989</v>
      </c>
      <c r="K85" s="77">
        <f t="shared" si="7"/>
        <v>14000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x14ac:dyDescent="0.45">
      <c r="A86" s="127">
        <f t="shared" si="6"/>
        <v>66</v>
      </c>
      <c r="B86" s="193" t="s">
        <v>221</v>
      </c>
      <c r="C86" s="127">
        <v>4</v>
      </c>
      <c r="D86" s="77">
        <f t="shared" si="0"/>
        <v>12.5</v>
      </c>
      <c r="E86" s="5">
        <f t="shared" si="1"/>
        <v>49500</v>
      </c>
      <c r="F86" s="77">
        <f t="shared" si="2"/>
        <v>8415</v>
      </c>
      <c r="G86" s="77">
        <f t="shared" si="3"/>
        <v>8078.4</v>
      </c>
      <c r="H86" s="77">
        <f>'Energy Usage'!O258</f>
        <v>3.1103999999999998</v>
      </c>
      <c r="I86" s="77">
        <f t="shared" si="4"/>
        <v>863.99999999999989</v>
      </c>
      <c r="J86" s="77">
        <f t="shared" si="5"/>
        <v>899.99999999999989</v>
      </c>
      <c r="K86" s="77">
        <f t="shared" si="7"/>
        <v>14000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x14ac:dyDescent="0.45">
      <c r="A87" s="127">
        <f t="shared" si="6"/>
        <v>67</v>
      </c>
      <c r="B87" s="193" t="s">
        <v>221</v>
      </c>
      <c r="C87" s="127">
        <v>5</v>
      </c>
      <c r="D87" s="77">
        <f t="shared" si="0"/>
        <v>12.5</v>
      </c>
      <c r="E87" s="5">
        <f t="shared" si="1"/>
        <v>49500</v>
      </c>
      <c r="F87" s="77">
        <f t="shared" si="2"/>
        <v>8415</v>
      </c>
      <c r="G87" s="77">
        <f t="shared" si="3"/>
        <v>8078.4</v>
      </c>
      <c r="H87" s="77">
        <f>'Energy Usage'!O259</f>
        <v>3.1103999999999998</v>
      </c>
      <c r="I87" s="77">
        <f t="shared" si="4"/>
        <v>863.99999999999989</v>
      </c>
      <c r="J87" s="77">
        <f t="shared" si="5"/>
        <v>899.99999999999989</v>
      </c>
      <c r="K87" s="77">
        <f t="shared" si="7"/>
        <v>14000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x14ac:dyDescent="0.45">
      <c r="A88" s="127">
        <f t="shared" si="6"/>
        <v>68</v>
      </c>
      <c r="B88" s="193" t="s">
        <v>221</v>
      </c>
      <c r="C88" s="127">
        <v>6</v>
      </c>
      <c r="D88" s="77">
        <f t="shared" si="0"/>
        <v>12.5</v>
      </c>
      <c r="E88" s="5">
        <f t="shared" si="1"/>
        <v>49500</v>
      </c>
      <c r="F88" s="77">
        <f t="shared" si="2"/>
        <v>8415</v>
      </c>
      <c r="G88" s="77">
        <f t="shared" si="3"/>
        <v>8078.4</v>
      </c>
      <c r="H88" s="77">
        <f>'Energy Usage'!O260</f>
        <v>3.1103999999999998</v>
      </c>
      <c r="I88" s="77">
        <f t="shared" si="4"/>
        <v>863.99999999999989</v>
      </c>
      <c r="J88" s="77">
        <f t="shared" si="5"/>
        <v>899.99999999999989</v>
      </c>
      <c r="K88" s="77">
        <f t="shared" si="7"/>
        <v>14000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x14ac:dyDescent="0.45">
      <c r="A89" s="127">
        <f t="shared" si="6"/>
        <v>69</v>
      </c>
      <c r="B89" s="193" t="s">
        <v>221</v>
      </c>
      <c r="C89" s="127">
        <v>7</v>
      </c>
      <c r="D89" s="77">
        <f t="shared" si="0"/>
        <v>12.5</v>
      </c>
      <c r="E89" s="5">
        <f t="shared" si="1"/>
        <v>49500</v>
      </c>
      <c r="F89" s="77">
        <f t="shared" si="2"/>
        <v>8415</v>
      </c>
      <c r="G89" s="77">
        <f t="shared" si="3"/>
        <v>8078.4</v>
      </c>
      <c r="H89" s="77">
        <f>'Energy Usage'!O261</f>
        <v>3.1103999999999998</v>
      </c>
      <c r="I89" s="77">
        <f t="shared" si="4"/>
        <v>863.99999999999989</v>
      </c>
      <c r="J89" s="77">
        <f t="shared" si="5"/>
        <v>899.99999999999989</v>
      </c>
      <c r="K89" s="77">
        <f t="shared" si="7"/>
        <v>14000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x14ac:dyDescent="0.45">
      <c r="A90" s="127">
        <f t="shared" si="6"/>
        <v>70</v>
      </c>
      <c r="B90" s="193" t="s">
        <v>221</v>
      </c>
      <c r="C90" s="127">
        <v>8</v>
      </c>
      <c r="D90" s="77">
        <f t="shared" si="0"/>
        <v>12.5</v>
      </c>
      <c r="E90" s="5">
        <f t="shared" si="1"/>
        <v>49500</v>
      </c>
      <c r="F90" s="77">
        <f t="shared" si="2"/>
        <v>8415</v>
      </c>
      <c r="G90" s="77">
        <f t="shared" si="3"/>
        <v>8078.4</v>
      </c>
      <c r="H90" s="77">
        <f>'Energy Usage'!O262</f>
        <v>3.1103999999999998</v>
      </c>
      <c r="I90" s="77">
        <f t="shared" si="4"/>
        <v>863.99999999999989</v>
      </c>
      <c r="J90" s="77">
        <f t="shared" si="5"/>
        <v>899.99999999999989</v>
      </c>
      <c r="K90" s="77">
        <f t="shared" si="7"/>
        <v>14000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x14ac:dyDescent="0.45">
      <c r="A91" s="127">
        <f t="shared" si="6"/>
        <v>71</v>
      </c>
      <c r="B91" s="193" t="s">
        <v>221</v>
      </c>
      <c r="C91" s="127">
        <v>9</v>
      </c>
      <c r="D91" s="77">
        <f t="shared" si="0"/>
        <v>12.5</v>
      </c>
      <c r="E91" s="5">
        <f t="shared" si="1"/>
        <v>49500</v>
      </c>
      <c r="F91" s="77">
        <f t="shared" si="2"/>
        <v>8415</v>
      </c>
      <c r="G91" s="77">
        <f t="shared" si="3"/>
        <v>8078.4</v>
      </c>
      <c r="H91" s="77">
        <f>'Energy Usage'!O263</f>
        <v>3.1103999999999998</v>
      </c>
      <c r="I91" s="77">
        <f t="shared" si="4"/>
        <v>863.99999999999989</v>
      </c>
      <c r="J91" s="77">
        <f t="shared" si="5"/>
        <v>899.99999999999989</v>
      </c>
      <c r="K91" s="77">
        <f t="shared" si="7"/>
        <v>14000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x14ac:dyDescent="0.45">
      <c r="A92" s="127">
        <f t="shared" si="6"/>
        <v>72</v>
      </c>
      <c r="B92" s="193" t="s">
        <v>221</v>
      </c>
      <c r="C92" s="127">
        <v>10</v>
      </c>
      <c r="D92" s="77">
        <f t="shared" si="0"/>
        <v>12.5</v>
      </c>
      <c r="E92" s="5">
        <f t="shared" si="1"/>
        <v>49500</v>
      </c>
      <c r="F92" s="77">
        <f t="shared" si="2"/>
        <v>8415</v>
      </c>
      <c r="G92" s="77">
        <f t="shared" si="3"/>
        <v>8078.4</v>
      </c>
      <c r="H92" s="77">
        <f>'Energy Usage'!O264</f>
        <v>3.1103999999999998</v>
      </c>
      <c r="I92" s="77">
        <f t="shared" si="4"/>
        <v>863.99999999999989</v>
      </c>
      <c r="J92" s="77">
        <f t="shared" si="5"/>
        <v>899.99999999999989</v>
      </c>
      <c r="K92" s="77">
        <f t="shared" si="7"/>
        <v>14000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x14ac:dyDescent="0.45">
      <c r="A93" s="127">
        <f t="shared" si="6"/>
        <v>73</v>
      </c>
      <c r="B93" s="193" t="s">
        <v>221</v>
      </c>
      <c r="C93" s="127">
        <v>11</v>
      </c>
      <c r="D93" s="77">
        <f t="shared" si="0"/>
        <v>12.5</v>
      </c>
      <c r="E93" s="5">
        <f t="shared" si="1"/>
        <v>49500</v>
      </c>
      <c r="F93" s="77">
        <f t="shared" si="2"/>
        <v>8415</v>
      </c>
      <c r="G93" s="77">
        <f t="shared" si="3"/>
        <v>8078.4</v>
      </c>
      <c r="H93" s="77">
        <f>'Energy Usage'!O265</f>
        <v>3.1103999999999998</v>
      </c>
      <c r="I93" s="77">
        <f t="shared" si="4"/>
        <v>863.99999999999989</v>
      </c>
      <c r="J93" s="77">
        <f t="shared" si="5"/>
        <v>899.99999999999989</v>
      </c>
      <c r="K93" s="77">
        <f t="shared" si="7"/>
        <v>14000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x14ac:dyDescent="0.45">
      <c r="A94" s="127">
        <f t="shared" si="6"/>
        <v>74</v>
      </c>
      <c r="B94" s="193" t="s">
        <v>221</v>
      </c>
      <c r="C94" s="127">
        <v>12</v>
      </c>
      <c r="D94" s="77">
        <f t="shared" si="0"/>
        <v>12.5</v>
      </c>
      <c r="E94" s="5">
        <f t="shared" si="1"/>
        <v>49500</v>
      </c>
      <c r="F94" s="77">
        <f t="shared" si="2"/>
        <v>8415</v>
      </c>
      <c r="G94" s="77">
        <f t="shared" si="3"/>
        <v>8078.4</v>
      </c>
      <c r="H94" s="77">
        <f>'Energy Usage'!O266</f>
        <v>3.1103999999999998</v>
      </c>
      <c r="I94" s="77">
        <f t="shared" si="4"/>
        <v>863.99999999999989</v>
      </c>
      <c r="J94" s="77">
        <f t="shared" si="5"/>
        <v>899.99999999999989</v>
      </c>
      <c r="K94" s="77">
        <f t="shared" si="7"/>
        <v>14000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x14ac:dyDescent="0.45">
      <c r="A95" s="127">
        <f t="shared" si="6"/>
        <v>75</v>
      </c>
      <c r="B95" s="193" t="s">
        <v>221</v>
      </c>
      <c r="C95" s="127">
        <v>13</v>
      </c>
      <c r="D95" s="77">
        <f t="shared" si="0"/>
        <v>12.5</v>
      </c>
      <c r="E95" s="5">
        <f t="shared" si="1"/>
        <v>49500</v>
      </c>
      <c r="F95" s="77">
        <f t="shared" si="2"/>
        <v>8415</v>
      </c>
      <c r="G95" s="77">
        <f t="shared" si="3"/>
        <v>8078.4</v>
      </c>
      <c r="H95" s="77">
        <f>'Energy Usage'!O267</f>
        <v>3.1103999999999998</v>
      </c>
      <c r="I95" s="77">
        <f t="shared" si="4"/>
        <v>863.99999999999989</v>
      </c>
      <c r="J95" s="77">
        <f t="shared" si="5"/>
        <v>899.99999999999989</v>
      </c>
      <c r="K95" s="77">
        <f t="shared" si="7"/>
        <v>14000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x14ac:dyDescent="0.45">
      <c r="A96" s="127">
        <f t="shared" si="6"/>
        <v>76</v>
      </c>
      <c r="B96" s="193" t="s">
        <v>221</v>
      </c>
      <c r="C96" s="127">
        <v>14</v>
      </c>
      <c r="D96" s="77">
        <f t="shared" si="0"/>
        <v>12.5</v>
      </c>
      <c r="E96" s="5">
        <f t="shared" si="1"/>
        <v>49500</v>
      </c>
      <c r="F96" s="77">
        <f t="shared" si="2"/>
        <v>8415</v>
      </c>
      <c r="G96" s="77">
        <f t="shared" si="3"/>
        <v>8078.4</v>
      </c>
      <c r="H96" s="77">
        <f>'Energy Usage'!O268</f>
        <v>3.1103999999999998</v>
      </c>
      <c r="I96" s="77">
        <f t="shared" si="4"/>
        <v>863.99999999999989</v>
      </c>
      <c r="J96" s="77">
        <f t="shared" si="5"/>
        <v>899.99999999999989</v>
      </c>
      <c r="K96" s="77">
        <f t="shared" si="7"/>
        <v>14000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x14ac:dyDescent="0.45">
      <c r="A97" s="127">
        <f t="shared" si="6"/>
        <v>77</v>
      </c>
      <c r="B97" s="193" t="s">
        <v>221</v>
      </c>
      <c r="C97" s="127">
        <v>15</v>
      </c>
      <c r="D97" s="77">
        <f t="shared" si="0"/>
        <v>12.5</v>
      </c>
      <c r="E97" s="5">
        <f t="shared" si="1"/>
        <v>49500</v>
      </c>
      <c r="F97" s="77">
        <f t="shared" si="2"/>
        <v>8415</v>
      </c>
      <c r="G97" s="77">
        <f t="shared" si="3"/>
        <v>8078.4</v>
      </c>
      <c r="H97" s="77">
        <f>'Energy Usage'!O269</f>
        <v>3.1103999999999998</v>
      </c>
      <c r="I97" s="77">
        <f t="shared" si="4"/>
        <v>863.99999999999989</v>
      </c>
      <c r="J97" s="77">
        <f t="shared" si="5"/>
        <v>899.99999999999989</v>
      </c>
      <c r="K97" s="77">
        <f t="shared" si="7"/>
        <v>14000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x14ac:dyDescent="0.45">
      <c r="A98" s="127">
        <f t="shared" si="6"/>
        <v>78</v>
      </c>
      <c r="B98" s="193" t="s">
        <v>221</v>
      </c>
      <c r="C98" s="127">
        <v>16</v>
      </c>
      <c r="D98" s="77">
        <f t="shared" si="0"/>
        <v>12.5</v>
      </c>
      <c r="E98" s="5">
        <f t="shared" si="1"/>
        <v>49500</v>
      </c>
      <c r="F98" s="77">
        <f t="shared" si="2"/>
        <v>8415</v>
      </c>
      <c r="G98" s="77">
        <f t="shared" si="3"/>
        <v>8078.4</v>
      </c>
      <c r="H98" s="77">
        <f>'Energy Usage'!O270</f>
        <v>3.1103999999999998</v>
      </c>
      <c r="I98" s="77">
        <f t="shared" si="4"/>
        <v>863.99999999999989</v>
      </c>
      <c r="J98" s="77">
        <f t="shared" si="5"/>
        <v>899.99999999999989</v>
      </c>
      <c r="K98" s="77">
        <f t="shared" si="7"/>
        <v>14000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x14ac:dyDescent="0.45">
      <c r="A99" s="127">
        <f t="shared" si="6"/>
        <v>79</v>
      </c>
      <c r="B99" s="193" t="s">
        <v>221</v>
      </c>
      <c r="C99" s="127">
        <v>17</v>
      </c>
      <c r="D99" s="77">
        <f t="shared" si="0"/>
        <v>12.5</v>
      </c>
      <c r="E99" s="5">
        <f t="shared" si="1"/>
        <v>49500</v>
      </c>
      <c r="F99" s="77">
        <f t="shared" si="2"/>
        <v>8415</v>
      </c>
      <c r="G99" s="77">
        <f t="shared" si="3"/>
        <v>8078.4</v>
      </c>
      <c r="H99" s="77">
        <f>'Energy Usage'!O271</f>
        <v>3.1103999999999998</v>
      </c>
      <c r="I99" s="77">
        <f t="shared" si="4"/>
        <v>863.99999999999989</v>
      </c>
      <c r="J99" s="77">
        <f t="shared" si="5"/>
        <v>899.99999999999989</v>
      </c>
      <c r="K99" s="77">
        <f t="shared" si="7"/>
        <v>14000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x14ac:dyDescent="0.45">
      <c r="A100" s="127">
        <f t="shared" si="6"/>
        <v>80</v>
      </c>
      <c r="B100" s="193" t="s">
        <v>221</v>
      </c>
      <c r="C100" s="127">
        <v>18</v>
      </c>
      <c r="D100" s="77">
        <f t="shared" si="0"/>
        <v>12.5</v>
      </c>
      <c r="E100" s="5">
        <f t="shared" si="1"/>
        <v>49500</v>
      </c>
      <c r="F100" s="77">
        <f t="shared" si="2"/>
        <v>8415</v>
      </c>
      <c r="G100" s="77">
        <f t="shared" si="3"/>
        <v>8078.4</v>
      </c>
      <c r="H100" s="77">
        <f>'Energy Usage'!O272</f>
        <v>28.571181841949024</v>
      </c>
      <c r="I100" s="77">
        <f t="shared" si="4"/>
        <v>7936.4394005413951</v>
      </c>
      <c r="J100" s="77">
        <f t="shared" si="5"/>
        <v>8267.1243755639534</v>
      </c>
      <c r="K100" s="77">
        <f t="shared" si="7"/>
        <v>14000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x14ac:dyDescent="0.45">
      <c r="A101" s="127">
        <f t="shared" si="6"/>
        <v>81</v>
      </c>
      <c r="B101" s="193" t="s">
        <v>221</v>
      </c>
      <c r="C101" s="127">
        <v>19</v>
      </c>
      <c r="D101" s="77">
        <f t="shared" si="0"/>
        <v>12.5</v>
      </c>
      <c r="E101" s="5">
        <f t="shared" si="1"/>
        <v>49500</v>
      </c>
      <c r="F101" s="77">
        <f t="shared" si="2"/>
        <v>8415</v>
      </c>
      <c r="G101" s="77">
        <f t="shared" si="3"/>
        <v>8078.4</v>
      </c>
      <c r="H101" s="77">
        <f>'Energy Usage'!O273</f>
        <v>3.5585097604183029</v>
      </c>
      <c r="I101" s="77">
        <f t="shared" si="4"/>
        <v>988.47493344952852</v>
      </c>
      <c r="J101" s="77">
        <f t="shared" si="5"/>
        <v>1029.6613890099256</v>
      </c>
      <c r="K101" s="77">
        <f t="shared" si="7"/>
        <v>13811.275624436048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x14ac:dyDescent="0.45">
      <c r="A102" s="127">
        <f t="shared" si="6"/>
        <v>82</v>
      </c>
      <c r="B102" s="193" t="s">
        <v>221</v>
      </c>
      <c r="C102" s="127">
        <v>20</v>
      </c>
      <c r="D102" s="77">
        <f t="shared" si="0"/>
        <v>12.5</v>
      </c>
      <c r="E102" s="5">
        <f t="shared" si="1"/>
        <v>49500</v>
      </c>
      <c r="F102" s="77">
        <f t="shared" si="2"/>
        <v>8415</v>
      </c>
      <c r="G102" s="77">
        <f t="shared" si="3"/>
        <v>8078.4</v>
      </c>
      <c r="H102" s="77">
        <f>'Energy Usage'!O274</f>
        <v>3.1103999999999998</v>
      </c>
      <c r="I102" s="77">
        <f t="shared" si="4"/>
        <v>863.99999999999989</v>
      </c>
      <c r="J102" s="77">
        <f t="shared" si="5"/>
        <v>899.99999999999989</v>
      </c>
      <c r="K102" s="77">
        <f t="shared" si="7"/>
        <v>14000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x14ac:dyDescent="0.45">
      <c r="A103" s="127">
        <f t="shared" si="6"/>
        <v>83</v>
      </c>
      <c r="B103" s="193" t="s">
        <v>221</v>
      </c>
      <c r="C103" s="127">
        <v>21</v>
      </c>
      <c r="D103" s="77">
        <f t="shared" si="0"/>
        <v>12.5</v>
      </c>
      <c r="E103" s="5">
        <f t="shared" si="1"/>
        <v>49500</v>
      </c>
      <c r="F103" s="77">
        <f t="shared" si="2"/>
        <v>8415</v>
      </c>
      <c r="G103" s="77">
        <f t="shared" si="3"/>
        <v>8078.4</v>
      </c>
      <c r="H103" s="77">
        <f>'Energy Usage'!O275</f>
        <v>5.3509488020915139</v>
      </c>
      <c r="I103" s="77">
        <f t="shared" si="4"/>
        <v>1486.3746672476427</v>
      </c>
      <c r="J103" s="77">
        <f t="shared" si="5"/>
        <v>1548.306945049628</v>
      </c>
      <c r="K103" s="77">
        <f t="shared" si="7"/>
        <v>14000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x14ac:dyDescent="0.45">
      <c r="A104" s="127">
        <f t="shared" si="6"/>
        <v>84</v>
      </c>
      <c r="B104" s="193" t="s">
        <v>221</v>
      </c>
      <c r="C104" s="127">
        <v>22</v>
      </c>
      <c r="D104" s="77">
        <f t="shared" si="0"/>
        <v>12.5</v>
      </c>
      <c r="E104" s="5">
        <f t="shared" si="1"/>
        <v>49500</v>
      </c>
      <c r="F104" s="77">
        <f t="shared" si="2"/>
        <v>8415</v>
      </c>
      <c r="G104" s="77">
        <f t="shared" si="3"/>
        <v>8078.4</v>
      </c>
      <c r="H104" s="77">
        <f>'Energy Usage'!O276</f>
        <v>17.001802572967385</v>
      </c>
      <c r="I104" s="77">
        <f t="shared" si="4"/>
        <v>4722.7229369353845</v>
      </c>
      <c r="J104" s="77">
        <f t="shared" si="5"/>
        <v>4919.5030593076926</v>
      </c>
      <c r="K104" s="77">
        <f t="shared" si="7"/>
        <v>14000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x14ac:dyDescent="0.45">
      <c r="A105" s="127">
        <f t="shared" si="6"/>
        <v>85</v>
      </c>
      <c r="B105" s="193" t="s">
        <v>221</v>
      </c>
      <c r="C105" s="127">
        <v>23</v>
      </c>
      <c r="D105" s="77">
        <f t="shared" si="0"/>
        <v>12.5</v>
      </c>
      <c r="E105" s="5">
        <f t="shared" si="1"/>
        <v>49500</v>
      </c>
      <c r="F105" s="77">
        <f t="shared" si="2"/>
        <v>8415</v>
      </c>
      <c r="G105" s="77">
        <f t="shared" si="3"/>
        <v>8078.4</v>
      </c>
      <c r="H105" s="77">
        <f>'Energy Usage'!O277</f>
        <v>28.571181841949024</v>
      </c>
      <c r="I105" s="77">
        <f t="shared" si="4"/>
        <v>7936.4394005413951</v>
      </c>
      <c r="J105" s="77">
        <f t="shared" si="5"/>
        <v>8267.1243755639534</v>
      </c>
      <c r="K105" s="77">
        <f t="shared" si="7"/>
        <v>14000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x14ac:dyDescent="0.45">
      <c r="A106" s="127">
        <f t="shared" si="6"/>
        <v>86</v>
      </c>
      <c r="B106" s="193" t="s">
        <v>221</v>
      </c>
      <c r="C106" s="127">
        <v>24</v>
      </c>
      <c r="D106" s="77">
        <f t="shared" si="0"/>
        <v>12.5</v>
      </c>
      <c r="E106" s="5">
        <f t="shared" si="1"/>
        <v>49500</v>
      </c>
      <c r="F106" s="77">
        <f t="shared" si="2"/>
        <v>8415</v>
      </c>
      <c r="G106" s="77">
        <f t="shared" si="3"/>
        <v>8078.4</v>
      </c>
      <c r="H106" s="77">
        <f>'Energy Usage'!O278</f>
        <v>4.9028390416732117</v>
      </c>
      <c r="I106" s="77">
        <f t="shared" si="4"/>
        <v>1361.8997337981143</v>
      </c>
      <c r="J106" s="77">
        <f t="shared" si="5"/>
        <v>1418.6455560397026</v>
      </c>
      <c r="K106" s="77">
        <f t="shared" si="7"/>
        <v>13811.275624436048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x14ac:dyDescent="0.45">
      <c r="A107" s="127">
        <f t="shared" si="6"/>
        <v>87</v>
      </c>
      <c r="B107" s="193" t="s">
        <v>221</v>
      </c>
      <c r="C107" s="127">
        <v>25</v>
      </c>
      <c r="D107" s="77">
        <f t="shared" si="0"/>
        <v>12.5</v>
      </c>
      <c r="E107" s="5">
        <f t="shared" si="1"/>
        <v>49500</v>
      </c>
      <c r="F107" s="77">
        <f t="shared" si="2"/>
        <v>8415</v>
      </c>
      <c r="G107" s="77">
        <f t="shared" si="3"/>
        <v>8078.4</v>
      </c>
      <c r="H107" s="77">
        <f>'Energy Usage'!O279</f>
        <v>3.782564640627454</v>
      </c>
      <c r="I107" s="77">
        <f t="shared" si="4"/>
        <v>1050.7124001742927</v>
      </c>
      <c r="J107" s="77">
        <f t="shared" si="5"/>
        <v>1094.4920835148882</v>
      </c>
      <c r="K107" s="77">
        <f t="shared" si="7"/>
        <v>14000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x14ac:dyDescent="0.45">
      <c r="A108" s="127">
        <f t="shared" si="6"/>
        <v>88</v>
      </c>
      <c r="B108" s="193" t="s">
        <v>221</v>
      </c>
      <c r="C108" s="127">
        <v>26</v>
      </c>
      <c r="D108" s="77">
        <f t="shared" si="0"/>
        <v>12.5</v>
      </c>
      <c r="E108" s="5">
        <f t="shared" si="1"/>
        <v>49500</v>
      </c>
      <c r="F108" s="77">
        <f t="shared" si="2"/>
        <v>8415</v>
      </c>
      <c r="G108" s="77">
        <f t="shared" si="3"/>
        <v>8078.4</v>
      </c>
      <c r="H108" s="77">
        <f>'Energy Usage'!O280</f>
        <v>12.296650088575205</v>
      </c>
      <c r="I108" s="77">
        <f t="shared" si="4"/>
        <v>3415.736135715335</v>
      </c>
      <c r="J108" s="77">
        <f t="shared" si="5"/>
        <v>3558.0584747034741</v>
      </c>
      <c r="K108" s="77">
        <f t="shared" si="7"/>
        <v>14000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x14ac:dyDescent="0.45">
      <c r="A109" s="127">
        <f t="shared" si="6"/>
        <v>89</v>
      </c>
      <c r="B109" s="193" t="s">
        <v>221</v>
      </c>
      <c r="C109" s="127">
        <v>27</v>
      </c>
      <c r="D109" s="77">
        <f t="shared" si="0"/>
        <v>12.5</v>
      </c>
      <c r="E109" s="5">
        <f t="shared" si="1"/>
        <v>49500</v>
      </c>
      <c r="F109" s="77">
        <f t="shared" si="2"/>
        <v>8415</v>
      </c>
      <c r="G109" s="77">
        <f t="shared" si="3"/>
        <v>8078.4</v>
      </c>
      <c r="H109" s="77">
        <f>'Energy Usage'!O281</f>
        <v>3.1103999999999998</v>
      </c>
      <c r="I109" s="77">
        <f t="shared" si="4"/>
        <v>863.99999999999989</v>
      </c>
      <c r="J109" s="77">
        <f t="shared" si="5"/>
        <v>899.99999999999989</v>
      </c>
      <c r="K109" s="77">
        <f t="shared" si="7"/>
        <v>14000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x14ac:dyDescent="0.45">
      <c r="A110" s="127">
        <f t="shared" si="6"/>
        <v>90</v>
      </c>
      <c r="B110" s="193" t="s">
        <v>221</v>
      </c>
      <c r="C110" s="127">
        <v>28</v>
      </c>
      <c r="D110" s="77">
        <f t="shared" si="0"/>
        <v>12.5</v>
      </c>
      <c r="E110" s="5">
        <f t="shared" si="1"/>
        <v>49500</v>
      </c>
      <c r="F110" s="77">
        <f t="shared" si="2"/>
        <v>8415</v>
      </c>
      <c r="G110" s="77">
        <f t="shared" si="3"/>
        <v>8078.4</v>
      </c>
      <c r="H110" s="77">
        <f>'Energy Usage'!O282</f>
        <v>17.001802572967385</v>
      </c>
      <c r="I110" s="77">
        <f t="shared" si="4"/>
        <v>4722.7229369353845</v>
      </c>
      <c r="J110" s="77">
        <f t="shared" si="5"/>
        <v>4919.5030593076926</v>
      </c>
      <c r="K110" s="77">
        <f t="shared" si="7"/>
        <v>14000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x14ac:dyDescent="0.45">
      <c r="A111" s="127">
        <f t="shared" si="6"/>
        <v>91</v>
      </c>
      <c r="B111" s="193" t="s">
        <v>221</v>
      </c>
      <c r="C111" s="127">
        <v>29</v>
      </c>
      <c r="D111" s="77">
        <f t="shared" si="0"/>
        <v>12.5</v>
      </c>
      <c r="E111" s="5">
        <f t="shared" si="1"/>
        <v>49500</v>
      </c>
      <c r="F111" s="77">
        <f t="shared" si="2"/>
        <v>8415</v>
      </c>
      <c r="G111" s="77">
        <f t="shared" si="3"/>
        <v>8078.4</v>
      </c>
      <c r="H111" s="77">
        <f>'Energy Usage'!O283</f>
        <v>9.3839366458562399</v>
      </c>
      <c r="I111" s="77">
        <f t="shared" si="4"/>
        <v>2606.6490682934</v>
      </c>
      <c r="J111" s="77">
        <f t="shared" si="5"/>
        <v>2715.2594461389585</v>
      </c>
      <c r="K111" s="77">
        <f t="shared" si="7"/>
        <v>14000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x14ac:dyDescent="0.45">
      <c r="A112" s="127">
        <f t="shared" si="6"/>
        <v>92</v>
      </c>
      <c r="B112" s="193" t="s">
        <v>221</v>
      </c>
      <c r="C112" s="127">
        <v>30</v>
      </c>
      <c r="D112" s="77">
        <f t="shared" si="0"/>
        <v>12.5</v>
      </c>
      <c r="E112" s="5">
        <f t="shared" si="1"/>
        <v>49500</v>
      </c>
      <c r="F112" s="77">
        <f t="shared" si="2"/>
        <v>8415</v>
      </c>
      <c r="G112" s="77">
        <f t="shared" si="3"/>
        <v>8078.4</v>
      </c>
      <c r="H112" s="77">
        <f>'Energy Usage'!O284</f>
        <v>3.1103999999999998</v>
      </c>
      <c r="I112" s="77">
        <f t="shared" si="4"/>
        <v>863.99999999999989</v>
      </c>
      <c r="J112" s="77">
        <f t="shared" si="5"/>
        <v>899.99999999999989</v>
      </c>
      <c r="K112" s="77">
        <f t="shared" si="7"/>
        <v>14000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x14ac:dyDescent="0.45">
      <c r="A113" s="127">
        <f t="shared" si="6"/>
        <v>93</v>
      </c>
      <c r="B113" s="193" t="s">
        <v>224</v>
      </c>
      <c r="C113" s="127">
        <v>1</v>
      </c>
      <c r="D113" s="77">
        <f t="shared" si="0"/>
        <v>10.75</v>
      </c>
      <c r="E113" s="5">
        <f t="shared" si="1"/>
        <v>42570</v>
      </c>
      <c r="F113" s="77">
        <f t="shared" si="2"/>
        <v>7236.9000000000005</v>
      </c>
      <c r="G113" s="77">
        <f t="shared" si="3"/>
        <v>6947.424</v>
      </c>
      <c r="H113" s="77">
        <f>'Energy Usage'!O285</f>
        <v>3.1103999999999998</v>
      </c>
      <c r="I113" s="77">
        <f t="shared" si="4"/>
        <v>863.99999999999989</v>
      </c>
      <c r="J113" s="77">
        <f t="shared" si="5"/>
        <v>899.99999999999989</v>
      </c>
      <c r="K113" s="77">
        <f t="shared" si="7"/>
        <v>14000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x14ac:dyDescent="0.45">
      <c r="A114" s="127">
        <f t="shared" si="6"/>
        <v>94</v>
      </c>
      <c r="B114" s="193" t="s">
        <v>224</v>
      </c>
      <c r="C114" s="127">
        <v>2</v>
      </c>
      <c r="D114" s="77">
        <f t="shared" si="0"/>
        <v>10.75</v>
      </c>
      <c r="E114" s="5">
        <f t="shared" si="1"/>
        <v>42570</v>
      </c>
      <c r="F114" s="77">
        <f t="shared" si="2"/>
        <v>7236.9000000000005</v>
      </c>
      <c r="G114" s="77">
        <f t="shared" si="3"/>
        <v>6947.424</v>
      </c>
      <c r="H114" s="77">
        <f>'Energy Usage'!O286</f>
        <v>3.1103999999999998</v>
      </c>
      <c r="I114" s="77">
        <f t="shared" si="4"/>
        <v>863.99999999999989</v>
      </c>
      <c r="J114" s="77">
        <f t="shared" si="5"/>
        <v>899.99999999999989</v>
      </c>
      <c r="K114" s="77">
        <f t="shared" si="7"/>
        <v>14000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x14ac:dyDescent="0.45">
      <c r="A115" s="127">
        <f t="shared" si="6"/>
        <v>95</v>
      </c>
      <c r="B115" s="193" t="s">
        <v>224</v>
      </c>
      <c r="C115" s="127">
        <v>3</v>
      </c>
      <c r="D115" s="77">
        <f t="shared" si="0"/>
        <v>10.75</v>
      </c>
      <c r="E115" s="5">
        <f t="shared" si="1"/>
        <v>42570</v>
      </c>
      <c r="F115" s="77">
        <f t="shared" si="2"/>
        <v>7236.9000000000005</v>
      </c>
      <c r="G115" s="77">
        <f t="shared" si="3"/>
        <v>6947.424</v>
      </c>
      <c r="H115" s="77">
        <f>'Energy Usage'!O287</f>
        <v>28.571181841949024</v>
      </c>
      <c r="I115" s="77">
        <f t="shared" si="4"/>
        <v>7936.4394005413951</v>
      </c>
      <c r="J115" s="77">
        <f t="shared" si="5"/>
        <v>8267.1243755639534</v>
      </c>
      <c r="K115" s="77">
        <f t="shared" si="7"/>
        <v>14000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x14ac:dyDescent="0.45">
      <c r="A116" s="127">
        <f t="shared" si="6"/>
        <v>96</v>
      </c>
      <c r="B116" s="193" t="s">
        <v>224</v>
      </c>
      <c r="C116" s="127">
        <v>4</v>
      </c>
      <c r="D116" s="77">
        <f t="shared" si="0"/>
        <v>10.75</v>
      </c>
      <c r="E116" s="5">
        <f t="shared" si="1"/>
        <v>42570</v>
      </c>
      <c r="F116" s="77">
        <f t="shared" si="2"/>
        <v>7236.9000000000005</v>
      </c>
      <c r="G116" s="77">
        <f t="shared" si="3"/>
        <v>6947.424</v>
      </c>
      <c r="H116" s="77">
        <f>'Energy Usage'!O288</f>
        <v>9.8320464062745412</v>
      </c>
      <c r="I116" s="77">
        <f t="shared" si="4"/>
        <v>2731.1240017429282</v>
      </c>
      <c r="J116" s="77">
        <f t="shared" si="5"/>
        <v>2844.9208351488837</v>
      </c>
      <c r="K116" s="77">
        <f t="shared" si="7"/>
        <v>12680.299624436046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x14ac:dyDescent="0.45">
      <c r="A117" s="127">
        <f t="shared" si="6"/>
        <v>97</v>
      </c>
      <c r="B117" s="193" t="s">
        <v>224</v>
      </c>
      <c r="C117" s="127">
        <v>5</v>
      </c>
      <c r="D117" s="77">
        <f t="shared" si="0"/>
        <v>10.75</v>
      </c>
      <c r="E117" s="5">
        <f t="shared" si="1"/>
        <v>42570</v>
      </c>
      <c r="F117" s="77">
        <f t="shared" si="2"/>
        <v>7236.9000000000005</v>
      </c>
      <c r="G117" s="77">
        <f t="shared" si="3"/>
        <v>6947.424</v>
      </c>
      <c r="H117" s="77">
        <f>'Energy Usage'!O289</f>
        <v>13.416924489620964</v>
      </c>
      <c r="I117" s="77">
        <f t="shared" si="4"/>
        <v>3726.9234693391568</v>
      </c>
      <c r="J117" s="77">
        <f t="shared" si="5"/>
        <v>3882.2119472282884</v>
      </c>
      <c r="K117" s="77">
        <f t="shared" si="7"/>
        <v>14000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x14ac:dyDescent="0.45">
      <c r="A118" s="127">
        <f t="shared" si="6"/>
        <v>98</v>
      </c>
      <c r="B118" s="193" t="s">
        <v>224</v>
      </c>
      <c r="C118" s="127">
        <v>6</v>
      </c>
      <c r="D118" s="77">
        <f t="shared" si="0"/>
        <v>10.75</v>
      </c>
      <c r="E118" s="5">
        <f t="shared" si="1"/>
        <v>42570</v>
      </c>
      <c r="F118" s="77">
        <f t="shared" si="2"/>
        <v>7236.9000000000005</v>
      </c>
      <c r="G118" s="77">
        <f t="shared" si="3"/>
        <v>6947.424</v>
      </c>
      <c r="H118" s="77">
        <f>'Energy Usage'!O290</f>
        <v>3.5585097604183029</v>
      </c>
      <c r="I118" s="77">
        <f t="shared" si="4"/>
        <v>988.47493344952852</v>
      </c>
      <c r="J118" s="77">
        <f t="shared" si="5"/>
        <v>1029.6613890099256</v>
      </c>
      <c r="K118" s="77">
        <f t="shared" si="7"/>
        <v>14000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x14ac:dyDescent="0.45">
      <c r="A119" s="127">
        <f t="shared" si="6"/>
        <v>99</v>
      </c>
      <c r="B119" s="193" t="s">
        <v>224</v>
      </c>
      <c r="C119" s="127">
        <v>7</v>
      </c>
      <c r="D119" s="77">
        <f t="shared" si="0"/>
        <v>10.75</v>
      </c>
      <c r="E119" s="5">
        <f t="shared" si="1"/>
        <v>42570</v>
      </c>
      <c r="F119" s="77">
        <f t="shared" si="2"/>
        <v>7236.9000000000005</v>
      </c>
      <c r="G119" s="77">
        <f t="shared" si="3"/>
        <v>6947.424</v>
      </c>
      <c r="H119" s="77">
        <f>'Energy Usage'!O291</f>
        <v>3.1103999999999998</v>
      </c>
      <c r="I119" s="77">
        <f t="shared" si="4"/>
        <v>863.99999999999989</v>
      </c>
      <c r="J119" s="77">
        <f t="shared" si="5"/>
        <v>899.99999999999989</v>
      </c>
      <c r="K119" s="77">
        <f t="shared" si="7"/>
        <v>14000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x14ac:dyDescent="0.45">
      <c r="A120" s="127">
        <f t="shared" si="6"/>
        <v>100</v>
      </c>
      <c r="B120" s="193" t="s">
        <v>224</v>
      </c>
      <c r="C120" s="127">
        <v>8</v>
      </c>
      <c r="D120" s="77">
        <f t="shared" si="0"/>
        <v>10.75</v>
      </c>
      <c r="E120" s="5">
        <f t="shared" si="1"/>
        <v>42570</v>
      </c>
      <c r="F120" s="77">
        <f t="shared" si="2"/>
        <v>7236.9000000000005</v>
      </c>
      <c r="G120" s="77">
        <f t="shared" si="3"/>
        <v>6947.424</v>
      </c>
      <c r="H120" s="77">
        <f>'Energy Usage'!O292</f>
        <v>4.6787841614640602</v>
      </c>
      <c r="I120" s="77">
        <f t="shared" si="4"/>
        <v>1299.66226707335</v>
      </c>
      <c r="J120" s="77">
        <f t="shared" si="5"/>
        <v>1353.8148615347395</v>
      </c>
      <c r="K120" s="77">
        <f t="shared" si="7"/>
        <v>14000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x14ac:dyDescent="0.45">
      <c r="A121" s="127">
        <f t="shared" si="6"/>
        <v>101</v>
      </c>
      <c r="B121" s="193" t="s">
        <v>224</v>
      </c>
      <c r="C121" s="127">
        <v>9</v>
      </c>
      <c r="D121" s="77">
        <f t="shared" si="0"/>
        <v>10.75</v>
      </c>
      <c r="E121" s="5">
        <f t="shared" si="1"/>
        <v>42570</v>
      </c>
      <c r="F121" s="77">
        <f t="shared" si="2"/>
        <v>7236.9000000000005</v>
      </c>
      <c r="G121" s="77">
        <f t="shared" si="3"/>
        <v>6947.424</v>
      </c>
      <c r="H121" s="77">
        <f>'Energy Usage'!O293</f>
        <v>5.1268939218823615</v>
      </c>
      <c r="I121" s="77">
        <f t="shared" si="4"/>
        <v>1424.1372005228782</v>
      </c>
      <c r="J121" s="77">
        <f t="shared" si="5"/>
        <v>1483.4762505446647</v>
      </c>
      <c r="K121" s="77">
        <f t="shared" si="7"/>
        <v>14000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x14ac:dyDescent="0.45">
      <c r="A122" s="127">
        <f t="shared" si="6"/>
        <v>102</v>
      </c>
      <c r="B122" s="193" t="s">
        <v>224</v>
      </c>
      <c r="C122" s="127">
        <v>10</v>
      </c>
      <c r="D122" s="77">
        <f t="shared" si="0"/>
        <v>10.75</v>
      </c>
      <c r="E122" s="5">
        <f t="shared" si="1"/>
        <v>42570</v>
      </c>
      <c r="F122" s="77">
        <f t="shared" si="2"/>
        <v>7236.9000000000005</v>
      </c>
      <c r="G122" s="77">
        <f t="shared" si="3"/>
        <v>6947.424</v>
      </c>
      <c r="H122" s="77">
        <f>'Energy Usage'!O294</f>
        <v>23.051284338614472</v>
      </c>
      <c r="I122" s="77">
        <f t="shared" si="4"/>
        <v>6403.1345385040204</v>
      </c>
      <c r="J122" s="77">
        <f t="shared" si="5"/>
        <v>6669.9318109416881</v>
      </c>
      <c r="K122" s="77">
        <f t="shared" si="7"/>
        <v>14000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x14ac:dyDescent="0.45">
      <c r="A123" s="127">
        <f t="shared" si="6"/>
        <v>103</v>
      </c>
      <c r="B123" s="193" t="s">
        <v>224</v>
      </c>
      <c r="C123" s="127">
        <v>11</v>
      </c>
      <c r="D123" s="77">
        <f t="shared" si="0"/>
        <v>10.75</v>
      </c>
      <c r="E123" s="5">
        <f t="shared" si="1"/>
        <v>42570</v>
      </c>
      <c r="F123" s="77">
        <f t="shared" si="2"/>
        <v>7236.9000000000005</v>
      </c>
      <c r="G123" s="77">
        <f t="shared" si="3"/>
        <v>6947.424</v>
      </c>
      <c r="H123" s="77">
        <f>'Energy Usage'!O295</f>
        <v>20.362625776104657</v>
      </c>
      <c r="I123" s="77">
        <f t="shared" si="4"/>
        <v>5656.2849378068495</v>
      </c>
      <c r="J123" s="77">
        <f t="shared" si="5"/>
        <v>5891.9634768821352</v>
      </c>
      <c r="K123" s="77">
        <f t="shared" si="7"/>
        <v>14000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x14ac:dyDescent="0.45">
      <c r="A124" s="127">
        <f t="shared" si="6"/>
        <v>104</v>
      </c>
      <c r="B124" s="193" t="s">
        <v>224</v>
      </c>
      <c r="C124" s="127">
        <v>12</v>
      </c>
      <c r="D124" s="77">
        <f t="shared" si="0"/>
        <v>10.75</v>
      </c>
      <c r="E124" s="5">
        <f t="shared" si="1"/>
        <v>42570</v>
      </c>
      <c r="F124" s="77">
        <f t="shared" si="2"/>
        <v>7236.9000000000005</v>
      </c>
      <c r="G124" s="77">
        <f t="shared" si="3"/>
        <v>6947.424</v>
      </c>
      <c r="H124" s="77">
        <f>'Energy Usage'!O296</f>
        <v>28.571181841949024</v>
      </c>
      <c r="I124" s="77">
        <f t="shared" si="4"/>
        <v>7936.4394005413951</v>
      </c>
      <c r="J124" s="77">
        <f t="shared" si="5"/>
        <v>8267.1243755639534</v>
      </c>
      <c r="K124" s="77">
        <f t="shared" si="7"/>
        <v>14000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x14ac:dyDescent="0.45">
      <c r="A125" s="127">
        <f t="shared" si="6"/>
        <v>105</v>
      </c>
      <c r="B125" s="193" t="s">
        <v>224</v>
      </c>
      <c r="C125" s="127">
        <v>13</v>
      </c>
      <c r="D125" s="77">
        <f t="shared" si="0"/>
        <v>10.75</v>
      </c>
      <c r="E125" s="5">
        <f t="shared" si="1"/>
        <v>42570</v>
      </c>
      <c r="F125" s="77">
        <f t="shared" si="2"/>
        <v>7236.9000000000005</v>
      </c>
      <c r="G125" s="77">
        <f t="shared" si="3"/>
        <v>6947.424</v>
      </c>
      <c r="H125" s="77">
        <f>'Energy Usage'!O297</f>
        <v>28.571181841949024</v>
      </c>
      <c r="I125" s="77">
        <f t="shared" si="4"/>
        <v>7936.4394005413951</v>
      </c>
      <c r="J125" s="77">
        <f t="shared" si="5"/>
        <v>8267.1243755639534</v>
      </c>
      <c r="K125" s="77">
        <f t="shared" si="7"/>
        <v>12680.299624436046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x14ac:dyDescent="0.45">
      <c r="A126" s="127">
        <f t="shared" si="6"/>
        <v>106</v>
      </c>
      <c r="B126" s="193" t="s">
        <v>224</v>
      </c>
      <c r="C126" s="127">
        <v>14</v>
      </c>
      <c r="D126" s="77">
        <f t="shared" si="0"/>
        <v>10.75</v>
      </c>
      <c r="E126" s="5">
        <f t="shared" si="1"/>
        <v>42570</v>
      </c>
      <c r="F126" s="77">
        <f t="shared" si="2"/>
        <v>7236.9000000000005</v>
      </c>
      <c r="G126" s="77">
        <f t="shared" si="3"/>
        <v>6947.424</v>
      </c>
      <c r="H126" s="77">
        <f>'Energy Usage'!O298</f>
        <v>28.571181841949024</v>
      </c>
      <c r="I126" s="77">
        <f t="shared" si="4"/>
        <v>7936.4394005413951</v>
      </c>
      <c r="J126" s="77">
        <f t="shared" si="5"/>
        <v>8267.1243755639534</v>
      </c>
      <c r="K126" s="77">
        <f t="shared" si="7"/>
        <v>11360.599248872093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x14ac:dyDescent="0.45">
      <c r="A127" s="127">
        <f t="shared" si="6"/>
        <v>107</v>
      </c>
      <c r="B127" s="193" t="s">
        <v>224</v>
      </c>
      <c r="C127" s="127">
        <v>15</v>
      </c>
      <c r="D127" s="77">
        <f t="shared" si="0"/>
        <v>10.75</v>
      </c>
      <c r="E127" s="5">
        <f t="shared" si="1"/>
        <v>42570</v>
      </c>
      <c r="F127" s="77">
        <f t="shared" si="2"/>
        <v>7236.9000000000005</v>
      </c>
      <c r="G127" s="77">
        <f t="shared" si="3"/>
        <v>6947.424</v>
      </c>
      <c r="H127" s="77">
        <f>'Energy Usage'!O299</f>
        <v>10.280156166692848</v>
      </c>
      <c r="I127" s="77">
        <f t="shared" si="4"/>
        <v>2855.5989351924577</v>
      </c>
      <c r="J127" s="77">
        <f t="shared" si="5"/>
        <v>2974.5822241588103</v>
      </c>
      <c r="K127" s="77">
        <f t="shared" si="7"/>
        <v>10040.898873308141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x14ac:dyDescent="0.45">
      <c r="A128" s="127">
        <f t="shared" si="6"/>
        <v>108</v>
      </c>
      <c r="B128" s="193" t="s">
        <v>224</v>
      </c>
      <c r="C128" s="127">
        <v>16</v>
      </c>
      <c r="D128" s="77">
        <f t="shared" si="0"/>
        <v>10.75</v>
      </c>
      <c r="E128" s="5">
        <f t="shared" si="1"/>
        <v>42570</v>
      </c>
      <c r="F128" s="77">
        <f t="shared" si="2"/>
        <v>7236.9000000000005</v>
      </c>
      <c r="G128" s="77">
        <f t="shared" si="3"/>
        <v>6947.424</v>
      </c>
      <c r="H128" s="77">
        <f>'Energy Usage'!O300</f>
        <v>22.379119697987022</v>
      </c>
      <c r="I128" s="77">
        <f t="shared" si="4"/>
        <v>6216.4221383297281</v>
      </c>
      <c r="J128" s="77">
        <f t="shared" si="5"/>
        <v>6475.4397274268003</v>
      </c>
      <c r="K128" s="77">
        <f t="shared" si="7"/>
        <v>14000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x14ac:dyDescent="0.45">
      <c r="A129" s="127">
        <f t="shared" si="6"/>
        <v>109</v>
      </c>
      <c r="B129" s="193" t="s">
        <v>224</v>
      </c>
      <c r="C129" s="127">
        <v>17</v>
      </c>
      <c r="D129" s="77">
        <f t="shared" si="0"/>
        <v>10.75</v>
      </c>
      <c r="E129" s="5">
        <f t="shared" si="1"/>
        <v>42570</v>
      </c>
      <c r="F129" s="77">
        <f t="shared" si="2"/>
        <v>7236.9000000000005</v>
      </c>
      <c r="G129" s="77">
        <f t="shared" si="3"/>
        <v>6947.424</v>
      </c>
      <c r="H129" s="77">
        <f>'Energy Usage'!O301</f>
        <v>28.571181841949024</v>
      </c>
      <c r="I129" s="77">
        <f t="shared" si="4"/>
        <v>7936.4394005413951</v>
      </c>
      <c r="J129" s="77">
        <f t="shared" si="5"/>
        <v>8267.1243755639534</v>
      </c>
      <c r="K129" s="77">
        <f t="shared" si="7"/>
        <v>14000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x14ac:dyDescent="0.45">
      <c r="A130" s="127">
        <f t="shared" si="6"/>
        <v>110</v>
      </c>
      <c r="B130" s="193" t="s">
        <v>224</v>
      </c>
      <c r="C130" s="127">
        <v>18</v>
      </c>
      <c r="D130" s="77">
        <f t="shared" si="0"/>
        <v>10.75</v>
      </c>
      <c r="E130" s="5">
        <f t="shared" si="1"/>
        <v>42570</v>
      </c>
      <c r="F130" s="77">
        <f t="shared" si="2"/>
        <v>7236.9000000000005</v>
      </c>
      <c r="G130" s="77">
        <f t="shared" si="3"/>
        <v>6947.424</v>
      </c>
      <c r="H130" s="77">
        <f>'Energy Usage'!O302</f>
        <v>21.931009937568721</v>
      </c>
      <c r="I130" s="77">
        <f t="shared" si="4"/>
        <v>6091.9472048801999</v>
      </c>
      <c r="J130" s="77">
        <f t="shared" si="5"/>
        <v>6345.7783384168752</v>
      </c>
      <c r="K130" s="77">
        <f t="shared" si="7"/>
        <v>12680.299624436046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x14ac:dyDescent="0.45">
      <c r="A131" s="127">
        <f t="shared" si="6"/>
        <v>111</v>
      </c>
      <c r="B131" s="193" t="s">
        <v>224</v>
      </c>
      <c r="C131" s="127">
        <v>19</v>
      </c>
      <c r="D131" s="77">
        <f t="shared" si="0"/>
        <v>10.75</v>
      </c>
      <c r="E131" s="5">
        <f t="shared" si="1"/>
        <v>42570</v>
      </c>
      <c r="F131" s="77">
        <f t="shared" si="2"/>
        <v>7236.9000000000005</v>
      </c>
      <c r="G131" s="77">
        <f t="shared" si="3"/>
        <v>6947.424</v>
      </c>
      <c r="H131" s="77">
        <f>'Energy Usage'!O303</f>
        <v>28.571181841949024</v>
      </c>
      <c r="I131" s="77">
        <f t="shared" si="4"/>
        <v>7936.4394005413951</v>
      </c>
      <c r="J131" s="77">
        <f t="shared" si="5"/>
        <v>8267.1243755639534</v>
      </c>
      <c r="K131" s="77">
        <f t="shared" si="7"/>
        <v>13281.94528601917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x14ac:dyDescent="0.45">
      <c r="A132" s="127">
        <f t="shared" si="6"/>
        <v>112</v>
      </c>
      <c r="B132" s="193" t="s">
        <v>224</v>
      </c>
      <c r="C132" s="127">
        <v>20</v>
      </c>
      <c r="D132" s="77">
        <f t="shared" si="0"/>
        <v>10.75</v>
      </c>
      <c r="E132" s="5">
        <f t="shared" si="1"/>
        <v>42570</v>
      </c>
      <c r="F132" s="77">
        <f t="shared" si="2"/>
        <v>7236.9000000000005</v>
      </c>
      <c r="G132" s="77">
        <f t="shared" si="3"/>
        <v>6947.424</v>
      </c>
      <c r="H132" s="77">
        <f>'Energy Usage'!O304</f>
        <v>15.209363531294182</v>
      </c>
      <c r="I132" s="77">
        <f t="shared" si="4"/>
        <v>4224.8232031372727</v>
      </c>
      <c r="J132" s="77">
        <f t="shared" si="5"/>
        <v>4400.8575032679928</v>
      </c>
      <c r="K132" s="77">
        <f t="shared" si="7"/>
        <v>11962.244910455216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x14ac:dyDescent="0.45">
      <c r="A133" s="127">
        <f t="shared" si="6"/>
        <v>113</v>
      </c>
      <c r="B133" s="193" t="s">
        <v>224</v>
      </c>
      <c r="C133" s="127">
        <v>21</v>
      </c>
      <c r="D133" s="77">
        <f t="shared" si="0"/>
        <v>10.75</v>
      </c>
      <c r="E133" s="5">
        <f t="shared" si="1"/>
        <v>42570</v>
      </c>
      <c r="F133" s="77">
        <f t="shared" si="2"/>
        <v>7236.9000000000005</v>
      </c>
      <c r="G133" s="77">
        <f t="shared" si="3"/>
        <v>6947.424</v>
      </c>
      <c r="H133" s="77">
        <f>'Energy Usage'!O305</f>
        <v>28.571181841949024</v>
      </c>
      <c r="I133" s="77">
        <f t="shared" si="4"/>
        <v>7936.4394005413951</v>
      </c>
      <c r="J133" s="77">
        <f t="shared" si="5"/>
        <v>8267.1243755639534</v>
      </c>
      <c r="K133" s="77">
        <f t="shared" si="7"/>
        <v>14000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x14ac:dyDescent="0.45">
      <c r="A134" s="127">
        <f t="shared" si="6"/>
        <v>114</v>
      </c>
      <c r="B134" s="193" t="s">
        <v>224</v>
      </c>
      <c r="C134" s="127">
        <v>22</v>
      </c>
      <c r="D134" s="77">
        <f t="shared" si="0"/>
        <v>10.75</v>
      </c>
      <c r="E134" s="5">
        <f t="shared" si="1"/>
        <v>42570</v>
      </c>
      <c r="F134" s="77">
        <f t="shared" si="2"/>
        <v>7236.9000000000005</v>
      </c>
      <c r="G134" s="77">
        <f t="shared" si="3"/>
        <v>6947.424</v>
      </c>
      <c r="H134" s="77">
        <f>'Energy Usage'!O306</f>
        <v>27.084272182379198</v>
      </c>
      <c r="I134" s="77">
        <f t="shared" si="4"/>
        <v>7523.4089395497767</v>
      </c>
      <c r="J134" s="77">
        <f t="shared" si="5"/>
        <v>7836.8843120310175</v>
      </c>
      <c r="K134" s="77">
        <f t="shared" si="7"/>
        <v>12680.299624436046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x14ac:dyDescent="0.45">
      <c r="A135" s="127">
        <f t="shared" si="6"/>
        <v>115</v>
      </c>
      <c r="B135" s="193" t="s">
        <v>224</v>
      </c>
      <c r="C135" s="127">
        <v>23</v>
      </c>
      <c r="D135" s="77">
        <f t="shared" si="0"/>
        <v>10.75</v>
      </c>
      <c r="E135" s="5">
        <f t="shared" si="1"/>
        <v>42570</v>
      </c>
      <c r="F135" s="77">
        <f t="shared" si="2"/>
        <v>7236.9000000000005</v>
      </c>
      <c r="G135" s="77">
        <f t="shared" si="3"/>
        <v>6947.424</v>
      </c>
      <c r="H135" s="77">
        <f>'Energy Usage'!O307</f>
        <v>13.640979369830116</v>
      </c>
      <c r="I135" s="77">
        <f t="shared" si="4"/>
        <v>3789.1609360639213</v>
      </c>
      <c r="J135" s="77">
        <f t="shared" si="5"/>
        <v>3947.0426417332515</v>
      </c>
      <c r="K135" s="77">
        <f t="shared" si="7"/>
        <v>11790.839312405029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x14ac:dyDescent="0.45">
      <c r="A136" s="127">
        <f t="shared" si="6"/>
        <v>116</v>
      </c>
      <c r="B136" s="193" t="s">
        <v>224</v>
      </c>
      <c r="C136" s="127">
        <v>24</v>
      </c>
      <c r="D136" s="77">
        <f t="shared" si="0"/>
        <v>10.75</v>
      </c>
      <c r="E136" s="5">
        <f t="shared" si="1"/>
        <v>42570</v>
      </c>
      <c r="F136" s="77">
        <f t="shared" si="2"/>
        <v>7236.9000000000005</v>
      </c>
      <c r="G136" s="77">
        <f t="shared" si="3"/>
        <v>6947.424</v>
      </c>
      <c r="H136" s="77">
        <f>'Energy Usage'!O308</f>
        <v>4.9028390416732117</v>
      </c>
      <c r="I136" s="77">
        <f t="shared" si="4"/>
        <v>1361.8997337981143</v>
      </c>
      <c r="J136" s="77">
        <f t="shared" si="5"/>
        <v>1418.6455560397026</v>
      </c>
      <c r="K136" s="77">
        <f t="shared" si="7"/>
        <v>14000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x14ac:dyDescent="0.45">
      <c r="A137" s="127">
        <f t="shared" si="6"/>
        <v>117</v>
      </c>
      <c r="B137" s="193" t="s">
        <v>224</v>
      </c>
      <c r="C137" s="127">
        <v>25</v>
      </c>
      <c r="D137" s="77">
        <f t="shared" si="0"/>
        <v>10.75</v>
      </c>
      <c r="E137" s="5">
        <f t="shared" si="1"/>
        <v>42570</v>
      </c>
      <c r="F137" s="77">
        <f t="shared" si="2"/>
        <v>7236.9000000000005</v>
      </c>
      <c r="G137" s="77">
        <f t="shared" si="3"/>
        <v>6947.424</v>
      </c>
      <c r="H137" s="77">
        <f>'Energy Usage'!O309</f>
        <v>27.532381942797503</v>
      </c>
      <c r="I137" s="77">
        <f t="shared" si="4"/>
        <v>7647.8838729993058</v>
      </c>
      <c r="J137" s="77">
        <f t="shared" si="5"/>
        <v>7966.5457010409436</v>
      </c>
      <c r="K137" s="77">
        <f t="shared" si="7"/>
        <v>14000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x14ac:dyDescent="0.45">
      <c r="A138" s="127">
        <f t="shared" si="6"/>
        <v>118</v>
      </c>
      <c r="B138" s="193" t="s">
        <v>224</v>
      </c>
      <c r="C138" s="127">
        <v>26</v>
      </c>
      <c r="D138" s="77">
        <f t="shared" si="0"/>
        <v>10.75</v>
      </c>
      <c r="E138" s="5">
        <f t="shared" si="1"/>
        <v>42570</v>
      </c>
      <c r="F138" s="77">
        <f t="shared" si="2"/>
        <v>7236.9000000000005</v>
      </c>
      <c r="G138" s="77">
        <f t="shared" si="3"/>
        <v>6947.424</v>
      </c>
      <c r="H138" s="77">
        <f>'Energy Usage'!O310</f>
        <v>5.7990585625098161</v>
      </c>
      <c r="I138" s="77">
        <f t="shared" si="4"/>
        <v>1610.8496006971711</v>
      </c>
      <c r="J138" s="77">
        <f t="shared" si="5"/>
        <v>1677.9683340595534</v>
      </c>
      <c r="K138" s="77">
        <f t="shared" si="7"/>
        <v>12980.878298959055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x14ac:dyDescent="0.45">
      <c r="A139" s="127">
        <f t="shared" si="6"/>
        <v>119</v>
      </c>
      <c r="B139" s="193" t="s">
        <v>224</v>
      </c>
      <c r="C139" s="127">
        <v>27</v>
      </c>
      <c r="D139" s="77">
        <f t="shared" si="0"/>
        <v>10.75</v>
      </c>
      <c r="E139" s="5">
        <f t="shared" si="1"/>
        <v>42570</v>
      </c>
      <c r="F139" s="77">
        <f t="shared" si="2"/>
        <v>7236.9000000000005</v>
      </c>
      <c r="G139" s="77">
        <f t="shared" si="3"/>
        <v>6947.424</v>
      </c>
      <c r="H139" s="77">
        <f>'Energy Usage'!O311</f>
        <v>28.571181841949024</v>
      </c>
      <c r="I139" s="77">
        <f t="shared" si="4"/>
        <v>7936.4394005413951</v>
      </c>
      <c r="J139" s="77">
        <f t="shared" si="5"/>
        <v>8267.1243755639534</v>
      </c>
      <c r="K139" s="77">
        <f t="shared" si="7"/>
        <v>14000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x14ac:dyDescent="0.45">
      <c r="A140" s="127">
        <f t="shared" si="6"/>
        <v>120</v>
      </c>
      <c r="B140" s="193" t="s">
        <v>224</v>
      </c>
      <c r="C140" s="127">
        <v>28</v>
      </c>
      <c r="D140" s="77">
        <f t="shared" si="0"/>
        <v>10.75</v>
      </c>
      <c r="E140" s="5">
        <f t="shared" si="1"/>
        <v>42570</v>
      </c>
      <c r="F140" s="77">
        <f t="shared" si="2"/>
        <v>7236.9000000000005</v>
      </c>
      <c r="G140" s="77">
        <f t="shared" si="3"/>
        <v>6947.424</v>
      </c>
      <c r="H140" s="77">
        <f>'Energy Usage'!O312</f>
        <v>28.571181841949024</v>
      </c>
      <c r="I140" s="77">
        <f t="shared" si="4"/>
        <v>7936.4394005413951</v>
      </c>
      <c r="J140" s="77">
        <f t="shared" si="5"/>
        <v>8267.1243755639534</v>
      </c>
      <c r="K140" s="77">
        <f t="shared" si="7"/>
        <v>12680.299624436046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x14ac:dyDescent="0.45">
      <c r="A141" s="127">
        <f t="shared" si="6"/>
        <v>121</v>
      </c>
      <c r="B141" s="193" t="s">
        <v>224</v>
      </c>
      <c r="C141" s="127">
        <v>29</v>
      </c>
      <c r="D141" s="77">
        <f t="shared" si="0"/>
        <v>10.75</v>
      </c>
      <c r="E141" s="5">
        <f t="shared" si="1"/>
        <v>42570</v>
      </c>
      <c r="F141" s="77">
        <f t="shared" si="2"/>
        <v>7236.9000000000005</v>
      </c>
      <c r="G141" s="77">
        <f t="shared" si="3"/>
        <v>6947.424</v>
      </c>
      <c r="H141" s="77">
        <f>'Energy Usage'!O313</f>
        <v>10.9523208073203</v>
      </c>
      <c r="I141" s="77">
        <f t="shared" si="4"/>
        <v>3042.31133536675</v>
      </c>
      <c r="J141" s="77">
        <f t="shared" si="5"/>
        <v>3169.0743076736981</v>
      </c>
      <c r="K141" s="77">
        <f t="shared" si="7"/>
        <v>11360.599248872093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x14ac:dyDescent="0.45">
      <c r="A142" s="127">
        <f t="shared" si="6"/>
        <v>122</v>
      </c>
      <c r="B142" s="193" t="s">
        <v>224</v>
      </c>
      <c r="C142" s="127">
        <v>30</v>
      </c>
      <c r="D142" s="77">
        <f t="shared" si="0"/>
        <v>10.75</v>
      </c>
      <c r="E142" s="5">
        <f t="shared" si="1"/>
        <v>42570</v>
      </c>
      <c r="F142" s="77">
        <f t="shared" si="2"/>
        <v>7236.9000000000005</v>
      </c>
      <c r="G142" s="77">
        <f t="shared" si="3"/>
        <v>6947.424</v>
      </c>
      <c r="H142" s="77">
        <f>'Energy Usage'!O314</f>
        <v>13.192869609411812</v>
      </c>
      <c r="I142" s="77">
        <f t="shared" si="4"/>
        <v>3664.6860026143922</v>
      </c>
      <c r="J142" s="77">
        <f t="shared" si="5"/>
        <v>3817.3812527233254</v>
      </c>
      <c r="K142" s="77">
        <f t="shared" si="7"/>
        <v>14000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x14ac:dyDescent="0.45">
      <c r="A143" s="127">
        <f t="shared" si="6"/>
        <v>123</v>
      </c>
      <c r="B143" s="193" t="s">
        <v>224</v>
      </c>
      <c r="C143" s="127">
        <v>31</v>
      </c>
      <c r="D143" s="77">
        <f t="shared" si="0"/>
        <v>10.75</v>
      </c>
      <c r="E143" s="5">
        <f t="shared" si="1"/>
        <v>42570</v>
      </c>
      <c r="F143" s="77">
        <f t="shared" si="2"/>
        <v>7236.9000000000005</v>
      </c>
      <c r="G143" s="77">
        <f t="shared" si="3"/>
        <v>6947.424</v>
      </c>
      <c r="H143" s="77">
        <f>'Energy Usage'!O315</f>
        <v>19.914516015686356</v>
      </c>
      <c r="I143" s="77">
        <f t="shared" si="4"/>
        <v>5531.8100043573213</v>
      </c>
      <c r="J143" s="77">
        <f t="shared" si="5"/>
        <v>5762.30208787221</v>
      </c>
      <c r="K143" s="77">
        <f t="shared" si="7"/>
        <v>14000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x14ac:dyDescent="0.45">
      <c r="A144" s="127">
        <f t="shared" si="6"/>
        <v>124</v>
      </c>
      <c r="B144" s="193" t="s">
        <v>225</v>
      </c>
      <c r="C144" s="127">
        <v>1</v>
      </c>
      <c r="D144" s="77">
        <f t="shared" si="0"/>
        <v>9</v>
      </c>
      <c r="E144" s="5">
        <f t="shared" si="1"/>
        <v>35640</v>
      </c>
      <c r="F144" s="77">
        <f t="shared" si="2"/>
        <v>6058.8</v>
      </c>
      <c r="G144" s="77">
        <f t="shared" si="3"/>
        <v>5816.4480000000003</v>
      </c>
      <c r="H144" s="77">
        <f>'Energy Usage'!O316</f>
        <v>10.280156166692848</v>
      </c>
      <c r="I144" s="77">
        <f t="shared" si="4"/>
        <v>2855.5989351924577</v>
      </c>
      <c r="J144" s="77">
        <f t="shared" si="5"/>
        <v>2974.5822241588103</v>
      </c>
      <c r="K144" s="77">
        <f t="shared" si="7"/>
        <v>14000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x14ac:dyDescent="0.45">
      <c r="A145" s="127">
        <f t="shared" si="6"/>
        <v>125</v>
      </c>
      <c r="B145" s="193" t="s">
        <v>225</v>
      </c>
      <c r="C145" s="127">
        <v>2</v>
      </c>
      <c r="D145" s="77">
        <f t="shared" si="0"/>
        <v>9</v>
      </c>
      <c r="E145" s="5">
        <f t="shared" si="1"/>
        <v>35640</v>
      </c>
      <c r="F145" s="77">
        <f t="shared" si="2"/>
        <v>6058.8</v>
      </c>
      <c r="G145" s="77">
        <f t="shared" si="3"/>
        <v>5816.4480000000003</v>
      </c>
      <c r="H145" s="77">
        <f>'Energy Usage'!O317</f>
        <v>28.571181841949024</v>
      </c>
      <c r="I145" s="77">
        <f t="shared" si="4"/>
        <v>7936.4394005413951</v>
      </c>
      <c r="J145" s="77">
        <f t="shared" si="5"/>
        <v>8267.1243755639534</v>
      </c>
      <c r="K145" s="77">
        <f t="shared" si="7"/>
        <v>14000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x14ac:dyDescent="0.45">
      <c r="A146" s="127">
        <f t="shared" si="6"/>
        <v>126</v>
      </c>
      <c r="B146" s="193" t="s">
        <v>225</v>
      </c>
      <c r="C146" s="127">
        <v>3</v>
      </c>
      <c r="D146" s="77">
        <f t="shared" si="0"/>
        <v>9</v>
      </c>
      <c r="E146" s="5">
        <f t="shared" si="1"/>
        <v>35640</v>
      </c>
      <c r="F146" s="77">
        <f t="shared" si="2"/>
        <v>6058.8</v>
      </c>
      <c r="G146" s="77">
        <f t="shared" si="3"/>
        <v>5816.4480000000003</v>
      </c>
      <c r="H146" s="77">
        <f>'Energy Usage'!O318</f>
        <v>28.571181841949024</v>
      </c>
      <c r="I146" s="77">
        <f t="shared" si="4"/>
        <v>7936.4394005413951</v>
      </c>
      <c r="J146" s="77">
        <f t="shared" si="5"/>
        <v>8267.1243755639534</v>
      </c>
      <c r="K146" s="77">
        <f t="shared" si="7"/>
        <v>11549.323624436047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x14ac:dyDescent="0.45">
      <c r="A147" s="127">
        <f t="shared" si="6"/>
        <v>127</v>
      </c>
      <c r="B147" s="193" t="s">
        <v>225</v>
      </c>
      <c r="C147" s="127">
        <v>4</v>
      </c>
      <c r="D147" s="77">
        <f t="shared" si="0"/>
        <v>9</v>
      </c>
      <c r="E147" s="5">
        <f t="shared" si="1"/>
        <v>35640</v>
      </c>
      <c r="F147" s="77">
        <f t="shared" si="2"/>
        <v>6058.8</v>
      </c>
      <c r="G147" s="77">
        <f t="shared" si="3"/>
        <v>5816.4480000000003</v>
      </c>
      <c r="H147" s="77">
        <f>'Energy Usage'!O319</f>
        <v>13.192869609411812</v>
      </c>
      <c r="I147" s="77">
        <f t="shared" si="4"/>
        <v>3664.6860026143922</v>
      </c>
      <c r="J147" s="77">
        <f t="shared" si="5"/>
        <v>3817.3812527233254</v>
      </c>
      <c r="K147" s="77">
        <f t="shared" si="7"/>
        <v>9098.6472488720956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x14ac:dyDescent="0.45">
      <c r="A148" s="127">
        <f t="shared" si="6"/>
        <v>128</v>
      </c>
      <c r="B148" s="193" t="s">
        <v>225</v>
      </c>
      <c r="C148" s="127">
        <v>5</v>
      </c>
      <c r="D148" s="77">
        <f t="shared" si="0"/>
        <v>9</v>
      </c>
      <c r="E148" s="5">
        <f t="shared" si="1"/>
        <v>35640</v>
      </c>
      <c r="F148" s="77">
        <f t="shared" si="2"/>
        <v>6058.8</v>
      </c>
      <c r="G148" s="77">
        <f t="shared" si="3"/>
        <v>5816.4480000000003</v>
      </c>
      <c r="H148" s="77">
        <f>'Energy Usage'!O320</f>
        <v>8.0396073646013324</v>
      </c>
      <c r="I148" s="77">
        <f t="shared" si="4"/>
        <v>2233.2242679448145</v>
      </c>
      <c r="J148" s="77">
        <f t="shared" si="5"/>
        <v>2326.2752791091821</v>
      </c>
      <c r="K148" s="77">
        <f t="shared" si="7"/>
        <v>11097.71399614877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x14ac:dyDescent="0.45">
      <c r="A149" s="127">
        <f t="shared" si="6"/>
        <v>129</v>
      </c>
      <c r="B149" s="193" t="s">
        <v>225</v>
      </c>
      <c r="C149" s="127">
        <v>6</v>
      </c>
      <c r="D149" s="77">
        <f t="shared" si="0"/>
        <v>9</v>
      </c>
      <c r="E149" s="5">
        <f t="shared" si="1"/>
        <v>35640</v>
      </c>
      <c r="F149" s="77">
        <f t="shared" si="2"/>
        <v>6058.8</v>
      </c>
      <c r="G149" s="77">
        <f t="shared" si="3"/>
        <v>5816.4480000000003</v>
      </c>
      <c r="H149" s="77">
        <f>'Energy Usage'!O321</f>
        <v>25.739942901124291</v>
      </c>
      <c r="I149" s="77">
        <f t="shared" si="4"/>
        <v>7149.9841392011913</v>
      </c>
      <c r="J149" s="77">
        <f t="shared" si="5"/>
        <v>7447.9001450012411</v>
      </c>
      <c r="K149" s="77">
        <f t="shared" si="7"/>
        <v>14000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x14ac:dyDescent="0.45">
      <c r="A150" s="127">
        <f t="shared" si="6"/>
        <v>130</v>
      </c>
      <c r="B150" s="193" t="s">
        <v>225</v>
      </c>
      <c r="C150" s="127">
        <v>7</v>
      </c>
      <c r="D150" s="77">
        <f t="shared" si="0"/>
        <v>9</v>
      </c>
      <c r="E150" s="5">
        <f t="shared" si="1"/>
        <v>35640</v>
      </c>
      <c r="F150" s="77">
        <f t="shared" si="2"/>
        <v>6058.8</v>
      </c>
      <c r="G150" s="77">
        <f t="shared" si="3"/>
        <v>5816.4480000000003</v>
      </c>
      <c r="H150" s="77">
        <f>'Energy Usage'!O322</f>
        <v>4.6787841614640602</v>
      </c>
      <c r="I150" s="77">
        <f t="shared" si="4"/>
        <v>1299.66226707335</v>
      </c>
      <c r="J150" s="77">
        <f t="shared" si="5"/>
        <v>1353.8148615347395</v>
      </c>
      <c r="K150" s="77">
        <f t="shared" si="7"/>
        <v>12368.54785499876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x14ac:dyDescent="0.45">
      <c r="A151" s="127">
        <f t="shared" si="6"/>
        <v>131</v>
      </c>
      <c r="B151" s="193" t="s">
        <v>225</v>
      </c>
      <c r="C151" s="127">
        <v>8</v>
      </c>
      <c r="D151" s="77">
        <f t="shared" si="0"/>
        <v>9</v>
      </c>
      <c r="E151" s="5">
        <f t="shared" si="1"/>
        <v>35640</v>
      </c>
      <c r="F151" s="77">
        <f t="shared" si="2"/>
        <v>6058.8</v>
      </c>
      <c r="G151" s="77">
        <f t="shared" si="3"/>
        <v>5816.4480000000003</v>
      </c>
      <c r="H151" s="77">
        <f>'Energy Usage'!O323</f>
        <v>28.571181841949024</v>
      </c>
      <c r="I151" s="77">
        <f t="shared" si="4"/>
        <v>7936.4394005413951</v>
      </c>
      <c r="J151" s="77">
        <f t="shared" si="5"/>
        <v>8267.1243755639534</v>
      </c>
      <c r="K151" s="77">
        <f t="shared" si="7"/>
        <v>14000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x14ac:dyDescent="0.45">
      <c r="A152" s="127">
        <f t="shared" si="6"/>
        <v>132</v>
      </c>
      <c r="B152" s="193" t="s">
        <v>225</v>
      </c>
      <c r="C152" s="127">
        <v>9</v>
      </c>
      <c r="D152" s="77">
        <f t="shared" si="0"/>
        <v>9</v>
      </c>
      <c r="E152" s="5">
        <f t="shared" si="1"/>
        <v>35640</v>
      </c>
      <c r="F152" s="77">
        <f t="shared" si="2"/>
        <v>6058.8</v>
      </c>
      <c r="G152" s="77">
        <f t="shared" si="3"/>
        <v>5816.4480000000003</v>
      </c>
      <c r="H152" s="77">
        <f>'Energy Usage'!O324</f>
        <v>3.1103999999999998</v>
      </c>
      <c r="I152" s="77">
        <f t="shared" si="4"/>
        <v>863.99999999999989</v>
      </c>
      <c r="J152" s="77">
        <f t="shared" si="5"/>
        <v>899.99999999999989</v>
      </c>
      <c r="K152" s="77">
        <f t="shared" si="7"/>
        <v>11549.323624436047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x14ac:dyDescent="0.45">
      <c r="A153" s="127">
        <f t="shared" si="6"/>
        <v>133</v>
      </c>
      <c r="B153" s="193" t="s">
        <v>225</v>
      </c>
      <c r="C153" s="127">
        <v>10</v>
      </c>
      <c r="D153" s="77">
        <f t="shared" si="0"/>
        <v>9</v>
      </c>
      <c r="E153" s="5">
        <f t="shared" si="1"/>
        <v>35640</v>
      </c>
      <c r="F153" s="77">
        <f t="shared" si="2"/>
        <v>6058.8</v>
      </c>
      <c r="G153" s="77">
        <f t="shared" si="3"/>
        <v>5816.4480000000003</v>
      </c>
      <c r="H153" s="77">
        <f>'Energy Usage'!O325</f>
        <v>3.1103999999999998</v>
      </c>
      <c r="I153" s="77">
        <f t="shared" si="4"/>
        <v>863.99999999999989</v>
      </c>
      <c r="J153" s="77">
        <f t="shared" si="5"/>
        <v>899.99999999999989</v>
      </c>
      <c r="K153" s="77">
        <f t="shared" si="7"/>
        <v>14000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x14ac:dyDescent="0.45">
      <c r="A154" s="127">
        <f t="shared" si="6"/>
        <v>134</v>
      </c>
      <c r="B154" s="193" t="s">
        <v>225</v>
      </c>
      <c r="C154" s="127">
        <v>11</v>
      </c>
      <c r="D154" s="77">
        <f t="shared" si="0"/>
        <v>9</v>
      </c>
      <c r="E154" s="5">
        <f t="shared" si="1"/>
        <v>35640</v>
      </c>
      <c r="F154" s="77">
        <f t="shared" si="2"/>
        <v>6058.8</v>
      </c>
      <c r="G154" s="77">
        <f t="shared" si="3"/>
        <v>5816.4480000000003</v>
      </c>
      <c r="H154" s="77">
        <f>'Energy Usage'!O326</f>
        <v>3.1103999999999998</v>
      </c>
      <c r="I154" s="77">
        <f t="shared" si="4"/>
        <v>863.99999999999989</v>
      </c>
      <c r="J154" s="77">
        <f t="shared" si="5"/>
        <v>899.99999999999989</v>
      </c>
      <c r="K154" s="77">
        <f t="shared" si="7"/>
        <v>14000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x14ac:dyDescent="0.45">
      <c r="A155" s="127">
        <f t="shared" si="6"/>
        <v>135</v>
      </c>
      <c r="B155" s="193" t="s">
        <v>225</v>
      </c>
      <c r="C155" s="127">
        <v>12</v>
      </c>
      <c r="D155" s="77">
        <f t="shared" si="0"/>
        <v>9</v>
      </c>
      <c r="E155" s="5">
        <f t="shared" si="1"/>
        <v>35640</v>
      </c>
      <c r="F155" s="77">
        <f t="shared" si="2"/>
        <v>6058.8</v>
      </c>
      <c r="G155" s="77">
        <f t="shared" si="3"/>
        <v>5816.4480000000003</v>
      </c>
      <c r="H155" s="77">
        <f>'Energy Usage'!O327</f>
        <v>3.1103999999999998</v>
      </c>
      <c r="I155" s="77">
        <f t="shared" si="4"/>
        <v>863.99999999999989</v>
      </c>
      <c r="J155" s="77">
        <f t="shared" si="5"/>
        <v>899.99999999999989</v>
      </c>
      <c r="K155" s="77">
        <f t="shared" si="7"/>
        <v>14000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x14ac:dyDescent="0.45">
      <c r="A156" s="127">
        <f t="shared" si="6"/>
        <v>136</v>
      </c>
      <c r="B156" s="193" t="s">
        <v>225</v>
      </c>
      <c r="C156" s="127">
        <v>13</v>
      </c>
      <c r="D156" s="77">
        <f t="shared" si="0"/>
        <v>9</v>
      </c>
      <c r="E156" s="5">
        <f t="shared" si="1"/>
        <v>35640</v>
      </c>
      <c r="F156" s="77">
        <f t="shared" si="2"/>
        <v>6058.8</v>
      </c>
      <c r="G156" s="77">
        <f t="shared" si="3"/>
        <v>5816.4480000000003</v>
      </c>
      <c r="H156" s="77">
        <f>'Energy Usage'!O328</f>
        <v>3.1103999999999998</v>
      </c>
      <c r="I156" s="77">
        <f t="shared" si="4"/>
        <v>863.99999999999989</v>
      </c>
      <c r="J156" s="77">
        <f t="shared" si="5"/>
        <v>899.99999999999989</v>
      </c>
      <c r="K156" s="77">
        <f t="shared" si="7"/>
        <v>14000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x14ac:dyDescent="0.45">
      <c r="A157" s="127">
        <f t="shared" si="6"/>
        <v>137</v>
      </c>
      <c r="B157" s="193" t="s">
        <v>225</v>
      </c>
      <c r="C157" s="127">
        <v>14</v>
      </c>
      <c r="D157" s="77">
        <f t="shared" si="0"/>
        <v>9</v>
      </c>
      <c r="E157" s="5">
        <f t="shared" si="1"/>
        <v>35640</v>
      </c>
      <c r="F157" s="77">
        <f t="shared" si="2"/>
        <v>6058.8</v>
      </c>
      <c r="G157" s="77">
        <f t="shared" si="3"/>
        <v>5816.4480000000003</v>
      </c>
      <c r="H157" s="77">
        <f>'Energy Usage'!O329</f>
        <v>3.1103999999999998</v>
      </c>
      <c r="I157" s="77">
        <f t="shared" si="4"/>
        <v>863.99999999999989</v>
      </c>
      <c r="J157" s="77">
        <f t="shared" si="5"/>
        <v>899.99999999999989</v>
      </c>
      <c r="K157" s="77">
        <f t="shared" si="7"/>
        <v>14000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x14ac:dyDescent="0.45">
      <c r="A158" s="127">
        <f t="shared" si="6"/>
        <v>138</v>
      </c>
      <c r="B158" s="193" t="s">
        <v>225</v>
      </c>
      <c r="C158" s="127">
        <v>15</v>
      </c>
      <c r="D158" s="77">
        <f t="shared" si="0"/>
        <v>9</v>
      </c>
      <c r="E158" s="5">
        <f t="shared" si="1"/>
        <v>35640</v>
      </c>
      <c r="F158" s="77">
        <f t="shared" si="2"/>
        <v>6058.8</v>
      </c>
      <c r="G158" s="77">
        <f t="shared" si="3"/>
        <v>5816.4480000000003</v>
      </c>
      <c r="H158" s="77">
        <f>'Energy Usage'!O330</f>
        <v>3.1103999999999998</v>
      </c>
      <c r="I158" s="77">
        <f t="shared" si="4"/>
        <v>863.99999999999989</v>
      </c>
      <c r="J158" s="77">
        <f t="shared" si="5"/>
        <v>899.99999999999989</v>
      </c>
      <c r="K158" s="77">
        <f t="shared" si="7"/>
        <v>14000</v>
      </c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x14ac:dyDescent="0.45">
      <c r="A159" s="127">
        <f t="shared" si="6"/>
        <v>139</v>
      </c>
      <c r="B159" s="193" t="s">
        <v>225</v>
      </c>
      <c r="C159" s="127">
        <v>16</v>
      </c>
      <c r="D159" s="77">
        <f t="shared" si="0"/>
        <v>9</v>
      </c>
      <c r="E159" s="5">
        <f t="shared" si="1"/>
        <v>35640</v>
      </c>
      <c r="F159" s="77">
        <f t="shared" si="2"/>
        <v>6058.8</v>
      </c>
      <c r="G159" s="77">
        <f t="shared" si="3"/>
        <v>5816.4480000000003</v>
      </c>
      <c r="H159" s="77">
        <f>'Energy Usage'!O331</f>
        <v>3.1103999999999998</v>
      </c>
      <c r="I159" s="77">
        <f t="shared" si="4"/>
        <v>863.99999999999989</v>
      </c>
      <c r="J159" s="77">
        <f t="shared" si="5"/>
        <v>899.99999999999989</v>
      </c>
      <c r="K159" s="77">
        <f t="shared" si="7"/>
        <v>14000</v>
      </c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x14ac:dyDescent="0.45">
      <c r="A160" s="127">
        <f t="shared" si="6"/>
        <v>140</v>
      </c>
      <c r="B160" s="193" t="s">
        <v>225</v>
      </c>
      <c r="C160" s="127">
        <v>17</v>
      </c>
      <c r="D160" s="77">
        <f t="shared" si="0"/>
        <v>9</v>
      </c>
      <c r="E160" s="5">
        <f t="shared" si="1"/>
        <v>35640</v>
      </c>
      <c r="F160" s="77">
        <f t="shared" si="2"/>
        <v>6058.8</v>
      </c>
      <c r="G160" s="77">
        <f t="shared" si="3"/>
        <v>5816.4480000000003</v>
      </c>
      <c r="H160" s="77">
        <f>'Energy Usage'!O332</f>
        <v>3.1103999999999998</v>
      </c>
      <c r="I160" s="77">
        <f t="shared" si="4"/>
        <v>863.99999999999989</v>
      </c>
      <c r="J160" s="77">
        <f t="shared" si="5"/>
        <v>899.99999999999989</v>
      </c>
      <c r="K160" s="77">
        <f t="shared" si="7"/>
        <v>14000</v>
      </c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x14ac:dyDescent="0.45">
      <c r="A161" s="127">
        <f t="shared" si="6"/>
        <v>141</v>
      </c>
      <c r="B161" s="193" t="s">
        <v>225</v>
      </c>
      <c r="C161" s="127">
        <v>18</v>
      </c>
      <c r="D161" s="77">
        <f t="shared" si="0"/>
        <v>9</v>
      </c>
      <c r="E161" s="5">
        <f t="shared" si="1"/>
        <v>35640</v>
      </c>
      <c r="F161" s="77">
        <f t="shared" si="2"/>
        <v>6058.8</v>
      </c>
      <c r="G161" s="77">
        <f t="shared" si="3"/>
        <v>5816.4480000000003</v>
      </c>
      <c r="H161" s="77">
        <f>'Energy Usage'!O333</f>
        <v>3.1103999999999998</v>
      </c>
      <c r="I161" s="77">
        <f t="shared" si="4"/>
        <v>863.99999999999989</v>
      </c>
      <c r="J161" s="77">
        <f t="shared" si="5"/>
        <v>899.99999999999989</v>
      </c>
      <c r="K161" s="77">
        <f t="shared" si="7"/>
        <v>14000</v>
      </c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x14ac:dyDescent="0.45">
      <c r="A162" s="127">
        <f t="shared" si="6"/>
        <v>142</v>
      </c>
      <c r="B162" s="193" t="s">
        <v>225</v>
      </c>
      <c r="C162" s="127">
        <v>19</v>
      </c>
      <c r="D162" s="77">
        <f t="shared" si="0"/>
        <v>9</v>
      </c>
      <c r="E162" s="5">
        <f t="shared" si="1"/>
        <v>35640</v>
      </c>
      <c r="F162" s="77">
        <f t="shared" si="2"/>
        <v>6058.8</v>
      </c>
      <c r="G162" s="77">
        <f t="shared" si="3"/>
        <v>5816.4480000000003</v>
      </c>
      <c r="H162" s="77">
        <f>'Energy Usage'!O334</f>
        <v>6.9193329635555738</v>
      </c>
      <c r="I162" s="77">
        <f t="shared" si="4"/>
        <v>1922.0369343209927</v>
      </c>
      <c r="J162" s="77">
        <f t="shared" si="5"/>
        <v>2002.1218065843675</v>
      </c>
      <c r="K162" s="77">
        <f t="shared" si="7"/>
        <v>14000</v>
      </c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x14ac:dyDescent="0.45">
      <c r="A163" s="127">
        <f t="shared" si="6"/>
        <v>143</v>
      </c>
      <c r="B163" s="193" t="s">
        <v>225</v>
      </c>
      <c r="C163" s="127">
        <v>20</v>
      </c>
      <c r="D163" s="77">
        <f t="shared" si="0"/>
        <v>9</v>
      </c>
      <c r="E163" s="5">
        <f t="shared" si="1"/>
        <v>35640</v>
      </c>
      <c r="F163" s="77">
        <f t="shared" si="2"/>
        <v>6058.8</v>
      </c>
      <c r="G163" s="77">
        <f t="shared" si="3"/>
        <v>5816.4480000000003</v>
      </c>
      <c r="H163" s="77">
        <f>'Energy Usage'!O335</f>
        <v>28.571181841949024</v>
      </c>
      <c r="I163" s="77">
        <f t="shared" si="4"/>
        <v>7936.4394005413951</v>
      </c>
      <c r="J163" s="77">
        <f t="shared" si="5"/>
        <v>8267.1243755639534</v>
      </c>
      <c r="K163" s="77">
        <f t="shared" si="7"/>
        <v>14000</v>
      </c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x14ac:dyDescent="0.45">
      <c r="A164" s="127">
        <f t="shared" si="6"/>
        <v>144</v>
      </c>
      <c r="B164" s="193" t="s">
        <v>225</v>
      </c>
      <c r="C164" s="127">
        <v>21</v>
      </c>
      <c r="D164" s="77">
        <f t="shared" si="0"/>
        <v>9</v>
      </c>
      <c r="E164" s="5">
        <f t="shared" si="1"/>
        <v>35640</v>
      </c>
      <c r="F164" s="77">
        <f t="shared" si="2"/>
        <v>6058.8</v>
      </c>
      <c r="G164" s="77">
        <f t="shared" si="3"/>
        <v>5816.4480000000003</v>
      </c>
      <c r="H164" s="77">
        <f>'Energy Usage'!O336</f>
        <v>28.571181841949024</v>
      </c>
      <c r="I164" s="77">
        <f t="shared" si="4"/>
        <v>7936.4394005413951</v>
      </c>
      <c r="J164" s="77">
        <f t="shared" si="5"/>
        <v>8267.1243755639534</v>
      </c>
      <c r="K164" s="77">
        <f t="shared" si="7"/>
        <v>11549.323624436047</v>
      </c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x14ac:dyDescent="0.45">
      <c r="A165" s="127">
        <f t="shared" si="6"/>
        <v>145</v>
      </c>
      <c r="B165" s="193" t="s">
        <v>225</v>
      </c>
      <c r="C165" s="127">
        <v>22</v>
      </c>
      <c r="D165" s="77">
        <f t="shared" si="0"/>
        <v>9</v>
      </c>
      <c r="E165" s="5">
        <f t="shared" si="1"/>
        <v>35640</v>
      </c>
      <c r="F165" s="77">
        <f t="shared" si="2"/>
        <v>6058.8</v>
      </c>
      <c r="G165" s="77">
        <f t="shared" si="3"/>
        <v>5816.4480000000003</v>
      </c>
      <c r="H165" s="77">
        <f>'Energy Usage'!O337</f>
        <v>28.571181841949024</v>
      </c>
      <c r="I165" s="77">
        <f t="shared" si="4"/>
        <v>7936.4394005413951</v>
      </c>
      <c r="J165" s="77">
        <f t="shared" si="5"/>
        <v>8267.1243755639534</v>
      </c>
      <c r="K165" s="77">
        <f t="shared" si="7"/>
        <v>9098.6472488720956</v>
      </c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x14ac:dyDescent="0.45">
      <c r="A166" s="127">
        <f t="shared" si="6"/>
        <v>146</v>
      </c>
      <c r="B166" s="193" t="s">
        <v>225</v>
      </c>
      <c r="C166" s="127">
        <v>23</v>
      </c>
      <c r="D166" s="77">
        <f t="shared" si="0"/>
        <v>9</v>
      </c>
      <c r="E166" s="5">
        <f t="shared" si="1"/>
        <v>35640</v>
      </c>
      <c r="F166" s="77">
        <f t="shared" si="2"/>
        <v>6058.8</v>
      </c>
      <c r="G166" s="77">
        <f t="shared" si="3"/>
        <v>5816.4480000000003</v>
      </c>
      <c r="H166" s="77">
        <f>'Energy Usage'!O338</f>
        <v>20.138570895895505</v>
      </c>
      <c r="I166" s="77">
        <f t="shared" si="4"/>
        <v>5594.0474710820845</v>
      </c>
      <c r="J166" s="77">
        <f t="shared" si="5"/>
        <v>5827.1327823771717</v>
      </c>
      <c r="K166" s="77">
        <f t="shared" si="7"/>
        <v>6647.9708733081425</v>
      </c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x14ac:dyDescent="0.45">
      <c r="A167" s="127">
        <f t="shared" si="6"/>
        <v>147</v>
      </c>
      <c r="B167" s="193" t="s">
        <v>225</v>
      </c>
      <c r="C167" s="127">
        <v>24</v>
      </c>
      <c r="D167" s="77">
        <f t="shared" si="0"/>
        <v>9</v>
      </c>
      <c r="E167" s="5">
        <f t="shared" si="1"/>
        <v>35640</v>
      </c>
      <c r="F167" s="77">
        <f t="shared" si="2"/>
        <v>6058.8</v>
      </c>
      <c r="G167" s="77">
        <f t="shared" si="3"/>
        <v>5816.4480000000003</v>
      </c>
      <c r="H167" s="77">
        <f>'Energy Usage'!O339</f>
        <v>28.571181841949024</v>
      </c>
      <c r="I167" s="77">
        <f t="shared" si="4"/>
        <v>7936.4394005413951</v>
      </c>
      <c r="J167" s="77">
        <f t="shared" si="5"/>
        <v>8267.1243755639534</v>
      </c>
      <c r="K167" s="77">
        <f t="shared" si="7"/>
        <v>6637.2860909309711</v>
      </c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x14ac:dyDescent="0.45">
      <c r="A168" s="127">
        <f t="shared" si="6"/>
        <v>148</v>
      </c>
      <c r="B168" s="193" t="s">
        <v>225</v>
      </c>
      <c r="C168" s="127">
        <v>25</v>
      </c>
      <c r="D168" s="77">
        <f t="shared" si="0"/>
        <v>9</v>
      </c>
      <c r="E168" s="5">
        <f t="shared" si="1"/>
        <v>35640</v>
      </c>
      <c r="F168" s="77">
        <f t="shared" si="2"/>
        <v>6058.8</v>
      </c>
      <c r="G168" s="77">
        <f t="shared" si="3"/>
        <v>5816.4480000000003</v>
      </c>
      <c r="H168" s="77">
        <f>'Energy Usage'!O340</f>
        <v>19.914516015686356</v>
      </c>
      <c r="I168" s="77">
        <f t="shared" si="4"/>
        <v>5531.8100043573213</v>
      </c>
      <c r="J168" s="77">
        <f t="shared" si="5"/>
        <v>5762.30208787221</v>
      </c>
      <c r="K168" s="77">
        <f t="shared" si="7"/>
        <v>4186.609715367018</v>
      </c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x14ac:dyDescent="0.45">
      <c r="A169" s="127">
        <f t="shared" si="6"/>
        <v>149</v>
      </c>
      <c r="B169" s="193" t="s">
        <v>225</v>
      </c>
      <c r="C169" s="127">
        <v>26</v>
      </c>
      <c r="D169" s="77">
        <f t="shared" si="0"/>
        <v>9</v>
      </c>
      <c r="E169" s="5">
        <f t="shared" si="1"/>
        <v>35640</v>
      </c>
      <c r="F169" s="77">
        <f t="shared" si="2"/>
        <v>6058.8</v>
      </c>
      <c r="G169" s="77">
        <f t="shared" si="3"/>
        <v>5816.4480000000003</v>
      </c>
      <c r="H169" s="77">
        <f>'Energy Usage'!O341</f>
        <v>28.571181841949024</v>
      </c>
      <c r="I169" s="77">
        <f t="shared" si="4"/>
        <v>7936.4394005413951</v>
      </c>
      <c r="J169" s="77">
        <f t="shared" si="5"/>
        <v>8267.1243755639534</v>
      </c>
      <c r="K169" s="77">
        <f t="shared" si="7"/>
        <v>4240.7556274948083</v>
      </c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x14ac:dyDescent="0.45">
      <c r="A170" s="127">
        <f t="shared" si="6"/>
        <v>150</v>
      </c>
      <c r="B170" s="193" t="s">
        <v>225</v>
      </c>
      <c r="C170" s="127">
        <v>27</v>
      </c>
      <c r="D170" s="77">
        <f t="shared" si="0"/>
        <v>9</v>
      </c>
      <c r="E170" s="5">
        <f t="shared" si="1"/>
        <v>35640</v>
      </c>
      <c r="F170" s="77">
        <f t="shared" si="2"/>
        <v>6058.8</v>
      </c>
      <c r="G170" s="77">
        <f t="shared" si="3"/>
        <v>5816.4480000000003</v>
      </c>
      <c r="H170" s="77">
        <f>'Energy Usage'!O342</f>
        <v>19.914516015686356</v>
      </c>
      <c r="I170" s="77">
        <f t="shared" si="4"/>
        <v>5531.8100043573213</v>
      </c>
      <c r="J170" s="77">
        <f t="shared" si="5"/>
        <v>5762.30208787221</v>
      </c>
      <c r="K170" s="77">
        <f t="shared" si="7"/>
        <v>1790.0792519308543</v>
      </c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x14ac:dyDescent="0.45">
      <c r="A171" s="127">
        <f t="shared" si="6"/>
        <v>151</v>
      </c>
      <c r="B171" s="193" t="s">
        <v>225</v>
      </c>
      <c r="C171" s="127">
        <v>28</v>
      </c>
      <c r="D171" s="77">
        <f t="shared" si="0"/>
        <v>9</v>
      </c>
      <c r="E171" s="5">
        <f t="shared" si="1"/>
        <v>35640</v>
      </c>
      <c r="F171" s="77">
        <f t="shared" si="2"/>
        <v>6058.8</v>
      </c>
      <c r="G171" s="77">
        <f t="shared" si="3"/>
        <v>5816.4480000000003</v>
      </c>
      <c r="H171" s="77">
        <f>'Energy Usage'!O343</f>
        <v>3.1103999999999998</v>
      </c>
      <c r="I171" s="77">
        <f t="shared" si="4"/>
        <v>863.99999999999989</v>
      </c>
      <c r="J171" s="77">
        <f t="shared" si="5"/>
        <v>899.99999999999989</v>
      </c>
      <c r="K171" s="77">
        <f t="shared" si="7"/>
        <v>1844.2251640586446</v>
      </c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x14ac:dyDescent="0.45">
      <c r="A172" s="127">
        <f t="shared" si="6"/>
        <v>152</v>
      </c>
      <c r="B172" s="193" t="s">
        <v>225</v>
      </c>
      <c r="C172" s="127">
        <v>29</v>
      </c>
      <c r="D172" s="77">
        <f t="shared" si="0"/>
        <v>9</v>
      </c>
      <c r="E172" s="5">
        <f t="shared" si="1"/>
        <v>35640</v>
      </c>
      <c r="F172" s="77">
        <f t="shared" si="2"/>
        <v>6058.8</v>
      </c>
      <c r="G172" s="77">
        <f t="shared" si="3"/>
        <v>5816.4480000000003</v>
      </c>
      <c r="H172" s="77">
        <f>'Energy Usage'!O344</f>
        <v>3.1103999999999998</v>
      </c>
      <c r="I172" s="77">
        <f t="shared" si="4"/>
        <v>863.99999999999989</v>
      </c>
      <c r="J172" s="77">
        <f t="shared" si="5"/>
        <v>899.99999999999989</v>
      </c>
      <c r="K172" s="77">
        <f t="shared" si="7"/>
        <v>6760.6731640586449</v>
      </c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x14ac:dyDescent="0.45">
      <c r="A173" s="127">
        <f t="shared" si="6"/>
        <v>153</v>
      </c>
      <c r="B173" s="193" t="s">
        <v>225</v>
      </c>
      <c r="C173" s="127">
        <v>30</v>
      </c>
      <c r="D173" s="77">
        <f t="shared" si="0"/>
        <v>9</v>
      </c>
      <c r="E173" s="5">
        <f t="shared" si="1"/>
        <v>35640</v>
      </c>
      <c r="F173" s="77">
        <f t="shared" si="2"/>
        <v>6058.8</v>
      </c>
      <c r="G173" s="77">
        <f t="shared" si="3"/>
        <v>5816.4480000000003</v>
      </c>
      <c r="H173" s="77">
        <f>'Energy Usage'!O345</f>
        <v>3.1103999999999998</v>
      </c>
      <c r="I173" s="77">
        <f t="shared" si="4"/>
        <v>863.99999999999989</v>
      </c>
      <c r="J173" s="77">
        <f t="shared" si="5"/>
        <v>899.99999999999989</v>
      </c>
      <c r="K173" s="77">
        <f t="shared" si="7"/>
        <v>11677.121164058644</v>
      </c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x14ac:dyDescent="0.45">
      <c r="A174" s="127">
        <f t="shared" si="6"/>
        <v>154</v>
      </c>
      <c r="B174" s="193" t="s">
        <v>226</v>
      </c>
      <c r="C174" s="127">
        <v>1</v>
      </c>
      <c r="D174" s="77">
        <f t="shared" si="0"/>
        <v>8.25</v>
      </c>
      <c r="E174" s="5">
        <f t="shared" si="1"/>
        <v>32670</v>
      </c>
      <c r="F174" s="77">
        <f t="shared" si="2"/>
        <v>5553.9000000000005</v>
      </c>
      <c r="G174" s="77">
        <f t="shared" si="3"/>
        <v>5331.7440000000006</v>
      </c>
      <c r="H174" s="77">
        <f>'Energy Usage'!O346</f>
        <v>3.1103999999999998</v>
      </c>
      <c r="I174" s="77">
        <f t="shared" si="4"/>
        <v>863.99999999999989</v>
      </c>
      <c r="J174" s="77">
        <f t="shared" si="5"/>
        <v>899.99999999999989</v>
      </c>
      <c r="K174" s="77">
        <f t="shared" si="7"/>
        <v>14000</v>
      </c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x14ac:dyDescent="0.45">
      <c r="A175" s="127">
        <f t="shared" si="6"/>
        <v>155</v>
      </c>
      <c r="B175" s="193" t="s">
        <v>226</v>
      </c>
      <c r="C175" s="127">
        <v>2</v>
      </c>
      <c r="D175" s="77">
        <f t="shared" si="0"/>
        <v>8.25</v>
      </c>
      <c r="E175" s="5">
        <f t="shared" si="1"/>
        <v>32670</v>
      </c>
      <c r="F175" s="77">
        <f t="shared" si="2"/>
        <v>5553.9000000000005</v>
      </c>
      <c r="G175" s="77">
        <f t="shared" si="3"/>
        <v>5331.7440000000006</v>
      </c>
      <c r="H175" s="77">
        <f>'Energy Usage'!O347</f>
        <v>3.1103999999999998</v>
      </c>
      <c r="I175" s="77">
        <f t="shared" si="4"/>
        <v>863.99999999999989</v>
      </c>
      <c r="J175" s="77">
        <f t="shared" si="5"/>
        <v>899.99999999999989</v>
      </c>
      <c r="K175" s="77">
        <f t="shared" si="7"/>
        <v>14000</v>
      </c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x14ac:dyDescent="0.45">
      <c r="A176" s="127">
        <f t="shared" si="6"/>
        <v>156</v>
      </c>
      <c r="B176" s="193" t="s">
        <v>226</v>
      </c>
      <c r="C176" s="127">
        <v>3</v>
      </c>
      <c r="D176" s="77">
        <f t="shared" si="0"/>
        <v>8.25</v>
      </c>
      <c r="E176" s="5">
        <f t="shared" si="1"/>
        <v>32670</v>
      </c>
      <c r="F176" s="77">
        <f t="shared" si="2"/>
        <v>5553.9000000000005</v>
      </c>
      <c r="G176" s="77">
        <f t="shared" si="3"/>
        <v>5331.7440000000006</v>
      </c>
      <c r="H176" s="77">
        <f>'Energy Usage'!O348</f>
        <v>3.1103999999999998</v>
      </c>
      <c r="I176" s="77">
        <f t="shared" si="4"/>
        <v>863.99999999999989</v>
      </c>
      <c r="J176" s="77">
        <f t="shared" si="5"/>
        <v>899.99999999999989</v>
      </c>
      <c r="K176" s="77">
        <f t="shared" si="7"/>
        <v>14000</v>
      </c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x14ac:dyDescent="0.45">
      <c r="A177" s="127">
        <f t="shared" si="6"/>
        <v>157</v>
      </c>
      <c r="B177" s="193" t="s">
        <v>226</v>
      </c>
      <c r="C177" s="127">
        <v>4</v>
      </c>
      <c r="D177" s="77">
        <f t="shared" si="0"/>
        <v>8.25</v>
      </c>
      <c r="E177" s="5">
        <f t="shared" si="1"/>
        <v>32670</v>
      </c>
      <c r="F177" s="77">
        <f t="shared" si="2"/>
        <v>5553.9000000000005</v>
      </c>
      <c r="G177" s="77">
        <f t="shared" si="3"/>
        <v>5331.7440000000006</v>
      </c>
      <c r="H177" s="77">
        <f>'Energy Usage'!O349</f>
        <v>4.4547292812549077</v>
      </c>
      <c r="I177" s="77">
        <f t="shared" si="4"/>
        <v>1237.4248003485854</v>
      </c>
      <c r="J177" s="77">
        <f t="shared" si="5"/>
        <v>1288.9841670297765</v>
      </c>
      <c r="K177" s="77">
        <f t="shared" si="7"/>
        <v>14000</v>
      </c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x14ac:dyDescent="0.45">
      <c r="A178" s="127">
        <f t="shared" si="6"/>
        <v>158</v>
      </c>
      <c r="B178" s="193" t="s">
        <v>226</v>
      </c>
      <c r="C178" s="127">
        <v>5</v>
      </c>
      <c r="D178" s="77">
        <f t="shared" si="0"/>
        <v>8.25</v>
      </c>
      <c r="E178" s="5">
        <f t="shared" si="1"/>
        <v>32670</v>
      </c>
      <c r="F178" s="77">
        <f t="shared" si="2"/>
        <v>5553.9000000000005</v>
      </c>
      <c r="G178" s="77">
        <f t="shared" si="3"/>
        <v>5331.7440000000006</v>
      </c>
      <c r="H178" s="77">
        <f>'Energy Usage'!O350</f>
        <v>28.571181841949024</v>
      </c>
      <c r="I178" s="77">
        <f t="shared" si="4"/>
        <v>7936.4394005413951</v>
      </c>
      <c r="J178" s="77">
        <f t="shared" si="5"/>
        <v>8267.1243755639534</v>
      </c>
      <c r="K178" s="77">
        <f t="shared" si="7"/>
        <v>14000</v>
      </c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x14ac:dyDescent="0.45">
      <c r="A179" s="127">
        <f t="shared" si="6"/>
        <v>159</v>
      </c>
      <c r="B179" s="193" t="s">
        <v>226</v>
      </c>
      <c r="C179" s="127">
        <v>6</v>
      </c>
      <c r="D179" s="77">
        <f t="shared" si="0"/>
        <v>8.25</v>
      </c>
      <c r="E179" s="5">
        <f t="shared" si="1"/>
        <v>32670</v>
      </c>
      <c r="F179" s="77">
        <f t="shared" si="2"/>
        <v>5553.9000000000005</v>
      </c>
      <c r="G179" s="77">
        <f t="shared" si="3"/>
        <v>5331.7440000000006</v>
      </c>
      <c r="H179" s="77">
        <f>'Energy Usage'!O351</f>
        <v>4.0066195208366056</v>
      </c>
      <c r="I179" s="77">
        <f t="shared" si="4"/>
        <v>1112.949866899057</v>
      </c>
      <c r="J179" s="77">
        <f t="shared" si="5"/>
        <v>1159.3227780198511</v>
      </c>
      <c r="K179" s="77">
        <f t="shared" si="7"/>
        <v>11064.619624436045</v>
      </c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x14ac:dyDescent="0.45">
      <c r="A180" s="127">
        <f t="shared" si="6"/>
        <v>160</v>
      </c>
      <c r="B180" s="193" t="s">
        <v>226</v>
      </c>
      <c r="C180" s="127">
        <v>7</v>
      </c>
      <c r="D180" s="77">
        <f t="shared" si="0"/>
        <v>8.25</v>
      </c>
      <c r="E180" s="5">
        <f t="shared" si="1"/>
        <v>32670</v>
      </c>
      <c r="F180" s="77">
        <f t="shared" si="2"/>
        <v>5553.9000000000005</v>
      </c>
      <c r="G180" s="77">
        <f t="shared" si="3"/>
        <v>5331.7440000000006</v>
      </c>
      <c r="H180" s="77">
        <f>'Energy Usage'!O352</f>
        <v>20.138570895895505</v>
      </c>
      <c r="I180" s="77">
        <f t="shared" si="4"/>
        <v>5594.0474710820845</v>
      </c>
      <c r="J180" s="77">
        <f t="shared" si="5"/>
        <v>5827.1327823771717</v>
      </c>
      <c r="K180" s="77">
        <f t="shared" si="7"/>
        <v>14000</v>
      </c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x14ac:dyDescent="0.45">
      <c r="A181" s="127">
        <f t="shared" si="6"/>
        <v>161</v>
      </c>
      <c r="B181" s="193" t="s">
        <v>226</v>
      </c>
      <c r="C181" s="127">
        <v>8</v>
      </c>
      <c r="D181" s="77">
        <f t="shared" si="0"/>
        <v>8.25</v>
      </c>
      <c r="E181" s="5">
        <f t="shared" si="1"/>
        <v>32670</v>
      </c>
      <c r="F181" s="77">
        <f t="shared" si="2"/>
        <v>5553.9000000000005</v>
      </c>
      <c r="G181" s="77">
        <f t="shared" si="3"/>
        <v>5331.7440000000006</v>
      </c>
      <c r="H181" s="77">
        <f>'Energy Usage'!O353</f>
        <v>28.571181841949024</v>
      </c>
      <c r="I181" s="77">
        <f t="shared" si="4"/>
        <v>7936.4394005413951</v>
      </c>
      <c r="J181" s="77">
        <f t="shared" si="5"/>
        <v>8267.1243755639534</v>
      </c>
      <c r="K181" s="77">
        <f t="shared" si="7"/>
        <v>13504.611217622827</v>
      </c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x14ac:dyDescent="0.45">
      <c r="A182" s="127">
        <f t="shared" si="6"/>
        <v>162</v>
      </c>
      <c r="B182" s="193" t="s">
        <v>226</v>
      </c>
      <c r="C182" s="127">
        <v>9</v>
      </c>
      <c r="D182" s="77">
        <f t="shared" si="0"/>
        <v>8.25</v>
      </c>
      <c r="E182" s="5">
        <f t="shared" si="1"/>
        <v>32670</v>
      </c>
      <c r="F182" s="77">
        <f t="shared" si="2"/>
        <v>5553.9000000000005</v>
      </c>
      <c r="G182" s="77">
        <f t="shared" si="3"/>
        <v>5331.7440000000006</v>
      </c>
      <c r="H182" s="77">
        <f>'Energy Usage'!O354</f>
        <v>28.571181841949024</v>
      </c>
      <c r="I182" s="77">
        <f t="shared" si="4"/>
        <v>7936.4394005413951</v>
      </c>
      <c r="J182" s="77">
        <f t="shared" si="5"/>
        <v>8267.1243755639534</v>
      </c>
      <c r="K182" s="77">
        <f t="shared" si="7"/>
        <v>10569.230842058872</v>
      </c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x14ac:dyDescent="0.45">
      <c r="A183" s="127">
        <f t="shared" si="6"/>
        <v>163</v>
      </c>
      <c r="B183" s="193" t="s">
        <v>226</v>
      </c>
      <c r="C183" s="127">
        <v>10</v>
      </c>
      <c r="D183" s="77">
        <f t="shared" si="0"/>
        <v>8.25</v>
      </c>
      <c r="E183" s="5">
        <f t="shared" si="1"/>
        <v>32670</v>
      </c>
      <c r="F183" s="77">
        <f t="shared" si="2"/>
        <v>5553.9000000000005</v>
      </c>
      <c r="G183" s="77">
        <f t="shared" si="3"/>
        <v>5331.7440000000006</v>
      </c>
      <c r="H183" s="77">
        <f>'Energy Usage'!O355</f>
        <v>8.0396073646013324</v>
      </c>
      <c r="I183" s="77">
        <f t="shared" si="4"/>
        <v>2233.2242679448145</v>
      </c>
      <c r="J183" s="77">
        <f t="shared" si="5"/>
        <v>2326.2752791091821</v>
      </c>
      <c r="K183" s="77">
        <f t="shared" si="7"/>
        <v>7633.8504664949196</v>
      </c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x14ac:dyDescent="0.45">
      <c r="A184" s="127">
        <f t="shared" si="6"/>
        <v>164</v>
      </c>
      <c r="B184" s="193" t="s">
        <v>226</v>
      </c>
      <c r="C184" s="127">
        <v>11</v>
      </c>
      <c r="D184" s="77">
        <f t="shared" si="0"/>
        <v>8.25</v>
      </c>
      <c r="E184" s="5">
        <f t="shared" si="1"/>
        <v>32670</v>
      </c>
      <c r="F184" s="77">
        <f t="shared" si="2"/>
        <v>5553.9000000000005</v>
      </c>
      <c r="G184" s="77">
        <f t="shared" si="3"/>
        <v>5331.7440000000006</v>
      </c>
      <c r="H184" s="77">
        <f>'Energy Usage'!O356</f>
        <v>23.051284338614472</v>
      </c>
      <c r="I184" s="77">
        <f t="shared" si="4"/>
        <v>6403.1345385040204</v>
      </c>
      <c r="J184" s="77">
        <f t="shared" si="5"/>
        <v>6669.9318109416881</v>
      </c>
      <c r="K184" s="77">
        <f t="shared" si="7"/>
        <v>10639.319187385738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x14ac:dyDescent="0.45">
      <c r="A185" s="127">
        <f t="shared" si="6"/>
        <v>165</v>
      </c>
      <c r="B185" s="193" t="s">
        <v>226</v>
      </c>
      <c r="C185" s="127">
        <v>12</v>
      </c>
      <c r="D185" s="77">
        <f t="shared" si="0"/>
        <v>8.25</v>
      </c>
      <c r="E185" s="5">
        <f t="shared" si="1"/>
        <v>32670</v>
      </c>
      <c r="F185" s="77">
        <f t="shared" si="2"/>
        <v>5553.9000000000005</v>
      </c>
      <c r="G185" s="77">
        <f t="shared" si="3"/>
        <v>5331.7440000000006</v>
      </c>
      <c r="H185" s="77">
        <f>'Energy Usage'!O357</f>
        <v>4.6787841614640602</v>
      </c>
      <c r="I185" s="77">
        <f t="shared" si="4"/>
        <v>1299.66226707335</v>
      </c>
      <c r="J185" s="77">
        <f t="shared" si="5"/>
        <v>1353.8148615347395</v>
      </c>
      <c r="K185" s="77">
        <f t="shared" si="7"/>
        <v>9301.1313764440492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x14ac:dyDescent="0.45">
      <c r="A186" s="127">
        <f t="shared" si="6"/>
        <v>166</v>
      </c>
      <c r="B186" s="193" t="s">
        <v>226</v>
      </c>
      <c r="C186" s="127">
        <v>13</v>
      </c>
      <c r="D186" s="77">
        <f t="shared" si="0"/>
        <v>8.25</v>
      </c>
      <c r="E186" s="5">
        <f t="shared" si="1"/>
        <v>32670</v>
      </c>
      <c r="F186" s="77">
        <f t="shared" si="2"/>
        <v>5553.9000000000005</v>
      </c>
      <c r="G186" s="77">
        <f t="shared" si="3"/>
        <v>5331.7440000000006</v>
      </c>
      <c r="H186" s="77">
        <f>'Energy Usage'!O358</f>
        <v>4.2306744010457571</v>
      </c>
      <c r="I186" s="77">
        <f t="shared" si="4"/>
        <v>1175.1873336238214</v>
      </c>
      <c r="J186" s="77">
        <f t="shared" si="5"/>
        <v>1224.1534725248139</v>
      </c>
      <c r="K186" s="77">
        <f t="shared" si="7"/>
        <v>13279.06051490931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x14ac:dyDescent="0.45">
      <c r="A187" s="127">
        <f t="shared" si="6"/>
        <v>167</v>
      </c>
      <c r="B187" s="193" t="s">
        <v>226</v>
      </c>
      <c r="C187" s="127">
        <v>14</v>
      </c>
      <c r="D187" s="77">
        <f t="shared" si="0"/>
        <v>8.25</v>
      </c>
      <c r="E187" s="5">
        <f t="shared" si="1"/>
        <v>32670</v>
      </c>
      <c r="F187" s="77">
        <f t="shared" si="2"/>
        <v>5553.9000000000005</v>
      </c>
      <c r="G187" s="77">
        <f t="shared" si="3"/>
        <v>5331.7440000000006</v>
      </c>
      <c r="H187" s="77">
        <f>'Energy Usage'!O359</f>
        <v>3.1103999999999998</v>
      </c>
      <c r="I187" s="77">
        <f t="shared" si="4"/>
        <v>863.99999999999989</v>
      </c>
      <c r="J187" s="77">
        <f t="shared" si="5"/>
        <v>899.99999999999989</v>
      </c>
      <c r="K187" s="77">
        <f t="shared" si="7"/>
        <v>14000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x14ac:dyDescent="0.45">
      <c r="A188" s="127">
        <f t="shared" si="6"/>
        <v>168</v>
      </c>
      <c r="B188" s="193" t="s">
        <v>226</v>
      </c>
      <c r="C188" s="127">
        <v>15</v>
      </c>
      <c r="D188" s="77">
        <f t="shared" si="0"/>
        <v>8.25</v>
      </c>
      <c r="E188" s="5">
        <f t="shared" si="1"/>
        <v>32670</v>
      </c>
      <c r="F188" s="77">
        <f t="shared" si="2"/>
        <v>5553.9000000000005</v>
      </c>
      <c r="G188" s="77">
        <f t="shared" si="3"/>
        <v>5331.7440000000006</v>
      </c>
      <c r="H188" s="77">
        <f>'Energy Usage'!O360</f>
        <v>13.192869609411812</v>
      </c>
      <c r="I188" s="77">
        <f t="shared" si="4"/>
        <v>3664.6860026143922</v>
      </c>
      <c r="J188" s="77">
        <f t="shared" si="5"/>
        <v>3817.3812527233254</v>
      </c>
      <c r="K188" s="77">
        <f t="shared" si="7"/>
        <v>14000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x14ac:dyDescent="0.45">
      <c r="A189" s="127">
        <f t="shared" si="6"/>
        <v>169</v>
      </c>
      <c r="B189" s="193" t="s">
        <v>226</v>
      </c>
      <c r="C189" s="127">
        <v>16</v>
      </c>
      <c r="D189" s="77">
        <f t="shared" si="0"/>
        <v>8.25</v>
      </c>
      <c r="E189" s="5">
        <f t="shared" si="1"/>
        <v>32670</v>
      </c>
      <c r="F189" s="77">
        <f t="shared" si="2"/>
        <v>5553.9000000000005</v>
      </c>
      <c r="G189" s="77">
        <f t="shared" si="3"/>
        <v>5331.7440000000006</v>
      </c>
      <c r="H189" s="77">
        <f>'Energy Usage'!O361</f>
        <v>25.739942901124291</v>
      </c>
      <c r="I189" s="77">
        <f t="shared" si="4"/>
        <v>7149.9841392011913</v>
      </c>
      <c r="J189" s="77">
        <f t="shared" si="5"/>
        <v>7447.9001450012411</v>
      </c>
      <c r="K189" s="77">
        <f t="shared" si="7"/>
        <v>14000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x14ac:dyDescent="0.45">
      <c r="A190" s="127">
        <f t="shared" si="6"/>
        <v>170</v>
      </c>
      <c r="B190" s="193" t="s">
        <v>226</v>
      </c>
      <c r="C190" s="127">
        <v>17</v>
      </c>
      <c r="D190" s="77">
        <f t="shared" si="0"/>
        <v>8.25</v>
      </c>
      <c r="E190" s="5">
        <f t="shared" si="1"/>
        <v>32670</v>
      </c>
      <c r="F190" s="77">
        <f t="shared" si="2"/>
        <v>5553.9000000000005</v>
      </c>
      <c r="G190" s="77">
        <f t="shared" si="3"/>
        <v>5331.7440000000006</v>
      </c>
      <c r="H190" s="77">
        <f>'Energy Usage'!O362</f>
        <v>4.0066195208366056</v>
      </c>
      <c r="I190" s="77">
        <f t="shared" si="4"/>
        <v>1112.949866899057</v>
      </c>
      <c r="J190" s="77">
        <f t="shared" si="5"/>
        <v>1159.3227780198511</v>
      </c>
      <c r="K190" s="77">
        <f t="shared" si="7"/>
        <v>11883.843854998759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x14ac:dyDescent="0.45">
      <c r="A191" s="127">
        <f t="shared" si="6"/>
        <v>171</v>
      </c>
      <c r="B191" s="193" t="s">
        <v>226</v>
      </c>
      <c r="C191" s="127">
        <v>18</v>
      </c>
      <c r="D191" s="77">
        <f t="shared" si="0"/>
        <v>8.25</v>
      </c>
      <c r="E191" s="5">
        <f t="shared" si="1"/>
        <v>32670</v>
      </c>
      <c r="F191" s="77">
        <f t="shared" si="2"/>
        <v>5553.9000000000005</v>
      </c>
      <c r="G191" s="77">
        <f t="shared" si="3"/>
        <v>5331.7440000000006</v>
      </c>
      <c r="H191" s="77">
        <f>'Energy Usage'!O363</f>
        <v>28.571181841949024</v>
      </c>
      <c r="I191" s="77">
        <f t="shared" si="4"/>
        <v>7936.4394005413951</v>
      </c>
      <c r="J191" s="77">
        <f t="shared" si="5"/>
        <v>8267.1243755639534</v>
      </c>
      <c r="K191" s="77">
        <f t="shared" si="7"/>
        <v>14000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x14ac:dyDescent="0.45">
      <c r="A192" s="127">
        <f t="shared" si="6"/>
        <v>172</v>
      </c>
      <c r="B192" s="193" t="s">
        <v>226</v>
      </c>
      <c r="C192" s="127">
        <v>19</v>
      </c>
      <c r="D192" s="77">
        <f t="shared" si="0"/>
        <v>8.25</v>
      </c>
      <c r="E192" s="5">
        <f t="shared" si="1"/>
        <v>32670</v>
      </c>
      <c r="F192" s="77">
        <f t="shared" si="2"/>
        <v>5553.9000000000005</v>
      </c>
      <c r="G192" s="77">
        <f t="shared" si="3"/>
        <v>5331.7440000000006</v>
      </c>
      <c r="H192" s="77">
        <f>'Energy Usage'!O364</f>
        <v>3.1103999999999998</v>
      </c>
      <c r="I192" s="77">
        <f t="shared" si="4"/>
        <v>863.99999999999989</v>
      </c>
      <c r="J192" s="77">
        <f t="shared" si="5"/>
        <v>899.99999999999989</v>
      </c>
      <c r="K192" s="77">
        <f t="shared" si="7"/>
        <v>11064.619624436045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x14ac:dyDescent="0.45">
      <c r="A193" s="127">
        <f t="shared" si="6"/>
        <v>173</v>
      </c>
      <c r="B193" s="193" t="s">
        <v>226</v>
      </c>
      <c r="C193" s="127">
        <v>20</v>
      </c>
      <c r="D193" s="77">
        <f t="shared" si="0"/>
        <v>8.25</v>
      </c>
      <c r="E193" s="5">
        <f t="shared" si="1"/>
        <v>32670</v>
      </c>
      <c r="F193" s="77">
        <f t="shared" si="2"/>
        <v>5553.9000000000005</v>
      </c>
      <c r="G193" s="77">
        <f t="shared" si="3"/>
        <v>5331.7440000000006</v>
      </c>
      <c r="H193" s="77">
        <f>'Energy Usage'!O365</f>
        <v>3.1103999999999998</v>
      </c>
      <c r="I193" s="77">
        <f t="shared" si="4"/>
        <v>863.99999999999989</v>
      </c>
      <c r="J193" s="77">
        <f t="shared" si="5"/>
        <v>899.99999999999989</v>
      </c>
      <c r="K193" s="77">
        <f t="shared" si="7"/>
        <v>14000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x14ac:dyDescent="0.45">
      <c r="A194" s="127">
        <f t="shared" si="6"/>
        <v>174</v>
      </c>
      <c r="B194" s="193" t="s">
        <v>226</v>
      </c>
      <c r="C194" s="127">
        <v>21</v>
      </c>
      <c r="D194" s="77">
        <f t="shared" si="0"/>
        <v>8.25</v>
      </c>
      <c r="E194" s="5">
        <f t="shared" si="1"/>
        <v>32670</v>
      </c>
      <c r="F194" s="77">
        <f t="shared" si="2"/>
        <v>5553.9000000000005</v>
      </c>
      <c r="G194" s="77">
        <f t="shared" si="3"/>
        <v>5331.7440000000006</v>
      </c>
      <c r="H194" s="77">
        <f>'Energy Usage'!O366</f>
        <v>12.968814729202665</v>
      </c>
      <c r="I194" s="77">
        <f t="shared" si="4"/>
        <v>3602.4485358896291</v>
      </c>
      <c r="J194" s="77">
        <f t="shared" si="5"/>
        <v>3752.5505582183637</v>
      </c>
      <c r="K194" s="77">
        <f t="shared" si="7"/>
        <v>14000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x14ac:dyDescent="0.45">
      <c r="A195" s="127">
        <f t="shared" si="6"/>
        <v>175</v>
      </c>
      <c r="B195" s="193" t="s">
        <v>226</v>
      </c>
      <c r="C195" s="127">
        <v>22</v>
      </c>
      <c r="D195" s="77">
        <f t="shared" si="0"/>
        <v>8.25</v>
      </c>
      <c r="E195" s="5">
        <f t="shared" si="1"/>
        <v>32670</v>
      </c>
      <c r="F195" s="77">
        <f t="shared" si="2"/>
        <v>5553.9000000000005</v>
      </c>
      <c r="G195" s="77">
        <f t="shared" si="3"/>
        <v>5331.7440000000006</v>
      </c>
      <c r="H195" s="77">
        <f>'Energy Usage'!O367</f>
        <v>16.105583052130779</v>
      </c>
      <c r="I195" s="77">
        <f t="shared" si="4"/>
        <v>4473.7730700363272</v>
      </c>
      <c r="J195" s="77">
        <f t="shared" si="5"/>
        <v>4660.1802812878414</v>
      </c>
      <c r="K195" s="77">
        <f t="shared" si="7"/>
        <v>14000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x14ac:dyDescent="0.45">
      <c r="A196" s="127">
        <f t="shared" si="6"/>
        <v>176</v>
      </c>
      <c r="B196" s="193" t="s">
        <v>226</v>
      </c>
      <c r="C196" s="127">
        <v>23</v>
      </c>
      <c r="D196" s="77">
        <f t="shared" si="0"/>
        <v>8.25</v>
      </c>
      <c r="E196" s="5">
        <f t="shared" si="1"/>
        <v>32670</v>
      </c>
      <c r="F196" s="77">
        <f t="shared" si="2"/>
        <v>5553.9000000000005</v>
      </c>
      <c r="G196" s="77">
        <f t="shared" si="3"/>
        <v>5331.7440000000006</v>
      </c>
      <c r="H196" s="77">
        <f>'Energy Usage'!O368</f>
        <v>14.31314401045757</v>
      </c>
      <c r="I196" s="77">
        <f t="shared" si="4"/>
        <v>3975.8733362382141</v>
      </c>
      <c r="J196" s="77">
        <f t="shared" si="5"/>
        <v>4141.5347252481397</v>
      </c>
      <c r="K196" s="77">
        <f t="shared" si="7"/>
        <v>14000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x14ac:dyDescent="0.45">
      <c r="A197" s="127">
        <f t="shared" si="6"/>
        <v>177</v>
      </c>
      <c r="B197" s="193" t="s">
        <v>226</v>
      </c>
      <c r="C197" s="127">
        <v>24</v>
      </c>
      <c r="D197" s="77">
        <f t="shared" si="0"/>
        <v>8.25</v>
      </c>
      <c r="E197" s="5">
        <f t="shared" si="1"/>
        <v>32670</v>
      </c>
      <c r="F197" s="77">
        <f t="shared" si="2"/>
        <v>5553.9000000000005</v>
      </c>
      <c r="G197" s="77">
        <f t="shared" si="3"/>
        <v>5331.7440000000006</v>
      </c>
      <c r="H197" s="77">
        <f>'Energy Usage'!O369</f>
        <v>5.5750036823006663</v>
      </c>
      <c r="I197" s="77">
        <f t="shared" si="4"/>
        <v>1548.6121339724073</v>
      </c>
      <c r="J197" s="77">
        <f t="shared" si="5"/>
        <v>1613.137639554591</v>
      </c>
      <c r="K197" s="77">
        <f t="shared" si="7"/>
        <v>14000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x14ac:dyDescent="0.45">
      <c r="A198" s="127">
        <f t="shared" si="6"/>
        <v>178</v>
      </c>
      <c r="B198" s="193" t="s">
        <v>226</v>
      </c>
      <c r="C198" s="127">
        <v>25</v>
      </c>
      <c r="D198" s="77">
        <f t="shared" si="0"/>
        <v>8.25</v>
      </c>
      <c r="E198" s="5">
        <f t="shared" si="1"/>
        <v>32670</v>
      </c>
      <c r="F198" s="77">
        <f t="shared" si="2"/>
        <v>5553.9000000000005</v>
      </c>
      <c r="G198" s="77">
        <f t="shared" si="3"/>
        <v>5331.7440000000006</v>
      </c>
      <c r="H198" s="77">
        <f>'Energy Usage'!O370</f>
        <v>3.782564640627454</v>
      </c>
      <c r="I198" s="77">
        <f t="shared" si="4"/>
        <v>1050.7124001742927</v>
      </c>
      <c r="J198" s="77">
        <f t="shared" si="5"/>
        <v>1094.4920835148882</v>
      </c>
      <c r="K198" s="77">
        <f t="shared" si="7"/>
        <v>14000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x14ac:dyDescent="0.45">
      <c r="A199" s="127">
        <f t="shared" si="6"/>
        <v>179</v>
      </c>
      <c r="B199" s="193" t="s">
        <v>226</v>
      </c>
      <c r="C199" s="127">
        <v>26</v>
      </c>
      <c r="D199" s="77">
        <f t="shared" si="0"/>
        <v>8.25</v>
      </c>
      <c r="E199" s="5">
        <f t="shared" si="1"/>
        <v>32670</v>
      </c>
      <c r="F199" s="77">
        <f t="shared" si="2"/>
        <v>5553.9000000000005</v>
      </c>
      <c r="G199" s="77">
        <f t="shared" si="3"/>
        <v>5331.7440000000006</v>
      </c>
      <c r="H199" s="77">
        <f>'Energy Usage'!O371</f>
        <v>14.537198890666723</v>
      </c>
      <c r="I199" s="77">
        <f t="shared" si="4"/>
        <v>4038.1108029629786</v>
      </c>
      <c r="J199" s="77">
        <f t="shared" si="5"/>
        <v>4206.3654197531032</v>
      </c>
      <c r="K199" s="77">
        <f t="shared" si="7"/>
        <v>14000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x14ac:dyDescent="0.45">
      <c r="A200" s="127">
        <f t="shared" si="6"/>
        <v>180</v>
      </c>
      <c r="B200" s="193" t="s">
        <v>226</v>
      </c>
      <c r="C200" s="127">
        <v>27</v>
      </c>
      <c r="D200" s="77">
        <f t="shared" si="0"/>
        <v>8.25</v>
      </c>
      <c r="E200" s="5">
        <f t="shared" si="1"/>
        <v>32670</v>
      </c>
      <c r="F200" s="77">
        <f t="shared" si="2"/>
        <v>5553.9000000000005</v>
      </c>
      <c r="G200" s="77">
        <f t="shared" si="3"/>
        <v>5331.7440000000006</v>
      </c>
      <c r="H200" s="77">
        <f>'Energy Usage'!O372</f>
        <v>9.159881765647091</v>
      </c>
      <c r="I200" s="77">
        <f t="shared" si="4"/>
        <v>2544.4116015686363</v>
      </c>
      <c r="J200" s="77">
        <f t="shared" si="5"/>
        <v>2650.4287516339964</v>
      </c>
      <c r="K200" s="77">
        <f t="shared" si="7"/>
        <v>14000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x14ac:dyDescent="0.45">
      <c r="A201" s="127">
        <f t="shared" si="6"/>
        <v>181</v>
      </c>
      <c r="B201" s="193" t="s">
        <v>226</v>
      </c>
      <c r="C201" s="127">
        <v>28</v>
      </c>
      <c r="D201" s="77">
        <f t="shared" si="0"/>
        <v>8.25</v>
      </c>
      <c r="E201" s="5">
        <f t="shared" si="1"/>
        <v>32670</v>
      </c>
      <c r="F201" s="77">
        <f t="shared" si="2"/>
        <v>5553.9000000000005</v>
      </c>
      <c r="G201" s="77">
        <f t="shared" si="3"/>
        <v>5331.7440000000006</v>
      </c>
      <c r="H201" s="77">
        <f>'Energy Usage'!O373</f>
        <v>3.1103999999999998</v>
      </c>
      <c r="I201" s="77">
        <f t="shared" si="4"/>
        <v>863.99999999999989</v>
      </c>
      <c r="J201" s="77">
        <f t="shared" si="5"/>
        <v>899.99999999999989</v>
      </c>
      <c r="K201" s="77">
        <f t="shared" si="7"/>
        <v>14000</v>
      </c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x14ac:dyDescent="0.45">
      <c r="A202" s="127">
        <f t="shared" si="6"/>
        <v>182</v>
      </c>
      <c r="B202" s="193" t="s">
        <v>226</v>
      </c>
      <c r="C202" s="127">
        <v>29</v>
      </c>
      <c r="D202" s="77">
        <f t="shared" si="0"/>
        <v>8.25</v>
      </c>
      <c r="E202" s="5">
        <f t="shared" si="1"/>
        <v>32670</v>
      </c>
      <c r="F202" s="77">
        <f t="shared" si="2"/>
        <v>5553.9000000000005</v>
      </c>
      <c r="G202" s="77">
        <f t="shared" si="3"/>
        <v>5331.7440000000006</v>
      </c>
      <c r="H202" s="77">
        <f>'Energy Usage'!O374</f>
        <v>3.1103999999999998</v>
      </c>
      <c r="I202" s="77">
        <f t="shared" si="4"/>
        <v>863.99999999999989</v>
      </c>
      <c r="J202" s="77">
        <f t="shared" si="5"/>
        <v>899.99999999999989</v>
      </c>
      <c r="K202" s="77">
        <f t="shared" si="7"/>
        <v>14000</v>
      </c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x14ac:dyDescent="0.45">
      <c r="A203" s="127">
        <f t="shared" si="6"/>
        <v>183</v>
      </c>
      <c r="B203" s="193" t="s">
        <v>226</v>
      </c>
      <c r="C203" s="127">
        <v>30</v>
      </c>
      <c r="D203" s="77">
        <f t="shared" si="0"/>
        <v>8.25</v>
      </c>
      <c r="E203" s="5">
        <f t="shared" si="1"/>
        <v>32670</v>
      </c>
      <c r="F203" s="77">
        <f t="shared" si="2"/>
        <v>5553.9000000000005</v>
      </c>
      <c r="G203" s="77">
        <f t="shared" si="3"/>
        <v>5331.7440000000006</v>
      </c>
      <c r="H203" s="77">
        <f>'Energy Usage'!O375</f>
        <v>3.1103999999999998</v>
      </c>
      <c r="I203" s="77">
        <f t="shared" si="4"/>
        <v>863.99999999999989</v>
      </c>
      <c r="J203" s="77">
        <f t="shared" si="5"/>
        <v>899.99999999999989</v>
      </c>
      <c r="K203" s="77">
        <f t="shared" si="7"/>
        <v>14000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x14ac:dyDescent="0.45">
      <c r="A204" s="127">
        <f t="shared" si="6"/>
        <v>184</v>
      </c>
      <c r="B204" s="193" t="s">
        <v>226</v>
      </c>
      <c r="C204" s="127">
        <v>31</v>
      </c>
      <c r="D204" s="77">
        <f t="shared" si="0"/>
        <v>8.25</v>
      </c>
      <c r="E204" s="5">
        <f t="shared" si="1"/>
        <v>32670</v>
      </c>
      <c r="F204" s="77">
        <f t="shared" si="2"/>
        <v>5553.9000000000005</v>
      </c>
      <c r="G204" s="77">
        <f t="shared" si="3"/>
        <v>5331.7440000000006</v>
      </c>
      <c r="H204" s="77">
        <f>'Energy Usage'!O376</f>
        <v>3.1103999999999998</v>
      </c>
      <c r="I204" s="77">
        <f t="shared" si="4"/>
        <v>863.99999999999989</v>
      </c>
      <c r="J204" s="77">
        <f t="shared" si="5"/>
        <v>899.99999999999989</v>
      </c>
      <c r="K204" s="77">
        <f t="shared" si="7"/>
        <v>14000</v>
      </c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x14ac:dyDescent="0.45">
      <c r="A205" s="127">
        <f t="shared" si="6"/>
        <v>185</v>
      </c>
      <c r="B205" s="193" t="s">
        <v>203</v>
      </c>
      <c r="C205" s="127">
        <v>1</v>
      </c>
      <c r="D205" s="77">
        <f t="shared" si="0"/>
        <v>8.5</v>
      </c>
      <c r="E205" s="5">
        <f t="shared" si="1"/>
        <v>33660</v>
      </c>
      <c r="F205" s="77">
        <f t="shared" si="2"/>
        <v>5722.2000000000007</v>
      </c>
      <c r="G205" s="77">
        <f t="shared" si="3"/>
        <v>5493.3120000000008</v>
      </c>
      <c r="H205" s="77">
        <f>'Energy Usage'!O12</f>
        <v>24.171558739660231</v>
      </c>
      <c r="I205" s="77">
        <f t="shared" si="4"/>
        <v>6714.3218721278417</v>
      </c>
      <c r="J205" s="77">
        <f t="shared" si="5"/>
        <v>6994.085283466502</v>
      </c>
      <c r="K205" s="77">
        <f t="shared" si="7"/>
        <v>14000</v>
      </c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x14ac:dyDescent="0.45">
      <c r="A206" s="127">
        <f t="shared" si="6"/>
        <v>186</v>
      </c>
      <c r="B206" s="193" t="s">
        <v>203</v>
      </c>
      <c r="C206" s="127">
        <v>2</v>
      </c>
      <c r="D206" s="77">
        <f t="shared" si="0"/>
        <v>8.5</v>
      </c>
      <c r="E206" s="5">
        <f t="shared" si="1"/>
        <v>33660</v>
      </c>
      <c r="F206" s="77">
        <f t="shared" si="2"/>
        <v>5722.2000000000007</v>
      </c>
      <c r="G206" s="77">
        <f t="shared" si="3"/>
        <v>5493.3120000000008</v>
      </c>
      <c r="H206" s="77">
        <f>'Energy Usage'!O13</f>
        <v>25.291833140705997</v>
      </c>
      <c r="I206" s="77">
        <f t="shared" si="4"/>
        <v>7025.5092057516658</v>
      </c>
      <c r="J206" s="77">
        <f t="shared" si="5"/>
        <v>7318.2387559913186</v>
      </c>
      <c r="K206" s="77">
        <f t="shared" si="7"/>
        <v>12499.2267165335</v>
      </c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x14ac:dyDescent="0.45">
      <c r="A207" s="127">
        <f t="shared" si="6"/>
        <v>187</v>
      </c>
      <c r="B207" s="193" t="s">
        <v>203</v>
      </c>
      <c r="C207" s="127">
        <v>3</v>
      </c>
      <c r="D207" s="77">
        <f t="shared" si="0"/>
        <v>8.5</v>
      </c>
      <c r="E207" s="5">
        <f t="shared" si="1"/>
        <v>33660</v>
      </c>
      <c r="F207" s="77">
        <f t="shared" si="2"/>
        <v>5722.2000000000007</v>
      </c>
      <c r="G207" s="77">
        <f t="shared" si="3"/>
        <v>5493.3120000000008</v>
      </c>
      <c r="H207" s="77">
        <f>'Energy Usage'!O14</f>
        <v>3.1103999999999998</v>
      </c>
      <c r="I207" s="77">
        <f t="shared" si="4"/>
        <v>863.99999999999989</v>
      </c>
      <c r="J207" s="77">
        <f t="shared" si="5"/>
        <v>899.99999999999989</v>
      </c>
      <c r="K207" s="77">
        <f t="shared" si="7"/>
        <v>10674.299960542183</v>
      </c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x14ac:dyDescent="0.45">
      <c r="A208" s="127">
        <f t="shared" si="6"/>
        <v>188</v>
      </c>
      <c r="B208" s="193" t="s">
        <v>203</v>
      </c>
      <c r="C208" s="127">
        <v>4</v>
      </c>
      <c r="D208" s="77">
        <f t="shared" si="0"/>
        <v>8.5</v>
      </c>
      <c r="E208" s="5">
        <f t="shared" si="1"/>
        <v>33660</v>
      </c>
      <c r="F208" s="77">
        <f t="shared" si="2"/>
        <v>5722.2000000000007</v>
      </c>
      <c r="G208" s="77">
        <f t="shared" si="3"/>
        <v>5493.3120000000008</v>
      </c>
      <c r="H208" s="77">
        <f>'Energy Usage'!O15</f>
        <v>3.1103999999999998</v>
      </c>
      <c r="I208" s="77">
        <f t="shared" si="4"/>
        <v>863.99999999999989</v>
      </c>
      <c r="J208" s="77">
        <f t="shared" si="5"/>
        <v>899.99999999999989</v>
      </c>
      <c r="K208" s="77">
        <f t="shared" si="7"/>
        <v>14000</v>
      </c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x14ac:dyDescent="0.45">
      <c r="A209" s="127">
        <f t="shared" si="6"/>
        <v>189</v>
      </c>
      <c r="B209" s="193" t="s">
        <v>203</v>
      </c>
      <c r="C209" s="127">
        <v>5</v>
      </c>
      <c r="D209" s="77">
        <f t="shared" si="0"/>
        <v>8.5</v>
      </c>
      <c r="E209" s="5">
        <f t="shared" si="1"/>
        <v>33660</v>
      </c>
      <c r="F209" s="77">
        <f t="shared" si="2"/>
        <v>5722.2000000000007</v>
      </c>
      <c r="G209" s="77">
        <f t="shared" si="3"/>
        <v>5493.3120000000008</v>
      </c>
      <c r="H209" s="77">
        <f>'Energy Usage'!O16</f>
        <v>3.1103999999999998</v>
      </c>
      <c r="I209" s="77">
        <f t="shared" si="4"/>
        <v>863.99999999999989</v>
      </c>
      <c r="J209" s="77">
        <f t="shared" si="5"/>
        <v>899.99999999999989</v>
      </c>
      <c r="K209" s="77">
        <f t="shared" si="7"/>
        <v>14000</v>
      </c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x14ac:dyDescent="0.45">
      <c r="A210" s="127">
        <f t="shared" si="6"/>
        <v>190</v>
      </c>
      <c r="B210" s="193" t="s">
        <v>203</v>
      </c>
      <c r="C210" s="127">
        <v>6</v>
      </c>
      <c r="D210" s="77">
        <f t="shared" si="0"/>
        <v>8.5</v>
      </c>
      <c r="E210" s="5">
        <f t="shared" si="1"/>
        <v>33660</v>
      </c>
      <c r="F210" s="77">
        <f t="shared" si="2"/>
        <v>5722.2000000000007</v>
      </c>
      <c r="G210" s="77">
        <f t="shared" si="3"/>
        <v>5493.3120000000008</v>
      </c>
      <c r="H210" s="77">
        <f>'Energy Usage'!O17</f>
        <v>8.7117720052287844</v>
      </c>
      <c r="I210" s="77">
        <f t="shared" si="4"/>
        <v>2419.9366681191068</v>
      </c>
      <c r="J210" s="77">
        <f t="shared" si="5"/>
        <v>2520.7673626240698</v>
      </c>
      <c r="K210" s="77">
        <f t="shared" si="7"/>
        <v>14000</v>
      </c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x14ac:dyDescent="0.45">
      <c r="A211" s="127">
        <f t="shared" si="6"/>
        <v>191</v>
      </c>
      <c r="B211" s="193" t="s">
        <v>203</v>
      </c>
      <c r="C211" s="127">
        <v>7</v>
      </c>
      <c r="D211" s="77">
        <f t="shared" si="0"/>
        <v>8.5</v>
      </c>
      <c r="E211" s="5">
        <f t="shared" si="1"/>
        <v>33660</v>
      </c>
      <c r="F211" s="77">
        <f t="shared" si="2"/>
        <v>5722.2000000000007</v>
      </c>
      <c r="G211" s="77">
        <f t="shared" si="3"/>
        <v>5493.3120000000008</v>
      </c>
      <c r="H211" s="77">
        <f>'Energy Usage'!O18</f>
        <v>25.963997781333443</v>
      </c>
      <c r="I211" s="77">
        <f t="shared" si="4"/>
        <v>7212.2216059259563</v>
      </c>
      <c r="J211" s="77">
        <f t="shared" si="5"/>
        <v>7512.7308395062046</v>
      </c>
      <c r="K211" s="77">
        <f t="shared" si="7"/>
        <v>14000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x14ac:dyDescent="0.45">
      <c r="A212" s="127">
        <f t="shared" si="6"/>
        <v>192</v>
      </c>
      <c r="B212" s="193" t="s">
        <v>203</v>
      </c>
      <c r="C212" s="127">
        <v>8</v>
      </c>
      <c r="D212" s="77">
        <f t="shared" si="0"/>
        <v>8.5</v>
      </c>
      <c r="E212" s="5">
        <f t="shared" si="1"/>
        <v>33660</v>
      </c>
      <c r="F212" s="77">
        <f t="shared" si="2"/>
        <v>5722.2000000000007</v>
      </c>
      <c r="G212" s="77">
        <f t="shared" si="3"/>
        <v>5493.3120000000008</v>
      </c>
      <c r="H212" s="77">
        <f>'Energy Usage'!O19</f>
        <v>28.571181841949024</v>
      </c>
      <c r="I212" s="77">
        <f t="shared" si="4"/>
        <v>7936.4394005413951</v>
      </c>
      <c r="J212" s="77">
        <f t="shared" si="5"/>
        <v>8267.1243755639534</v>
      </c>
      <c r="K212" s="77">
        <f t="shared" si="7"/>
        <v>11980.581160493797</v>
      </c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x14ac:dyDescent="0.45">
      <c r="A213" s="127">
        <f t="shared" si="6"/>
        <v>193</v>
      </c>
      <c r="B213" s="193" t="s">
        <v>203</v>
      </c>
      <c r="C213" s="127">
        <v>9</v>
      </c>
      <c r="D213" s="77">
        <f t="shared" si="0"/>
        <v>8.5</v>
      </c>
      <c r="E213" s="5">
        <f t="shared" si="1"/>
        <v>33660</v>
      </c>
      <c r="F213" s="77">
        <f t="shared" si="2"/>
        <v>5722.2000000000007</v>
      </c>
      <c r="G213" s="77">
        <f t="shared" si="3"/>
        <v>5493.3120000000008</v>
      </c>
      <c r="H213" s="77">
        <f>'Energy Usage'!O20</f>
        <v>28.571181841949024</v>
      </c>
      <c r="I213" s="77">
        <f t="shared" si="4"/>
        <v>7936.4394005413951</v>
      </c>
      <c r="J213" s="77">
        <f t="shared" si="5"/>
        <v>8267.1243755639534</v>
      </c>
      <c r="K213" s="77">
        <f t="shared" si="7"/>
        <v>9206.7687849298436</v>
      </c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x14ac:dyDescent="0.45">
      <c r="A214" s="127">
        <f t="shared" si="6"/>
        <v>194</v>
      </c>
      <c r="B214" s="193" t="s">
        <v>203</v>
      </c>
      <c r="C214" s="127">
        <v>10</v>
      </c>
      <c r="D214" s="77">
        <f t="shared" si="0"/>
        <v>8.5</v>
      </c>
      <c r="E214" s="5">
        <f t="shared" si="1"/>
        <v>33660</v>
      </c>
      <c r="F214" s="77">
        <f t="shared" si="2"/>
        <v>5722.2000000000007</v>
      </c>
      <c r="G214" s="77">
        <f t="shared" si="3"/>
        <v>5493.3120000000008</v>
      </c>
      <c r="H214" s="77">
        <f>'Energy Usage'!O21</f>
        <v>28.571181841949024</v>
      </c>
      <c r="I214" s="77">
        <f t="shared" si="4"/>
        <v>7936.4394005413951</v>
      </c>
      <c r="J214" s="77">
        <f t="shared" si="5"/>
        <v>8267.1243755639534</v>
      </c>
      <c r="K214" s="77">
        <f t="shared" si="7"/>
        <v>6432.9564093658901</v>
      </c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x14ac:dyDescent="0.45">
      <c r="A215" s="127">
        <f t="shared" si="6"/>
        <v>195</v>
      </c>
      <c r="B215" s="193" t="s">
        <v>203</v>
      </c>
      <c r="C215" s="127">
        <v>11</v>
      </c>
      <c r="D215" s="77">
        <f t="shared" si="0"/>
        <v>8.5</v>
      </c>
      <c r="E215" s="5">
        <f t="shared" si="1"/>
        <v>33660</v>
      </c>
      <c r="F215" s="77">
        <f t="shared" si="2"/>
        <v>5722.2000000000007</v>
      </c>
      <c r="G215" s="77">
        <f t="shared" si="3"/>
        <v>5493.3120000000008</v>
      </c>
      <c r="H215" s="77">
        <f>'Energy Usage'!O22</f>
        <v>19.242351375058895</v>
      </c>
      <c r="I215" s="77">
        <f t="shared" si="4"/>
        <v>5345.0976041830263</v>
      </c>
      <c r="J215" s="77">
        <f t="shared" si="5"/>
        <v>5567.8100043573195</v>
      </c>
      <c r="K215" s="77">
        <f t="shared" si="7"/>
        <v>3659.1440338019365</v>
      </c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x14ac:dyDescent="0.45">
      <c r="A216" s="127">
        <f t="shared" si="6"/>
        <v>196</v>
      </c>
      <c r="B216" s="193" t="s">
        <v>203</v>
      </c>
      <c r="C216" s="127">
        <v>12</v>
      </c>
      <c r="D216" s="77">
        <f t="shared" si="0"/>
        <v>8.5</v>
      </c>
      <c r="E216" s="5">
        <f t="shared" si="1"/>
        <v>33660</v>
      </c>
      <c r="F216" s="77">
        <f t="shared" si="2"/>
        <v>5722.2000000000007</v>
      </c>
      <c r="G216" s="77">
        <f t="shared" si="3"/>
        <v>5493.3120000000008</v>
      </c>
      <c r="H216" s="77">
        <f>'Energy Usage'!O23</f>
        <v>28.571181841949024</v>
      </c>
      <c r="I216" s="77">
        <f t="shared" si="4"/>
        <v>7936.4394005413951</v>
      </c>
      <c r="J216" s="77">
        <f t="shared" si="5"/>
        <v>8267.1243755639534</v>
      </c>
      <c r="K216" s="77">
        <f t="shared" si="7"/>
        <v>3584.6460294446169</v>
      </c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x14ac:dyDescent="0.45">
      <c r="A217" s="127">
        <f t="shared" si="6"/>
        <v>197</v>
      </c>
      <c r="B217" s="193" t="s">
        <v>203</v>
      </c>
      <c r="C217" s="127">
        <v>13</v>
      </c>
      <c r="D217" s="77">
        <f t="shared" si="0"/>
        <v>8.5</v>
      </c>
      <c r="E217" s="5">
        <f t="shared" si="1"/>
        <v>33660</v>
      </c>
      <c r="F217" s="77">
        <f t="shared" si="2"/>
        <v>5722.2000000000007</v>
      </c>
      <c r="G217" s="77">
        <f t="shared" si="3"/>
        <v>5493.3120000000008</v>
      </c>
      <c r="H217" s="77">
        <f>'Energy Usage'!O24</f>
        <v>13.865034250039265</v>
      </c>
      <c r="I217" s="77">
        <f t="shared" si="4"/>
        <v>3851.398402788685</v>
      </c>
      <c r="J217" s="77">
        <f t="shared" si="5"/>
        <v>4011.8733362382136</v>
      </c>
      <c r="K217" s="77">
        <f t="shared" si="7"/>
        <v>810.83365388066341</v>
      </c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x14ac:dyDescent="0.45">
      <c r="A218" s="127">
        <f t="shared" si="6"/>
        <v>198</v>
      </c>
      <c r="B218" s="193" t="s">
        <v>203</v>
      </c>
      <c r="C218" s="127">
        <v>14</v>
      </c>
      <c r="D218" s="77">
        <f t="shared" si="0"/>
        <v>8.5</v>
      </c>
      <c r="E218" s="5">
        <f t="shared" si="1"/>
        <v>33660</v>
      </c>
      <c r="F218" s="77">
        <f t="shared" si="2"/>
        <v>5722.2000000000007</v>
      </c>
      <c r="G218" s="77">
        <f t="shared" si="3"/>
        <v>5493.3120000000008</v>
      </c>
      <c r="H218" s="77">
        <f>'Energy Usage'!O25</f>
        <v>9.6079915260653888</v>
      </c>
      <c r="I218" s="77">
        <f t="shared" si="4"/>
        <v>2668.8865350181636</v>
      </c>
      <c r="J218" s="77">
        <f t="shared" si="5"/>
        <v>2780.0901406439207</v>
      </c>
      <c r="K218" s="77">
        <f t="shared" si="7"/>
        <v>2292.2723176424506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x14ac:dyDescent="0.45">
      <c r="A219" s="127">
        <f t="shared" si="6"/>
        <v>199</v>
      </c>
      <c r="B219" s="193" t="s">
        <v>203</v>
      </c>
      <c r="C219" s="127">
        <v>15</v>
      </c>
      <c r="D219" s="77">
        <f t="shared" si="0"/>
        <v>8.5</v>
      </c>
      <c r="E219" s="5">
        <f t="shared" si="1"/>
        <v>33660</v>
      </c>
      <c r="F219" s="77">
        <f t="shared" si="2"/>
        <v>5722.2000000000007</v>
      </c>
      <c r="G219" s="77">
        <f t="shared" si="3"/>
        <v>5493.3120000000008</v>
      </c>
      <c r="H219" s="77">
        <f>'Energy Usage'!O26</f>
        <v>4.9028390416732117</v>
      </c>
      <c r="I219" s="77">
        <f t="shared" si="4"/>
        <v>1361.8997337981143</v>
      </c>
      <c r="J219" s="77">
        <f t="shared" si="5"/>
        <v>1418.6455560397026</v>
      </c>
      <c r="K219" s="77">
        <f t="shared" si="7"/>
        <v>5005.4941769985307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x14ac:dyDescent="0.45">
      <c r="A220" s="127">
        <f t="shared" si="6"/>
        <v>200</v>
      </c>
      <c r="B220" s="193" t="s">
        <v>203</v>
      </c>
      <c r="C220" s="127">
        <v>16</v>
      </c>
      <c r="D220" s="77">
        <f t="shared" si="0"/>
        <v>8.5</v>
      </c>
      <c r="E220" s="5">
        <f t="shared" si="1"/>
        <v>33660</v>
      </c>
      <c r="F220" s="77">
        <f t="shared" si="2"/>
        <v>5722.2000000000007</v>
      </c>
      <c r="G220" s="77">
        <f t="shared" si="3"/>
        <v>5493.3120000000008</v>
      </c>
      <c r="H220" s="77">
        <f>'Energy Usage'!O27</f>
        <v>4.0066195208366056</v>
      </c>
      <c r="I220" s="77">
        <f t="shared" si="4"/>
        <v>1112.949866899057</v>
      </c>
      <c r="J220" s="77">
        <f t="shared" si="5"/>
        <v>1159.3227780198511</v>
      </c>
      <c r="K220" s="77">
        <f t="shared" si="7"/>
        <v>9080.1606209588299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x14ac:dyDescent="0.45">
      <c r="A221" s="127">
        <f t="shared" si="6"/>
        <v>201</v>
      </c>
      <c r="B221" s="193" t="s">
        <v>203</v>
      </c>
      <c r="C221" s="127">
        <v>17</v>
      </c>
      <c r="D221" s="77">
        <f t="shared" si="0"/>
        <v>8.5</v>
      </c>
      <c r="E221" s="5">
        <f t="shared" si="1"/>
        <v>33660</v>
      </c>
      <c r="F221" s="77">
        <f t="shared" si="2"/>
        <v>5722.2000000000007</v>
      </c>
      <c r="G221" s="77">
        <f t="shared" si="3"/>
        <v>5493.3120000000008</v>
      </c>
      <c r="H221" s="77">
        <f>'Energy Usage'!O28</f>
        <v>3.1103999999999998</v>
      </c>
      <c r="I221" s="77">
        <f t="shared" si="4"/>
        <v>863.99999999999989</v>
      </c>
      <c r="J221" s="77">
        <f t="shared" si="5"/>
        <v>899.99999999999989</v>
      </c>
      <c r="K221" s="77">
        <f t="shared" si="7"/>
        <v>13414.149842938979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x14ac:dyDescent="0.45">
      <c r="A222" s="127">
        <f t="shared" si="6"/>
        <v>202</v>
      </c>
      <c r="B222" s="193" t="s">
        <v>203</v>
      </c>
      <c r="C222" s="127">
        <v>18</v>
      </c>
      <c r="D222" s="77">
        <f t="shared" si="0"/>
        <v>8.5</v>
      </c>
      <c r="E222" s="5">
        <f t="shared" si="1"/>
        <v>33660</v>
      </c>
      <c r="F222" s="77">
        <f t="shared" si="2"/>
        <v>5722.2000000000007</v>
      </c>
      <c r="G222" s="77">
        <f t="shared" si="3"/>
        <v>5493.3120000000008</v>
      </c>
      <c r="H222" s="77">
        <f>'Energy Usage'!O29</f>
        <v>6.0231134427189676</v>
      </c>
      <c r="I222" s="77">
        <f t="shared" si="4"/>
        <v>1673.0870674219354</v>
      </c>
      <c r="J222" s="77">
        <f t="shared" si="5"/>
        <v>1742.7990285645162</v>
      </c>
      <c r="K222" s="77">
        <f t="shared" si="7"/>
        <v>14000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x14ac:dyDescent="0.45">
      <c r="A223" s="127">
        <f t="shared" si="6"/>
        <v>203</v>
      </c>
      <c r="B223" s="193" t="s">
        <v>203</v>
      </c>
      <c r="C223" s="127">
        <v>19</v>
      </c>
      <c r="D223" s="77">
        <f t="shared" si="0"/>
        <v>8.5</v>
      </c>
      <c r="E223" s="5">
        <f t="shared" si="1"/>
        <v>33660</v>
      </c>
      <c r="F223" s="77">
        <f t="shared" si="2"/>
        <v>5722.2000000000007</v>
      </c>
      <c r="G223" s="77">
        <f t="shared" si="3"/>
        <v>5493.3120000000008</v>
      </c>
      <c r="H223" s="77">
        <f>'Energy Usage'!O30</f>
        <v>4.2306744010457571</v>
      </c>
      <c r="I223" s="77">
        <f t="shared" si="4"/>
        <v>1175.1873336238214</v>
      </c>
      <c r="J223" s="77">
        <f t="shared" si="5"/>
        <v>1224.1534725248139</v>
      </c>
      <c r="K223" s="77">
        <f t="shared" si="7"/>
        <v>14000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x14ac:dyDescent="0.45">
      <c r="A224" s="127">
        <f t="shared" si="6"/>
        <v>204</v>
      </c>
      <c r="B224" s="193" t="s">
        <v>203</v>
      </c>
      <c r="C224" s="127">
        <v>20</v>
      </c>
      <c r="D224" s="77">
        <f t="shared" si="0"/>
        <v>8.5</v>
      </c>
      <c r="E224" s="5">
        <f t="shared" si="1"/>
        <v>33660</v>
      </c>
      <c r="F224" s="77">
        <f t="shared" si="2"/>
        <v>5722.2000000000007</v>
      </c>
      <c r="G224" s="77">
        <f t="shared" si="3"/>
        <v>5493.3120000000008</v>
      </c>
      <c r="H224" s="77">
        <f>'Energy Usage'!O31</f>
        <v>3.782564640627454</v>
      </c>
      <c r="I224" s="77">
        <f t="shared" si="4"/>
        <v>1050.7124001742927</v>
      </c>
      <c r="J224" s="77">
        <f t="shared" si="5"/>
        <v>1094.4920835148882</v>
      </c>
      <c r="K224" s="77">
        <f t="shared" si="7"/>
        <v>14000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x14ac:dyDescent="0.45">
      <c r="A225" s="127">
        <f t="shared" si="6"/>
        <v>205</v>
      </c>
      <c r="B225" s="193" t="s">
        <v>203</v>
      </c>
      <c r="C225" s="127">
        <v>21</v>
      </c>
      <c r="D225" s="77">
        <f t="shared" si="0"/>
        <v>8.5</v>
      </c>
      <c r="E225" s="5">
        <f t="shared" si="1"/>
        <v>33660</v>
      </c>
      <c r="F225" s="77">
        <f t="shared" si="2"/>
        <v>5722.2000000000007</v>
      </c>
      <c r="G225" s="77">
        <f t="shared" si="3"/>
        <v>5493.3120000000008</v>
      </c>
      <c r="H225" s="77">
        <f>'Energy Usage'!O32</f>
        <v>4.0066195208366056</v>
      </c>
      <c r="I225" s="77">
        <f t="shared" si="4"/>
        <v>1112.949866899057</v>
      </c>
      <c r="J225" s="77">
        <f t="shared" si="5"/>
        <v>1159.3227780198511</v>
      </c>
      <c r="K225" s="77">
        <f t="shared" si="7"/>
        <v>14000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x14ac:dyDescent="0.45">
      <c r="A226" s="127">
        <f t="shared" si="6"/>
        <v>206</v>
      </c>
      <c r="B226" s="193" t="s">
        <v>203</v>
      </c>
      <c r="C226" s="127">
        <v>22</v>
      </c>
      <c r="D226" s="77">
        <f t="shared" si="0"/>
        <v>8.5</v>
      </c>
      <c r="E226" s="5">
        <f t="shared" si="1"/>
        <v>33660</v>
      </c>
      <c r="F226" s="77">
        <f t="shared" si="2"/>
        <v>5722.2000000000007</v>
      </c>
      <c r="G226" s="77">
        <f t="shared" si="3"/>
        <v>5493.3120000000008</v>
      </c>
      <c r="H226" s="77">
        <f>'Energy Usage'!O33</f>
        <v>3.782564640627454</v>
      </c>
      <c r="I226" s="77">
        <f t="shared" si="4"/>
        <v>1050.7124001742927</v>
      </c>
      <c r="J226" s="77">
        <f t="shared" si="5"/>
        <v>1094.4920835148882</v>
      </c>
      <c r="K226" s="77">
        <f t="shared" si="7"/>
        <v>14000</v>
      </c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x14ac:dyDescent="0.45">
      <c r="A227" s="127">
        <f t="shared" si="6"/>
        <v>207</v>
      </c>
      <c r="B227" s="193" t="s">
        <v>203</v>
      </c>
      <c r="C227" s="127">
        <v>23</v>
      </c>
      <c r="D227" s="77">
        <f t="shared" si="0"/>
        <v>8.5</v>
      </c>
      <c r="E227" s="5">
        <f t="shared" si="1"/>
        <v>33660</v>
      </c>
      <c r="F227" s="77">
        <f t="shared" si="2"/>
        <v>5722.2000000000007</v>
      </c>
      <c r="G227" s="77">
        <f t="shared" si="3"/>
        <v>5493.3120000000008</v>
      </c>
      <c r="H227" s="77">
        <f>'Energy Usage'!O34</f>
        <v>3.1103999999999998</v>
      </c>
      <c r="I227" s="77">
        <f t="shared" si="4"/>
        <v>863.99999999999989</v>
      </c>
      <c r="J227" s="77">
        <f t="shared" si="5"/>
        <v>899.99999999999989</v>
      </c>
      <c r="K227" s="77">
        <f t="shared" si="7"/>
        <v>14000</v>
      </c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x14ac:dyDescent="0.45">
      <c r="A228" s="127">
        <f t="shared" si="6"/>
        <v>208</v>
      </c>
      <c r="B228" s="193" t="s">
        <v>203</v>
      </c>
      <c r="C228" s="127">
        <v>24</v>
      </c>
      <c r="D228" s="77">
        <f t="shared" si="0"/>
        <v>8.5</v>
      </c>
      <c r="E228" s="5">
        <f t="shared" si="1"/>
        <v>33660</v>
      </c>
      <c r="F228" s="77">
        <f t="shared" si="2"/>
        <v>5722.2000000000007</v>
      </c>
      <c r="G228" s="77">
        <f t="shared" si="3"/>
        <v>5493.3120000000008</v>
      </c>
      <c r="H228" s="77">
        <f>'Energy Usage'!O35</f>
        <v>3.1103999999999998</v>
      </c>
      <c r="I228" s="77">
        <f t="shared" si="4"/>
        <v>863.99999999999989</v>
      </c>
      <c r="J228" s="77">
        <f t="shared" si="5"/>
        <v>899.99999999999989</v>
      </c>
      <c r="K228" s="77">
        <f t="shared" si="7"/>
        <v>14000</v>
      </c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x14ac:dyDescent="0.45">
      <c r="A229" s="127">
        <f t="shared" si="6"/>
        <v>209</v>
      </c>
      <c r="B229" s="193" t="s">
        <v>203</v>
      </c>
      <c r="C229" s="127">
        <v>25</v>
      </c>
      <c r="D229" s="77">
        <f t="shared" si="0"/>
        <v>8.5</v>
      </c>
      <c r="E229" s="5">
        <f t="shared" si="1"/>
        <v>33660</v>
      </c>
      <c r="F229" s="77">
        <f t="shared" si="2"/>
        <v>5722.2000000000007</v>
      </c>
      <c r="G229" s="77">
        <f t="shared" si="3"/>
        <v>5493.3120000000008</v>
      </c>
      <c r="H229" s="77">
        <f>'Energy Usage'!O36</f>
        <v>3.1103999999999998</v>
      </c>
      <c r="I229" s="77">
        <f t="shared" si="4"/>
        <v>863.99999999999989</v>
      </c>
      <c r="J229" s="77">
        <f t="shared" si="5"/>
        <v>899.99999999999989</v>
      </c>
      <c r="K229" s="77">
        <f t="shared" si="7"/>
        <v>14000</v>
      </c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x14ac:dyDescent="0.45">
      <c r="A230" s="127">
        <f t="shared" si="6"/>
        <v>210</v>
      </c>
      <c r="B230" s="193" t="s">
        <v>203</v>
      </c>
      <c r="C230" s="127">
        <v>26</v>
      </c>
      <c r="D230" s="77">
        <f t="shared" si="0"/>
        <v>8.5</v>
      </c>
      <c r="E230" s="5">
        <f t="shared" si="1"/>
        <v>33660</v>
      </c>
      <c r="F230" s="77">
        <f t="shared" si="2"/>
        <v>5722.2000000000007</v>
      </c>
      <c r="G230" s="77">
        <f t="shared" si="3"/>
        <v>5493.3120000000008</v>
      </c>
      <c r="H230" s="77">
        <f>'Energy Usage'!O37</f>
        <v>3.1103999999999998</v>
      </c>
      <c r="I230" s="77">
        <f t="shared" si="4"/>
        <v>863.99999999999989</v>
      </c>
      <c r="J230" s="77">
        <f t="shared" si="5"/>
        <v>899.99999999999989</v>
      </c>
      <c r="K230" s="77">
        <f t="shared" si="7"/>
        <v>14000</v>
      </c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x14ac:dyDescent="0.45">
      <c r="A231" s="127">
        <f t="shared" si="6"/>
        <v>211</v>
      </c>
      <c r="B231" s="193" t="s">
        <v>203</v>
      </c>
      <c r="C231" s="127">
        <v>27</v>
      </c>
      <c r="D231" s="77">
        <f t="shared" si="0"/>
        <v>8.5</v>
      </c>
      <c r="E231" s="5">
        <f t="shared" si="1"/>
        <v>33660</v>
      </c>
      <c r="F231" s="77">
        <f t="shared" si="2"/>
        <v>5722.2000000000007</v>
      </c>
      <c r="G231" s="77">
        <f t="shared" si="3"/>
        <v>5493.3120000000008</v>
      </c>
      <c r="H231" s="77">
        <f>'Energy Usage'!O38</f>
        <v>22.827229458405327</v>
      </c>
      <c r="I231" s="77">
        <f t="shared" si="4"/>
        <v>6340.8970717792572</v>
      </c>
      <c r="J231" s="77">
        <f t="shared" si="5"/>
        <v>6605.1011164367264</v>
      </c>
      <c r="K231" s="77">
        <f t="shared" si="7"/>
        <v>14000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x14ac:dyDescent="0.45">
      <c r="A232" s="127">
        <f t="shared" si="6"/>
        <v>212</v>
      </c>
      <c r="B232" s="193" t="s">
        <v>203</v>
      </c>
      <c r="C232" s="127">
        <v>28</v>
      </c>
      <c r="D232" s="77">
        <f t="shared" si="0"/>
        <v>8.5</v>
      </c>
      <c r="E232" s="5">
        <f t="shared" si="1"/>
        <v>33660</v>
      </c>
      <c r="F232" s="77">
        <f t="shared" si="2"/>
        <v>5722.2000000000007</v>
      </c>
      <c r="G232" s="77">
        <f t="shared" si="3"/>
        <v>5493.3120000000008</v>
      </c>
      <c r="H232" s="77">
        <f>'Energy Usage'!O39</f>
        <v>3.1103999999999998</v>
      </c>
      <c r="I232" s="77">
        <f t="shared" si="4"/>
        <v>863.99999999999989</v>
      </c>
      <c r="J232" s="77">
        <f t="shared" si="5"/>
        <v>899.99999999999989</v>
      </c>
      <c r="K232" s="77">
        <f t="shared" si="7"/>
        <v>12888.210883563275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x14ac:dyDescent="0.45">
      <c r="A233" s="127">
        <f t="shared" si="6"/>
        <v>213</v>
      </c>
      <c r="B233" s="193" t="s">
        <v>203</v>
      </c>
      <c r="C233" s="127">
        <v>29</v>
      </c>
      <c r="D233" s="77">
        <f t="shared" si="0"/>
        <v>8.5</v>
      </c>
      <c r="E233" s="5">
        <f t="shared" si="1"/>
        <v>33660</v>
      </c>
      <c r="F233" s="77">
        <f t="shared" si="2"/>
        <v>5722.2000000000007</v>
      </c>
      <c r="G233" s="77">
        <f t="shared" si="3"/>
        <v>5493.3120000000008</v>
      </c>
      <c r="H233" s="77">
        <f>'Energy Usage'!O40</f>
        <v>3.1103999999999998</v>
      </c>
      <c r="I233" s="77">
        <f t="shared" si="4"/>
        <v>863.99999999999989</v>
      </c>
      <c r="J233" s="77">
        <f t="shared" si="5"/>
        <v>899.99999999999989</v>
      </c>
      <c r="K233" s="77">
        <f t="shared" si="7"/>
        <v>14000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x14ac:dyDescent="0.45">
      <c r="A234" s="127">
        <f t="shared" si="6"/>
        <v>214</v>
      </c>
      <c r="B234" s="193" t="s">
        <v>203</v>
      </c>
      <c r="C234" s="127">
        <v>30</v>
      </c>
      <c r="D234" s="77">
        <f t="shared" si="0"/>
        <v>8.5</v>
      </c>
      <c r="E234" s="5">
        <f t="shared" si="1"/>
        <v>33660</v>
      </c>
      <c r="F234" s="77">
        <f t="shared" si="2"/>
        <v>5722.2000000000007</v>
      </c>
      <c r="G234" s="77">
        <f t="shared" si="3"/>
        <v>5493.3120000000008</v>
      </c>
      <c r="H234" s="77">
        <f>'Energy Usage'!O41</f>
        <v>3.1103999999999998</v>
      </c>
      <c r="I234" s="77">
        <f t="shared" si="4"/>
        <v>863.99999999999989</v>
      </c>
      <c r="J234" s="77">
        <f t="shared" si="5"/>
        <v>899.99999999999989</v>
      </c>
      <c r="K234" s="77">
        <f t="shared" si="7"/>
        <v>14000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x14ac:dyDescent="0.45">
      <c r="A235" s="127">
        <f t="shared" si="6"/>
        <v>215</v>
      </c>
      <c r="B235" s="193" t="s">
        <v>203</v>
      </c>
      <c r="C235" s="127">
        <v>31</v>
      </c>
      <c r="D235" s="77">
        <f t="shared" si="0"/>
        <v>8.5</v>
      </c>
      <c r="E235" s="5">
        <f t="shared" si="1"/>
        <v>33660</v>
      </c>
      <c r="F235" s="77">
        <f t="shared" si="2"/>
        <v>5722.2000000000007</v>
      </c>
      <c r="G235" s="77">
        <f t="shared" si="3"/>
        <v>5493.3120000000008</v>
      </c>
      <c r="H235" s="77">
        <f>'Energy Usage'!O42</f>
        <v>6.0231134427189676</v>
      </c>
      <c r="I235" s="77">
        <f t="shared" si="4"/>
        <v>1673.0870674219354</v>
      </c>
      <c r="J235" s="77">
        <f t="shared" si="5"/>
        <v>1742.7990285645162</v>
      </c>
      <c r="K235" s="77">
        <f t="shared" si="7"/>
        <v>14000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x14ac:dyDescent="0.45">
      <c r="A236" s="127">
        <f t="shared" si="6"/>
        <v>216</v>
      </c>
      <c r="B236" s="193" t="s">
        <v>205</v>
      </c>
      <c r="C236" s="127">
        <v>1</v>
      </c>
      <c r="D236" s="77">
        <f t="shared" si="0"/>
        <v>10</v>
      </c>
      <c r="E236" s="5">
        <f t="shared" si="1"/>
        <v>39600</v>
      </c>
      <c r="F236" s="77">
        <f t="shared" si="2"/>
        <v>6732.0000000000009</v>
      </c>
      <c r="G236" s="77">
        <f t="shared" si="3"/>
        <v>6462.72</v>
      </c>
      <c r="H236" s="77">
        <f>'Energy Usage'!O43</f>
        <v>6.0231134427189676</v>
      </c>
      <c r="I236" s="77">
        <f t="shared" si="4"/>
        <v>1673.0870674219354</v>
      </c>
      <c r="J236" s="77">
        <f t="shared" si="5"/>
        <v>1742.7990285645162</v>
      </c>
      <c r="K236" s="77">
        <f t="shared" si="7"/>
        <v>14000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x14ac:dyDescent="0.45">
      <c r="A237" s="127">
        <f t="shared" si="6"/>
        <v>217</v>
      </c>
      <c r="B237" s="193" t="s">
        <v>205</v>
      </c>
      <c r="C237" s="127">
        <v>2</v>
      </c>
      <c r="D237" s="77">
        <f t="shared" si="0"/>
        <v>10</v>
      </c>
      <c r="E237" s="5">
        <f t="shared" si="1"/>
        <v>39600</v>
      </c>
      <c r="F237" s="77">
        <f t="shared" si="2"/>
        <v>6732.0000000000009</v>
      </c>
      <c r="G237" s="77">
        <f t="shared" si="3"/>
        <v>6462.72</v>
      </c>
      <c r="H237" s="77">
        <f>'Energy Usage'!O44</f>
        <v>3.1103999999999998</v>
      </c>
      <c r="I237" s="77">
        <f t="shared" si="4"/>
        <v>863.99999999999989</v>
      </c>
      <c r="J237" s="77">
        <f t="shared" si="5"/>
        <v>899.99999999999989</v>
      </c>
      <c r="K237" s="77">
        <f t="shared" si="7"/>
        <v>14000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x14ac:dyDescent="0.45">
      <c r="A238" s="127">
        <f t="shared" si="6"/>
        <v>218</v>
      </c>
      <c r="B238" s="193" t="s">
        <v>205</v>
      </c>
      <c r="C238" s="127">
        <v>3</v>
      </c>
      <c r="D238" s="77">
        <f t="shared" si="0"/>
        <v>10</v>
      </c>
      <c r="E238" s="5">
        <f t="shared" si="1"/>
        <v>39600</v>
      </c>
      <c r="F238" s="77">
        <f t="shared" si="2"/>
        <v>6732.0000000000009</v>
      </c>
      <c r="G238" s="77">
        <f t="shared" si="3"/>
        <v>6462.72</v>
      </c>
      <c r="H238" s="77">
        <f>'Energy Usage'!O45</f>
        <v>3.1103999999999998</v>
      </c>
      <c r="I238" s="77">
        <f t="shared" si="4"/>
        <v>863.99999999999989</v>
      </c>
      <c r="J238" s="77">
        <f t="shared" si="5"/>
        <v>899.99999999999989</v>
      </c>
      <c r="K238" s="77">
        <f t="shared" si="7"/>
        <v>14000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x14ac:dyDescent="0.45">
      <c r="A239" s="127">
        <f t="shared" si="6"/>
        <v>219</v>
      </c>
      <c r="B239" s="193" t="s">
        <v>205</v>
      </c>
      <c r="C239" s="127">
        <v>4</v>
      </c>
      <c r="D239" s="77">
        <f t="shared" si="0"/>
        <v>10</v>
      </c>
      <c r="E239" s="5">
        <f t="shared" si="1"/>
        <v>39600</v>
      </c>
      <c r="F239" s="77">
        <f t="shared" si="2"/>
        <v>6732.0000000000009</v>
      </c>
      <c r="G239" s="77">
        <f t="shared" si="3"/>
        <v>6462.72</v>
      </c>
      <c r="H239" s="77">
        <f>'Energy Usage'!O46</f>
        <v>3.1103999999999998</v>
      </c>
      <c r="I239" s="77">
        <f t="shared" si="4"/>
        <v>863.99999999999989</v>
      </c>
      <c r="J239" s="77">
        <f t="shared" si="5"/>
        <v>899.99999999999989</v>
      </c>
      <c r="K239" s="77">
        <f t="shared" si="7"/>
        <v>14000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x14ac:dyDescent="0.45">
      <c r="A240" s="127">
        <f t="shared" si="6"/>
        <v>220</v>
      </c>
      <c r="B240" s="193" t="s">
        <v>205</v>
      </c>
      <c r="C240" s="127">
        <v>5</v>
      </c>
      <c r="D240" s="77">
        <f t="shared" si="0"/>
        <v>10</v>
      </c>
      <c r="E240" s="5">
        <f t="shared" si="1"/>
        <v>39600</v>
      </c>
      <c r="F240" s="77">
        <f t="shared" si="2"/>
        <v>6732.0000000000009</v>
      </c>
      <c r="G240" s="77">
        <f t="shared" si="3"/>
        <v>6462.72</v>
      </c>
      <c r="H240" s="77">
        <f>'Energy Usage'!O47</f>
        <v>3.1103999999999998</v>
      </c>
      <c r="I240" s="77">
        <f t="shared" si="4"/>
        <v>863.99999999999989</v>
      </c>
      <c r="J240" s="77">
        <f t="shared" si="5"/>
        <v>899.99999999999989</v>
      </c>
      <c r="K240" s="77">
        <f t="shared" si="7"/>
        <v>14000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x14ac:dyDescent="0.45">
      <c r="A241" s="127">
        <f t="shared" si="6"/>
        <v>221</v>
      </c>
      <c r="B241" s="193" t="s">
        <v>205</v>
      </c>
      <c r="C241" s="127">
        <v>6</v>
      </c>
      <c r="D241" s="77">
        <f t="shared" si="0"/>
        <v>10</v>
      </c>
      <c r="E241" s="5">
        <f t="shared" si="1"/>
        <v>39600</v>
      </c>
      <c r="F241" s="77">
        <f t="shared" si="2"/>
        <v>6732.0000000000009</v>
      </c>
      <c r="G241" s="77">
        <f t="shared" si="3"/>
        <v>6462.72</v>
      </c>
      <c r="H241" s="77">
        <f>'Energy Usage'!O48</f>
        <v>3.1103999999999998</v>
      </c>
      <c r="I241" s="77">
        <f t="shared" si="4"/>
        <v>863.99999999999989</v>
      </c>
      <c r="J241" s="77">
        <f t="shared" si="5"/>
        <v>899.99999999999989</v>
      </c>
      <c r="K241" s="77">
        <f t="shared" si="7"/>
        <v>14000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x14ac:dyDescent="0.45">
      <c r="A242" s="127">
        <f t="shared" si="6"/>
        <v>222</v>
      </c>
      <c r="B242" s="193" t="s">
        <v>205</v>
      </c>
      <c r="C242" s="127">
        <v>7</v>
      </c>
      <c r="D242" s="77">
        <f t="shared" si="0"/>
        <v>10</v>
      </c>
      <c r="E242" s="5">
        <f t="shared" si="1"/>
        <v>39600</v>
      </c>
      <c r="F242" s="77">
        <f t="shared" si="2"/>
        <v>6732.0000000000009</v>
      </c>
      <c r="G242" s="77">
        <f t="shared" si="3"/>
        <v>6462.72</v>
      </c>
      <c r="H242" s="77">
        <f>'Energy Usage'!O49</f>
        <v>3.1103999999999998</v>
      </c>
      <c r="I242" s="77">
        <f t="shared" si="4"/>
        <v>863.99999999999989</v>
      </c>
      <c r="J242" s="77">
        <f t="shared" si="5"/>
        <v>899.99999999999989</v>
      </c>
      <c r="K242" s="77">
        <f t="shared" si="7"/>
        <v>14000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x14ac:dyDescent="0.45">
      <c r="A243" s="127">
        <f t="shared" si="6"/>
        <v>223</v>
      </c>
      <c r="B243" s="193" t="s">
        <v>205</v>
      </c>
      <c r="C243" s="127">
        <v>8</v>
      </c>
      <c r="D243" s="77">
        <f t="shared" si="0"/>
        <v>10</v>
      </c>
      <c r="E243" s="5">
        <f t="shared" si="1"/>
        <v>39600</v>
      </c>
      <c r="F243" s="77">
        <f t="shared" si="2"/>
        <v>6732.0000000000009</v>
      </c>
      <c r="G243" s="77">
        <f t="shared" si="3"/>
        <v>6462.72</v>
      </c>
      <c r="H243" s="77">
        <f>'Energy Usage'!O50</f>
        <v>3.1103999999999998</v>
      </c>
      <c r="I243" s="77">
        <f t="shared" si="4"/>
        <v>863.99999999999989</v>
      </c>
      <c r="J243" s="77">
        <f t="shared" si="5"/>
        <v>899.99999999999989</v>
      </c>
      <c r="K243" s="77">
        <f t="shared" si="7"/>
        <v>14000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x14ac:dyDescent="0.45">
      <c r="A244" s="127">
        <f t="shared" si="6"/>
        <v>224</v>
      </c>
      <c r="B244" s="193" t="s">
        <v>205</v>
      </c>
      <c r="C244" s="127">
        <v>9</v>
      </c>
      <c r="D244" s="77">
        <f t="shared" si="0"/>
        <v>10</v>
      </c>
      <c r="E244" s="5">
        <f t="shared" si="1"/>
        <v>39600</v>
      </c>
      <c r="F244" s="77">
        <f t="shared" si="2"/>
        <v>6732.0000000000009</v>
      </c>
      <c r="G244" s="77">
        <f t="shared" si="3"/>
        <v>6462.72</v>
      </c>
      <c r="H244" s="77">
        <f>'Energy Usage'!O51</f>
        <v>16.777747692758233</v>
      </c>
      <c r="I244" s="77">
        <f t="shared" si="4"/>
        <v>4660.4854702106204</v>
      </c>
      <c r="J244" s="77">
        <f t="shared" si="5"/>
        <v>4854.67236480273</v>
      </c>
      <c r="K244" s="77">
        <f t="shared" si="7"/>
        <v>14000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x14ac:dyDescent="0.45">
      <c r="A245" s="127">
        <f t="shared" si="6"/>
        <v>225</v>
      </c>
      <c r="B245" s="193" t="s">
        <v>205</v>
      </c>
      <c r="C245" s="127">
        <v>10</v>
      </c>
      <c r="D245" s="77">
        <f t="shared" si="0"/>
        <v>10</v>
      </c>
      <c r="E245" s="5">
        <f t="shared" si="1"/>
        <v>39600</v>
      </c>
      <c r="F245" s="77">
        <f t="shared" si="2"/>
        <v>6732.0000000000009</v>
      </c>
      <c r="G245" s="77">
        <f t="shared" si="3"/>
        <v>6462.72</v>
      </c>
      <c r="H245" s="77">
        <f>'Energy Usage'!O52</f>
        <v>18.122076974013144</v>
      </c>
      <c r="I245" s="77">
        <f t="shared" si="4"/>
        <v>5033.9102705592068</v>
      </c>
      <c r="J245" s="77">
        <f t="shared" si="5"/>
        <v>5243.6565318325074</v>
      </c>
      <c r="K245" s="77">
        <f t="shared" si="7"/>
        <v>14000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x14ac:dyDescent="0.45">
      <c r="A246" s="127">
        <f t="shared" si="6"/>
        <v>226</v>
      </c>
      <c r="B246" s="193" t="s">
        <v>205</v>
      </c>
      <c r="C246" s="127">
        <v>11</v>
      </c>
      <c r="D246" s="77">
        <f t="shared" si="0"/>
        <v>10</v>
      </c>
      <c r="E246" s="5">
        <f t="shared" si="1"/>
        <v>39600</v>
      </c>
      <c r="F246" s="77">
        <f t="shared" si="2"/>
        <v>6732.0000000000009</v>
      </c>
      <c r="G246" s="77">
        <f t="shared" si="3"/>
        <v>6462.72</v>
      </c>
      <c r="H246" s="77">
        <f>'Energy Usage'!O53</f>
        <v>28.571181841949024</v>
      </c>
      <c r="I246" s="77">
        <f t="shared" si="4"/>
        <v>7936.4394005413951</v>
      </c>
      <c r="J246" s="77">
        <f t="shared" si="5"/>
        <v>8267.1243755639534</v>
      </c>
      <c r="K246" s="77">
        <f t="shared" si="7"/>
        <v>14000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x14ac:dyDescent="0.45">
      <c r="A247" s="127">
        <f t="shared" si="6"/>
        <v>227</v>
      </c>
      <c r="B247" s="193" t="s">
        <v>205</v>
      </c>
      <c r="C247" s="127">
        <v>12</v>
      </c>
      <c r="D247" s="77">
        <f t="shared" si="0"/>
        <v>10</v>
      </c>
      <c r="E247" s="5">
        <f t="shared" si="1"/>
        <v>39600</v>
      </c>
      <c r="F247" s="77">
        <f t="shared" si="2"/>
        <v>6732.0000000000009</v>
      </c>
      <c r="G247" s="77">
        <f t="shared" si="3"/>
        <v>6462.72</v>
      </c>
      <c r="H247" s="77">
        <f>'Energy Usage'!O54</f>
        <v>21.931009937568721</v>
      </c>
      <c r="I247" s="77">
        <f t="shared" si="4"/>
        <v>6091.9472048801999</v>
      </c>
      <c r="J247" s="77">
        <f t="shared" si="5"/>
        <v>6345.7783384168752</v>
      </c>
      <c r="K247" s="77">
        <f t="shared" si="7"/>
        <v>12195.595624436048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x14ac:dyDescent="0.45">
      <c r="A248" s="127">
        <f t="shared" si="6"/>
        <v>228</v>
      </c>
      <c r="B248" s="193" t="s">
        <v>205</v>
      </c>
      <c r="C248" s="127">
        <v>13</v>
      </c>
      <c r="D248" s="77">
        <f t="shared" si="0"/>
        <v>10</v>
      </c>
      <c r="E248" s="5">
        <f t="shared" si="1"/>
        <v>39600</v>
      </c>
      <c r="F248" s="77">
        <f t="shared" si="2"/>
        <v>6732.0000000000009</v>
      </c>
      <c r="G248" s="77">
        <f t="shared" si="3"/>
        <v>6462.72</v>
      </c>
      <c r="H248" s="77">
        <f>'Energy Usage'!O55</f>
        <v>20.58668065631381</v>
      </c>
      <c r="I248" s="77">
        <f t="shared" si="4"/>
        <v>5718.5224045316136</v>
      </c>
      <c r="J248" s="77">
        <f t="shared" si="5"/>
        <v>5956.7941713870978</v>
      </c>
      <c r="K248" s="77">
        <f t="shared" si="7"/>
        <v>12312.537286019171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x14ac:dyDescent="0.45">
      <c r="A249" s="127">
        <f t="shared" si="6"/>
        <v>229</v>
      </c>
      <c r="B249" s="193" t="s">
        <v>205</v>
      </c>
      <c r="C249" s="127">
        <v>14</v>
      </c>
      <c r="D249" s="77">
        <f t="shared" si="0"/>
        <v>10</v>
      </c>
      <c r="E249" s="5">
        <f t="shared" si="1"/>
        <v>39600</v>
      </c>
      <c r="F249" s="77">
        <f t="shared" si="2"/>
        <v>6732.0000000000009</v>
      </c>
      <c r="G249" s="77">
        <f t="shared" si="3"/>
        <v>6462.72</v>
      </c>
      <c r="H249" s="77">
        <f>'Energy Usage'!O56</f>
        <v>6.4712232031372707</v>
      </c>
      <c r="I249" s="77">
        <f t="shared" si="4"/>
        <v>1797.5620008714641</v>
      </c>
      <c r="J249" s="77">
        <f t="shared" si="5"/>
        <v>1872.4604175744419</v>
      </c>
      <c r="K249" s="77">
        <f t="shared" si="7"/>
        <v>12818.463114632075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x14ac:dyDescent="0.45">
      <c r="A250" s="127">
        <f t="shared" si="6"/>
        <v>230</v>
      </c>
      <c r="B250" s="193" t="s">
        <v>205</v>
      </c>
      <c r="C250" s="127">
        <v>15</v>
      </c>
      <c r="D250" s="77">
        <f t="shared" si="0"/>
        <v>10</v>
      </c>
      <c r="E250" s="5">
        <f t="shared" si="1"/>
        <v>39600</v>
      </c>
      <c r="F250" s="77">
        <f t="shared" si="2"/>
        <v>6732.0000000000009</v>
      </c>
      <c r="G250" s="77">
        <f t="shared" si="3"/>
        <v>6462.72</v>
      </c>
      <c r="H250" s="77">
        <f>'Energy Usage'!O57</f>
        <v>16.105583052130779</v>
      </c>
      <c r="I250" s="77">
        <f t="shared" si="4"/>
        <v>4473.7730700363272</v>
      </c>
      <c r="J250" s="77">
        <f t="shared" si="5"/>
        <v>4660.1802812878414</v>
      </c>
      <c r="K250" s="77">
        <f t="shared" si="7"/>
        <v>14000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x14ac:dyDescent="0.45">
      <c r="A251" s="127">
        <f t="shared" si="6"/>
        <v>231</v>
      </c>
      <c r="B251" s="193" t="s">
        <v>205</v>
      </c>
      <c r="C251" s="127">
        <v>16</v>
      </c>
      <c r="D251" s="77">
        <f t="shared" si="0"/>
        <v>10</v>
      </c>
      <c r="E251" s="5">
        <f t="shared" si="1"/>
        <v>39600</v>
      </c>
      <c r="F251" s="77">
        <f t="shared" si="2"/>
        <v>6732.0000000000009</v>
      </c>
      <c r="G251" s="77">
        <f t="shared" si="3"/>
        <v>6462.72</v>
      </c>
      <c r="H251" s="77">
        <f>'Energy Usage'!O58</f>
        <v>24.39561361986938</v>
      </c>
      <c r="I251" s="77">
        <f t="shared" si="4"/>
        <v>6776.5593388526049</v>
      </c>
      <c r="J251" s="77">
        <f t="shared" si="5"/>
        <v>7058.9159779714637</v>
      </c>
      <c r="K251" s="77">
        <f t="shared" si="7"/>
        <v>14000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x14ac:dyDescent="0.45">
      <c r="A252" s="127">
        <f t="shared" si="6"/>
        <v>232</v>
      </c>
      <c r="B252" s="193" t="s">
        <v>205</v>
      </c>
      <c r="C252" s="127">
        <v>17</v>
      </c>
      <c r="D252" s="77">
        <f t="shared" si="0"/>
        <v>10</v>
      </c>
      <c r="E252" s="5">
        <f t="shared" si="1"/>
        <v>39600</v>
      </c>
      <c r="F252" s="77">
        <f t="shared" si="2"/>
        <v>6732.0000000000009</v>
      </c>
      <c r="G252" s="77">
        <f t="shared" si="3"/>
        <v>6462.72</v>
      </c>
      <c r="H252" s="77">
        <f>'Energy Usage'!O59</f>
        <v>13.416924489620964</v>
      </c>
      <c r="I252" s="77">
        <f t="shared" si="4"/>
        <v>3726.9234693391568</v>
      </c>
      <c r="J252" s="77">
        <f t="shared" si="5"/>
        <v>3882.2119472282884</v>
      </c>
      <c r="K252" s="77">
        <f t="shared" si="7"/>
        <v>13403.804022028537</v>
      </c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x14ac:dyDescent="0.45">
      <c r="A253" s="127">
        <f t="shared" si="6"/>
        <v>233</v>
      </c>
      <c r="B253" s="193" t="s">
        <v>205</v>
      </c>
      <c r="C253" s="127">
        <v>18</v>
      </c>
      <c r="D253" s="77">
        <f t="shared" si="0"/>
        <v>10</v>
      </c>
      <c r="E253" s="5">
        <f t="shared" si="1"/>
        <v>39600</v>
      </c>
      <c r="F253" s="77">
        <f t="shared" si="2"/>
        <v>6732.0000000000009</v>
      </c>
      <c r="G253" s="77">
        <f t="shared" si="3"/>
        <v>6462.72</v>
      </c>
      <c r="H253" s="77">
        <f>'Energy Usage'!O60</f>
        <v>17.225857453176541</v>
      </c>
      <c r="I253" s="77">
        <f t="shared" si="4"/>
        <v>4784.9604036601504</v>
      </c>
      <c r="J253" s="77">
        <f t="shared" si="5"/>
        <v>4984.3337538126571</v>
      </c>
      <c r="K253" s="77">
        <f t="shared" si="7"/>
        <v>14000</v>
      </c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x14ac:dyDescent="0.45">
      <c r="A254" s="127">
        <f t="shared" si="6"/>
        <v>234</v>
      </c>
      <c r="B254" s="193" t="s">
        <v>205</v>
      </c>
      <c r="C254" s="127">
        <v>19</v>
      </c>
      <c r="D254" s="77">
        <f t="shared" si="0"/>
        <v>10</v>
      </c>
      <c r="E254" s="5">
        <f t="shared" si="1"/>
        <v>39600</v>
      </c>
      <c r="F254" s="77">
        <f t="shared" si="2"/>
        <v>6732.0000000000009</v>
      </c>
      <c r="G254" s="77">
        <f t="shared" si="3"/>
        <v>6462.72</v>
      </c>
      <c r="H254" s="77">
        <f>'Energy Usage'!O61</f>
        <v>27.532381942797503</v>
      </c>
      <c r="I254" s="77">
        <f t="shared" si="4"/>
        <v>7647.8838729993058</v>
      </c>
      <c r="J254" s="77">
        <f t="shared" si="5"/>
        <v>7966.5457010409436</v>
      </c>
      <c r="K254" s="77">
        <f t="shared" si="7"/>
        <v>14000</v>
      </c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x14ac:dyDescent="0.45">
      <c r="A255" s="127">
        <f t="shared" si="6"/>
        <v>235</v>
      </c>
      <c r="B255" s="193" t="s">
        <v>205</v>
      </c>
      <c r="C255" s="127">
        <v>20</v>
      </c>
      <c r="D255" s="77">
        <f t="shared" si="0"/>
        <v>10</v>
      </c>
      <c r="E255" s="5">
        <f t="shared" si="1"/>
        <v>39600</v>
      </c>
      <c r="F255" s="77">
        <f t="shared" si="2"/>
        <v>6732.0000000000009</v>
      </c>
      <c r="G255" s="77">
        <f t="shared" si="3"/>
        <v>6462.72</v>
      </c>
      <c r="H255" s="77">
        <f>'Energy Usage'!O62</f>
        <v>5.7990585625098161</v>
      </c>
      <c r="I255" s="77">
        <f t="shared" si="4"/>
        <v>1610.8496006971711</v>
      </c>
      <c r="J255" s="77">
        <f t="shared" si="5"/>
        <v>1677.9683340595534</v>
      </c>
      <c r="K255" s="77">
        <f t="shared" si="7"/>
        <v>12496.174298959057</v>
      </c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x14ac:dyDescent="0.45">
      <c r="A256" s="127">
        <f t="shared" si="6"/>
        <v>236</v>
      </c>
      <c r="B256" s="193" t="s">
        <v>205</v>
      </c>
      <c r="C256" s="127">
        <v>21</v>
      </c>
      <c r="D256" s="77">
        <f t="shared" si="0"/>
        <v>10</v>
      </c>
      <c r="E256" s="5">
        <f t="shared" si="1"/>
        <v>39600</v>
      </c>
      <c r="F256" s="77">
        <f t="shared" si="2"/>
        <v>6732.0000000000009</v>
      </c>
      <c r="G256" s="77">
        <f t="shared" si="3"/>
        <v>6462.72</v>
      </c>
      <c r="H256" s="77">
        <f>'Energy Usage'!O63</f>
        <v>4.0066195208366056</v>
      </c>
      <c r="I256" s="77">
        <f t="shared" si="4"/>
        <v>1112.949866899057</v>
      </c>
      <c r="J256" s="77">
        <f t="shared" si="5"/>
        <v>1159.3227780198511</v>
      </c>
      <c r="K256" s="77">
        <f t="shared" si="7"/>
        <v>14000</v>
      </c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x14ac:dyDescent="0.45">
      <c r="A257" s="127">
        <f t="shared" si="6"/>
        <v>237</v>
      </c>
      <c r="B257" s="193" t="s">
        <v>205</v>
      </c>
      <c r="C257" s="127">
        <v>22</v>
      </c>
      <c r="D257" s="77">
        <f t="shared" si="0"/>
        <v>10</v>
      </c>
      <c r="E257" s="5">
        <f t="shared" si="1"/>
        <v>39600</v>
      </c>
      <c r="F257" s="77">
        <f t="shared" si="2"/>
        <v>6732.0000000000009</v>
      </c>
      <c r="G257" s="77">
        <f t="shared" si="3"/>
        <v>6462.72</v>
      </c>
      <c r="H257" s="77">
        <f>'Energy Usage'!O64</f>
        <v>8.4877171250196319</v>
      </c>
      <c r="I257" s="77">
        <f t="shared" si="4"/>
        <v>2357.6992013943423</v>
      </c>
      <c r="J257" s="77">
        <f t="shared" si="5"/>
        <v>2455.9366681191068</v>
      </c>
      <c r="K257" s="77">
        <f t="shared" si="7"/>
        <v>14000</v>
      </c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x14ac:dyDescent="0.45">
      <c r="A258" s="127">
        <f t="shared" si="6"/>
        <v>238</v>
      </c>
      <c r="B258" s="193" t="s">
        <v>205</v>
      </c>
      <c r="C258" s="127">
        <v>23</v>
      </c>
      <c r="D258" s="77">
        <f t="shared" si="0"/>
        <v>10</v>
      </c>
      <c r="E258" s="5">
        <f t="shared" si="1"/>
        <v>39600</v>
      </c>
      <c r="F258" s="77">
        <f t="shared" si="2"/>
        <v>6732.0000000000009</v>
      </c>
      <c r="G258" s="77">
        <f t="shared" si="3"/>
        <v>6462.72</v>
      </c>
      <c r="H258" s="77">
        <f>'Energy Usage'!O65</f>
        <v>19.466406255268051</v>
      </c>
      <c r="I258" s="77">
        <f t="shared" si="4"/>
        <v>5407.3350709077922</v>
      </c>
      <c r="J258" s="77">
        <f t="shared" si="5"/>
        <v>5632.6406988622839</v>
      </c>
      <c r="K258" s="77">
        <f t="shared" si="7"/>
        <v>14000</v>
      </c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x14ac:dyDescent="0.45">
      <c r="A259" s="127">
        <f t="shared" si="6"/>
        <v>239</v>
      </c>
      <c r="B259" s="193" t="s">
        <v>205</v>
      </c>
      <c r="C259" s="127">
        <v>24</v>
      </c>
      <c r="D259" s="77">
        <f t="shared" si="0"/>
        <v>10</v>
      </c>
      <c r="E259" s="5">
        <f t="shared" si="1"/>
        <v>39600</v>
      </c>
      <c r="F259" s="77">
        <f t="shared" si="2"/>
        <v>6732.0000000000009</v>
      </c>
      <c r="G259" s="77">
        <f t="shared" si="3"/>
        <v>6462.72</v>
      </c>
      <c r="H259" s="77">
        <f>'Energy Usage'!O66</f>
        <v>10.728265927111149</v>
      </c>
      <c r="I259" s="77">
        <f t="shared" si="4"/>
        <v>2980.0738686419859</v>
      </c>
      <c r="J259" s="77">
        <f t="shared" si="5"/>
        <v>3104.2436131687355</v>
      </c>
      <c r="K259" s="77">
        <f t="shared" si="7"/>
        <v>14000</v>
      </c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x14ac:dyDescent="0.45">
      <c r="A260" s="127">
        <f t="shared" si="6"/>
        <v>240</v>
      </c>
      <c r="B260" s="193" t="s">
        <v>205</v>
      </c>
      <c r="C260" s="127">
        <v>25</v>
      </c>
      <c r="D260" s="77">
        <f t="shared" si="0"/>
        <v>10</v>
      </c>
      <c r="E260" s="5">
        <f t="shared" si="1"/>
        <v>39600</v>
      </c>
      <c r="F260" s="77">
        <f t="shared" si="2"/>
        <v>6732.0000000000009</v>
      </c>
      <c r="G260" s="77">
        <f t="shared" si="3"/>
        <v>6462.72</v>
      </c>
      <c r="H260" s="77">
        <f>'Energy Usage'!O67</f>
        <v>3.1103999999999998</v>
      </c>
      <c r="I260" s="77">
        <f t="shared" si="4"/>
        <v>863.99999999999989</v>
      </c>
      <c r="J260" s="77">
        <f t="shared" si="5"/>
        <v>899.99999999999989</v>
      </c>
      <c r="K260" s="77">
        <f t="shared" si="7"/>
        <v>14000</v>
      </c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x14ac:dyDescent="0.45">
      <c r="A261" s="127">
        <f t="shared" si="6"/>
        <v>241</v>
      </c>
      <c r="B261" s="193" t="s">
        <v>205</v>
      </c>
      <c r="C261" s="127">
        <v>26</v>
      </c>
      <c r="D261" s="77">
        <f t="shared" si="0"/>
        <v>10</v>
      </c>
      <c r="E261" s="5">
        <f t="shared" si="1"/>
        <v>39600</v>
      </c>
      <c r="F261" s="77">
        <f t="shared" si="2"/>
        <v>6732.0000000000009</v>
      </c>
      <c r="G261" s="77">
        <f t="shared" si="3"/>
        <v>6462.72</v>
      </c>
      <c r="H261" s="77">
        <f>'Energy Usage'!O68</f>
        <v>4.0066195208366056</v>
      </c>
      <c r="I261" s="77">
        <f t="shared" si="4"/>
        <v>1112.949866899057</v>
      </c>
      <c r="J261" s="77">
        <f t="shared" si="5"/>
        <v>1159.3227780198511</v>
      </c>
      <c r="K261" s="77">
        <f t="shared" si="7"/>
        <v>14000</v>
      </c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x14ac:dyDescent="0.45">
      <c r="A262" s="127">
        <f t="shared" si="6"/>
        <v>242</v>
      </c>
      <c r="B262" s="193" t="s">
        <v>205</v>
      </c>
      <c r="C262" s="127">
        <v>27</v>
      </c>
      <c r="D262" s="77">
        <f t="shared" si="0"/>
        <v>10</v>
      </c>
      <c r="E262" s="5">
        <f t="shared" si="1"/>
        <v>39600</v>
      </c>
      <c r="F262" s="77">
        <f t="shared" si="2"/>
        <v>6732.0000000000009</v>
      </c>
      <c r="G262" s="77">
        <f t="shared" si="3"/>
        <v>6462.72</v>
      </c>
      <c r="H262" s="77">
        <f>'Energy Usage'!O69</f>
        <v>3.1103999999999998</v>
      </c>
      <c r="I262" s="77">
        <f t="shared" si="4"/>
        <v>863.99999999999989</v>
      </c>
      <c r="J262" s="77">
        <f t="shared" si="5"/>
        <v>899.99999999999989</v>
      </c>
      <c r="K262" s="77">
        <f t="shared" si="7"/>
        <v>14000</v>
      </c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x14ac:dyDescent="0.45">
      <c r="A263" s="127">
        <f t="shared" si="6"/>
        <v>243</v>
      </c>
      <c r="B263" s="193" t="s">
        <v>205</v>
      </c>
      <c r="C263" s="127">
        <v>28</v>
      </c>
      <c r="D263" s="77">
        <f t="shared" si="0"/>
        <v>10</v>
      </c>
      <c r="E263" s="5">
        <f t="shared" si="1"/>
        <v>39600</v>
      </c>
      <c r="F263" s="77">
        <f t="shared" si="2"/>
        <v>6732.0000000000009</v>
      </c>
      <c r="G263" s="77">
        <f t="shared" si="3"/>
        <v>6462.72</v>
      </c>
      <c r="H263" s="77">
        <f>'Energy Usage'!O70</f>
        <v>3.5585097604183029</v>
      </c>
      <c r="I263" s="77">
        <f t="shared" si="4"/>
        <v>988.47493344952852</v>
      </c>
      <c r="J263" s="77">
        <f t="shared" si="5"/>
        <v>1029.6613890099256</v>
      </c>
      <c r="K263" s="77">
        <f t="shared" si="7"/>
        <v>14000</v>
      </c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x14ac:dyDescent="0.45">
      <c r="A264" s="127">
        <f t="shared" si="6"/>
        <v>244</v>
      </c>
      <c r="B264" s="193" t="s">
        <v>205</v>
      </c>
      <c r="C264" s="127">
        <v>29</v>
      </c>
      <c r="D264" s="77">
        <f t="shared" si="0"/>
        <v>10</v>
      </c>
      <c r="E264" s="5">
        <f t="shared" si="1"/>
        <v>39600</v>
      </c>
      <c r="F264" s="77">
        <f t="shared" si="2"/>
        <v>6732.0000000000009</v>
      </c>
      <c r="G264" s="77">
        <f t="shared" si="3"/>
        <v>6462.72</v>
      </c>
      <c r="H264" s="77">
        <f>'Energy Usage'!O70</f>
        <v>3.5585097604183029</v>
      </c>
      <c r="I264" s="77">
        <f t="shared" si="4"/>
        <v>988.47493344952852</v>
      </c>
      <c r="J264" s="77">
        <f t="shared" si="5"/>
        <v>1029.6613890099256</v>
      </c>
      <c r="K264" s="77">
        <f t="shared" si="7"/>
        <v>14000</v>
      </c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x14ac:dyDescent="0.45">
      <c r="A265" s="127">
        <f t="shared" si="6"/>
        <v>245</v>
      </c>
      <c r="B265" s="193" t="s">
        <v>206</v>
      </c>
      <c r="C265" s="127">
        <v>1</v>
      </c>
      <c r="D265" s="77">
        <f t="shared" si="0"/>
        <v>11.8</v>
      </c>
      <c r="E265" s="5">
        <f t="shared" si="1"/>
        <v>46728</v>
      </c>
      <c r="F265" s="77">
        <f t="shared" si="2"/>
        <v>7943.76</v>
      </c>
      <c r="G265" s="77">
        <f t="shared" si="3"/>
        <v>7626.0096000000003</v>
      </c>
      <c r="H265" s="77">
        <f>'Energy Usage'!O71</f>
        <v>5.3509488020915139</v>
      </c>
      <c r="I265" s="77">
        <f t="shared" si="4"/>
        <v>1486.3746672476427</v>
      </c>
      <c r="J265" s="77">
        <f t="shared" si="5"/>
        <v>1548.306945049628</v>
      </c>
      <c r="K265" s="77">
        <f t="shared" si="7"/>
        <v>14000</v>
      </c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x14ac:dyDescent="0.45">
      <c r="A266" s="127">
        <f t="shared" si="6"/>
        <v>246</v>
      </c>
      <c r="B266" s="193" t="s">
        <v>206</v>
      </c>
      <c r="C266" s="127">
        <v>2</v>
      </c>
      <c r="D266" s="77">
        <f t="shared" si="0"/>
        <v>11.8</v>
      </c>
      <c r="E266" s="5">
        <f t="shared" si="1"/>
        <v>46728</v>
      </c>
      <c r="F266" s="77">
        <f t="shared" si="2"/>
        <v>7943.76</v>
      </c>
      <c r="G266" s="77">
        <f t="shared" si="3"/>
        <v>7626.0096000000003</v>
      </c>
      <c r="H266" s="77">
        <f>'Energy Usage'!O72</f>
        <v>24.39561361986938</v>
      </c>
      <c r="I266" s="77">
        <f t="shared" si="4"/>
        <v>6776.5593388526049</v>
      </c>
      <c r="J266" s="77">
        <f t="shared" si="5"/>
        <v>7058.9159779714637</v>
      </c>
      <c r="K266" s="77">
        <f t="shared" si="7"/>
        <v>14000</v>
      </c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x14ac:dyDescent="0.45">
      <c r="A267" s="127">
        <f t="shared" si="6"/>
        <v>247</v>
      </c>
      <c r="B267" s="193" t="s">
        <v>206</v>
      </c>
      <c r="C267" s="127">
        <v>3</v>
      </c>
      <c r="D267" s="77">
        <f t="shared" si="0"/>
        <v>11.8</v>
      </c>
      <c r="E267" s="5">
        <f t="shared" si="1"/>
        <v>46728</v>
      </c>
      <c r="F267" s="77">
        <f t="shared" si="2"/>
        <v>7943.76</v>
      </c>
      <c r="G267" s="77">
        <f t="shared" si="3"/>
        <v>7626.0096000000003</v>
      </c>
      <c r="H267" s="77">
        <f>'Energy Usage'!O73</f>
        <v>4.2306744010457571</v>
      </c>
      <c r="I267" s="77">
        <f t="shared" si="4"/>
        <v>1175.1873336238214</v>
      </c>
      <c r="J267" s="77">
        <f t="shared" si="5"/>
        <v>1224.1534725248139</v>
      </c>
      <c r="K267" s="77">
        <f t="shared" si="7"/>
        <v>14000</v>
      </c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x14ac:dyDescent="0.45">
      <c r="A268" s="127">
        <f t="shared" si="6"/>
        <v>248</v>
      </c>
      <c r="B268" s="193" t="s">
        <v>206</v>
      </c>
      <c r="C268" s="127">
        <v>4</v>
      </c>
      <c r="D268" s="77">
        <f t="shared" si="0"/>
        <v>11.8</v>
      </c>
      <c r="E268" s="5">
        <f t="shared" si="1"/>
        <v>46728</v>
      </c>
      <c r="F268" s="77">
        <f t="shared" si="2"/>
        <v>7943.76</v>
      </c>
      <c r="G268" s="77">
        <f t="shared" si="3"/>
        <v>7626.0096000000003</v>
      </c>
      <c r="H268" s="77">
        <f>'Energy Usage'!O74</f>
        <v>5.7990585625098161</v>
      </c>
      <c r="I268" s="77">
        <f t="shared" si="4"/>
        <v>1610.8496006971711</v>
      </c>
      <c r="J268" s="77">
        <f t="shared" si="5"/>
        <v>1677.9683340595534</v>
      </c>
      <c r="K268" s="77">
        <f t="shared" si="7"/>
        <v>14000</v>
      </c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x14ac:dyDescent="0.45">
      <c r="A269" s="127">
        <f t="shared" si="6"/>
        <v>249</v>
      </c>
      <c r="B269" s="193" t="s">
        <v>206</v>
      </c>
      <c r="C269" s="127">
        <v>5</v>
      </c>
      <c r="D269" s="77">
        <f t="shared" si="0"/>
        <v>11.8</v>
      </c>
      <c r="E269" s="5">
        <f t="shared" si="1"/>
        <v>46728</v>
      </c>
      <c r="F269" s="77">
        <f t="shared" si="2"/>
        <v>7943.76</v>
      </c>
      <c r="G269" s="77">
        <f t="shared" si="3"/>
        <v>7626.0096000000003</v>
      </c>
      <c r="H269" s="77">
        <f>'Energy Usage'!O75</f>
        <v>28.571181841949024</v>
      </c>
      <c r="I269" s="77">
        <f t="shared" si="4"/>
        <v>7936.4394005413951</v>
      </c>
      <c r="J269" s="77">
        <f t="shared" si="5"/>
        <v>8267.1243755639534</v>
      </c>
      <c r="K269" s="77">
        <f t="shared" si="7"/>
        <v>14000</v>
      </c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x14ac:dyDescent="0.45">
      <c r="A270" s="127">
        <f t="shared" si="6"/>
        <v>250</v>
      </c>
      <c r="B270" s="193" t="s">
        <v>206</v>
      </c>
      <c r="C270" s="127">
        <v>6</v>
      </c>
      <c r="D270" s="77">
        <f t="shared" si="0"/>
        <v>11.8</v>
      </c>
      <c r="E270" s="5">
        <f t="shared" si="1"/>
        <v>46728</v>
      </c>
      <c r="F270" s="77">
        <f t="shared" si="2"/>
        <v>7943.76</v>
      </c>
      <c r="G270" s="77">
        <f t="shared" si="3"/>
        <v>7626.0096000000003</v>
      </c>
      <c r="H270" s="77">
        <f>'Energy Usage'!O76</f>
        <v>12.744759848993512</v>
      </c>
      <c r="I270" s="77">
        <f t="shared" si="4"/>
        <v>3540.2110691648645</v>
      </c>
      <c r="J270" s="77">
        <f t="shared" si="5"/>
        <v>3687.7198637134006</v>
      </c>
      <c r="K270" s="77">
        <f t="shared" si="7"/>
        <v>13358.885224436048</v>
      </c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x14ac:dyDescent="0.45">
      <c r="A271" s="127">
        <f t="shared" si="6"/>
        <v>251</v>
      </c>
      <c r="B271" s="193" t="s">
        <v>206</v>
      </c>
      <c r="C271" s="127">
        <v>7</v>
      </c>
      <c r="D271" s="77">
        <f t="shared" si="0"/>
        <v>11.8</v>
      </c>
      <c r="E271" s="5">
        <f t="shared" si="1"/>
        <v>46728</v>
      </c>
      <c r="F271" s="77">
        <f t="shared" si="2"/>
        <v>7943.76</v>
      </c>
      <c r="G271" s="77">
        <f t="shared" si="3"/>
        <v>7626.0096000000003</v>
      </c>
      <c r="H271" s="77">
        <f>'Energy Usage'!O77</f>
        <v>28.571181841949024</v>
      </c>
      <c r="I271" s="77">
        <f t="shared" si="4"/>
        <v>7936.4394005413951</v>
      </c>
      <c r="J271" s="77">
        <f t="shared" si="5"/>
        <v>8267.1243755639534</v>
      </c>
      <c r="K271" s="77">
        <f t="shared" si="7"/>
        <v>14000</v>
      </c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x14ac:dyDescent="0.45">
      <c r="A272" s="127">
        <f t="shared" si="6"/>
        <v>252</v>
      </c>
      <c r="B272" s="193" t="s">
        <v>206</v>
      </c>
      <c r="C272" s="127">
        <v>8</v>
      </c>
      <c r="D272" s="77">
        <f t="shared" si="0"/>
        <v>11.8</v>
      </c>
      <c r="E272" s="5">
        <f t="shared" si="1"/>
        <v>46728</v>
      </c>
      <c r="F272" s="77">
        <f t="shared" si="2"/>
        <v>7943.76</v>
      </c>
      <c r="G272" s="77">
        <f t="shared" si="3"/>
        <v>7626.0096000000003</v>
      </c>
      <c r="H272" s="77">
        <f>'Energy Usage'!O78</f>
        <v>28.571181841949024</v>
      </c>
      <c r="I272" s="77">
        <f t="shared" si="4"/>
        <v>7936.4394005413951</v>
      </c>
      <c r="J272" s="77">
        <f t="shared" si="5"/>
        <v>8267.1243755639534</v>
      </c>
      <c r="K272" s="77">
        <f t="shared" si="7"/>
        <v>13358.885224436048</v>
      </c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x14ac:dyDescent="0.45">
      <c r="A273" s="127">
        <f t="shared" si="6"/>
        <v>253</v>
      </c>
      <c r="B273" s="193" t="s">
        <v>206</v>
      </c>
      <c r="C273" s="127">
        <v>9</v>
      </c>
      <c r="D273" s="77">
        <f t="shared" si="0"/>
        <v>11.8</v>
      </c>
      <c r="E273" s="5">
        <f t="shared" si="1"/>
        <v>46728</v>
      </c>
      <c r="F273" s="77">
        <f t="shared" si="2"/>
        <v>7943.76</v>
      </c>
      <c r="G273" s="77">
        <f t="shared" si="3"/>
        <v>7626.0096000000003</v>
      </c>
      <c r="H273" s="77">
        <f>'Energy Usage'!O79</f>
        <v>14.985308651085026</v>
      </c>
      <c r="I273" s="77">
        <f t="shared" si="4"/>
        <v>4162.5857364125068</v>
      </c>
      <c r="J273" s="77">
        <f t="shared" si="5"/>
        <v>4336.0268087630284</v>
      </c>
      <c r="K273" s="77">
        <f t="shared" si="7"/>
        <v>12717.770448872094</v>
      </c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x14ac:dyDescent="0.45">
      <c r="A274" s="127">
        <f t="shared" si="6"/>
        <v>254</v>
      </c>
      <c r="B274" s="193" t="s">
        <v>206</v>
      </c>
      <c r="C274" s="127">
        <v>10</v>
      </c>
      <c r="D274" s="77">
        <f t="shared" si="0"/>
        <v>11.8</v>
      </c>
      <c r="E274" s="5">
        <f t="shared" si="1"/>
        <v>46728</v>
      </c>
      <c r="F274" s="77">
        <f t="shared" si="2"/>
        <v>7943.76</v>
      </c>
      <c r="G274" s="77">
        <f t="shared" si="3"/>
        <v>7626.0096000000003</v>
      </c>
      <c r="H274" s="77">
        <f>'Energy Usage'!O80</f>
        <v>5.7990585625098161</v>
      </c>
      <c r="I274" s="77">
        <f t="shared" si="4"/>
        <v>1610.8496006971711</v>
      </c>
      <c r="J274" s="77">
        <f t="shared" si="5"/>
        <v>1677.9683340595534</v>
      </c>
      <c r="K274" s="77">
        <f t="shared" si="7"/>
        <v>14000</v>
      </c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x14ac:dyDescent="0.45">
      <c r="A275" s="127">
        <f t="shared" si="6"/>
        <v>255</v>
      </c>
      <c r="B275" s="193" t="s">
        <v>206</v>
      </c>
      <c r="C275" s="127">
        <v>11</v>
      </c>
      <c r="D275" s="77">
        <f t="shared" si="0"/>
        <v>11.8</v>
      </c>
      <c r="E275" s="5">
        <f t="shared" si="1"/>
        <v>46728</v>
      </c>
      <c r="F275" s="77">
        <f t="shared" si="2"/>
        <v>7943.76</v>
      </c>
      <c r="G275" s="77">
        <f t="shared" si="3"/>
        <v>7626.0096000000003</v>
      </c>
      <c r="H275" s="77">
        <f>'Energy Usage'!O81</f>
        <v>3.1103999999999998</v>
      </c>
      <c r="I275" s="77">
        <f t="shared" si="4"/>
        <v>863.99999999999989</v>
      </c>
      <c r="J275" s="77">
        <f t="shared" si="5"/>
        <v>899.99999999999989</v>
      </c>
      <c r="K275" s="77">
        <f t="shared" si="7"/>
        <v>14000</v>
      </c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x14ac:dyDescent="0.45">
      <c r="A276" s="127">
        <f t="shared" si="6"/>
        <v>256</v>
      </c>
      <c r="B276" s="193" t="s">
        <v>206</v>
      </c>
      <c r="C276" s="127">
        <v>12</v>
      </c>
      <c r="D276" s="77">
        <f t="shared" ref="D276:D386" si="8">INDEX($B$6:$B$17,MATCH(B276,$A$6:$A$17,0))</f>
        <v>11.8</v>
      </c>
      <c r="E276" s="5">
        <f t="shared" ref="E276:E386" si="9">$E$4*$E$5*$E$6*D276</f>
        <v>46728</v>
      </c>
      <c r="F276" s="77">
        <f t="shared" ref="F276:F386" si="10">$E$7*E276</f>
        <v>7943.76</v>
      </c>
      <c r="G276" s="77">
        <f t="shared" ref="G276:G386" si="11">F276*$E$11</f>
        <v>7626.0096000000003</v>
      </c>
      <c r="H276" s="77">
        <f>'Energy Usage'!O82</f>
        <v>6.2471683229281201</v>
      </c>
      <c r="I276" s="77">
        <f t="shared" ref="I276:I386" si="12">H276*(1000000/3600)</f>
        <v>1735.3245341467</v>
      </c>
      <c r="J276" s="77">
        <f t="shared" ref="J276:J386" si="13">I276/$E$11</f>
        <v>1807.6297230694793</v>
      </c>
      <c r="K276" s="77">
        <f t="shared" si="7"/>
        <v>14000</v>
      </c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x14ac:dyDescent="0.45">
      <c r="A277" s="127">
        <f t="shared" ref="A277:A386" si="14">+A276+1</f>
        <v>257</v>
      </c>
      <c r="B277" s="193" t="s">
        <v>206</v>
      </c>
      <c r="C277" s="127">
        <v>13</v>
      </c>
      <c r="D277" s="77">
        <f t="shared" si="8"/>
        <v>11.8</v>
      </c>
      <c r="E277" s="5">
        <f t="shared" si="9"/>
        <v>46728</v>
      </c>
      <c r="F277" s="77">
        <f t="shared" si="10"/>
        <v>7943.76</v>
      </c>
      <c r="G277" s="77">
        <f t="shared" si="11"/>
        <v>7626.0096000000003</v>
      </c>
      <c r="H277" s="77">
        <f>'Energy Usage'!O83</f>
        <v>25.739942901124291</v>
      </c>
      <c r="I277" s="77">
        <f t="shared" si="12"/>
        <v>7149.9841392011913</v>
      </c>
      <c r="J277" s="77">
        <f t="shared" si="13"/>
        <v>7447.9001450012411</v>
      </c>
      <c r="K277" s="77">
        <f t="shared" ref="K277:K386" si="15">MAX(MIN(K276+G276-J276,$E$10*$E$9),0)</f>
        <v>14000</v>
      </c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x14ac:dyDescent="0.45">
      <c r="A278" s="127">
        <f t="shared" si="14"/>
        <v>258</v>
      </c>
      <c r="B278" s="193" t="s">
        <v>206</v>
      </c>
      <c r="C278" s="127">
        <v>14</v>
      </c>
      <c r="D278" s="77">
        <f t="shared" si="8"/>
        <v>11.8</v>
      </c>
      <c r="E278" s="5">
        <f t="shared" si="9"/>
        <v>46728</v>
      </c>
      <c r="F278" s="77">
        <f t="shared" si="10"/>
        <v>7943.76</v>
      </c>
      <c r="G278" s="77">
        <f t="shared" si="11"/>
        <v>7626.0096000000003</v>
      </c>
      <c r="H278" s="77">
        <f>'Energy Usage'!O84</f>
        <v>18.570186734431449</v>
      </c>
      <c r="I278" s="77">
        <f t="shared" si="12"/>
        <v>5158.3852040087359</v>
      </c>
      <c r="J278" s="77">
        <f t="shared" si="13"/>
        <v>5373.3179208424335</v>
      </c>
      <c r="K278" s="77">
        <f t="shared" si="15"/>
        <v>14000</v>
      </c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x14ac:dyDescent="0.45">
      <c r="A279" s="127">
        <f t="shared" si="14"/>
        <v>259</v>
      </c>
      <c r="B279" s="193" t="s">
        <v>206</v>
      </c>
      <c r="C279" s="127">
        <v>15</v>
      </c>
      <c r="D279" s="77">
        <f t="shared" si="8"/>
        <v>11.8</v>
      </c>
      <c r="E279" s="5">
        <f t="shared" si="9"/>
        <v>46728</v>
      </c>
      <c r="F279" s="77">
        <f t="shared" si="10"/>
        <v>7943.76</v>
      </c>
      <c r="G279" s="77">
        <f t="shared" si="11"/>
        <v>7626.0096000000003</v>
      </c>
      <c r="H279" s="77">
        <f>'Energy Usage'!O85</f>
        <v>28.571181841949024</v>
      </c>
      <c r="I279" s="77">
        <f t="shared" si="12"/>
        <v>7936.4394005413951</v>
      </c>
      <c r="J279" s="77">
        <f t="shared" si="13"/>
        <v>8267.1243755639534</v>
      </c>
      <c r="K279" s="77">
        <f t="shared" si="15"/>
        <v>14000</v>
      </c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x14ac:dyDescent="0.45">
      <c r="A280" s="127">
        <f t="shared" si="14"/>
        <v>260</v>
      </c>
      <c r="B280" s="193" t="s">
        <v>206</v>
      </c>
      <c r="C280" s="127">
        <v>16</v>
      </c>
      <c r="D280" s="77">
        <f t="shared" si="8"/>
        <v>11.8</v>
      </c>
      <c r="E280" s="5">
        <f t="shared" si="9"/>
        <v>46728</v>
      </c>
      <c r="F280" s="77">
        <f t="shared" si="10"/>
        <v>7943.76</v>
      </c>
      <c r="G280" s="77">
        <f t="shared" si="11"/>
        <v>7626.0096000000003</v>
      </c>
      <c r="H280" s="77">
        <f>'Energy Usage'!O86</f>
        <v>9.159881765647091</v>
      </c>
      <c r="I280" s="77">
        <f t="shared" si="12"/>
        <v>2544.4116015686363</v>
      </c>
      <c r="J280" s="77">
        <f t="shared" si="13"/>
        <v>2650.4287516339964</v>
      </c>
      <c r="K280" s="77">
        <f t="shared" si="15"/>
        <v>13358.885224436048</v>
      </c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x14ac:dyDescent="0.45">
      <c r="A281" s="127">
        <f t="shared" si="14"/>
        <v>261</v>
      </c>
      <c r="B281" s="193" t="s">
        <v>206</v>
      </c>
      <c r="C281" s="127">
        <v>17</v>
      </c>
      <c r="D281" s="77">
        <f t="shared" si="8"/>
        <v>11.8</v>
      </c>
      <c r="E281" s="5">
        <f t="shared" si="9"/>
        <v>46728</v>
      </c>
      <c r="F281" s="77">
        <f t="shared" si="10"/>
        <v>7943.76</v>
      </c>
      <c r="G281" s="77">
        <f t="shared" si="11"/>
        <v>7626.0096000000003</v>
      </c>
      <c r="H281" s="77">
        <f>'Energy Usage'!O87</f>
        <v>3.5585097604183029</v>
      </c>
      <c r="I281" s="77">
        <f t="shared" si="12"/>
        <v>988.47493344952852</v>
      </c>
      <c r="J281" s="77">
        <f t="shared" si="13"/>
        <v>1029.6613890099256</v>
      </c>
      <c r="K281" s="77">
        <f t="shared" si="15"/>
        <v>14000</v>
      </c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x14ac:dyDescent="0.45">
      <c r="A282" s="127">
        <f t="shared" si="14"/>
        <v>262</v>
      </c>
      <c r="B282" s="193" t="s">
        <v>206</v>
      </c>
      <c r="C282" s="127">
        <v>18</v>
      </c>
      <c r="D282" s="77">
        <f t="shared" si="8"/>
        <v>11.8</v>
      </c>
      <c r="E282" s="5">
        <f t="shared" si="9"/>
        <v>46728</v>
      </c>
      <c r="F282" s="77">
        <f t="shared" si="10"/>
        <v>7943.76</v>
      </c>
      <c r="G282" s="77">
        <f t="shared" si="11"/>
        <v>7626.0096000000003</v>
      </c>
      <c r="H282" s="77">
        <f>'Energy Usage'!O88</f>
        <v>28.571181841949024</v>
      </c>
      <c r="I282" s="77">
        <f t="shared" si="12"/>
        <v>7936.4394005413951</v>
      </c>
      <c r="J282" s="77">
        <f t="shared" si="13"/>
        <v>8267.1243755639534</v>
      </c>
      <c r="K282" s="77">
        <f t="shared" si="15"/>
        <v>14000</v>
      </c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x14ac:dyDescent="0.45">
      <c r="A283" s="127">
        <f t="shared" si="14"/>
        <v>263</v>
      </c>
      <c r="B283" s="193" t="s">
        <v>206</v>
      </c>
      <c r="C283" s="127">
        <v>19</v>
      </c>
      <c r="D283" s="77">
        <f t="shared" si="8"/>
        <v>11.8</v>
      </c>
      <c r="E283" s="5">
        <f t="shared" si="9"/>
        <v>46728</v>
      </c>
      <c r="F283" s="77">
        <f t="shared" si="10"/>
        <v>7943.76</v>
      </c>
      <c r="G283" s="77">
        <f t="shared" si="11"/>
        <v>7626.0096000000003</v>
      </c>
      <c r="H283" s="77">
        <f>'Energy Usage'!O89</f>
        <v>4.9028390416732117</v>
      </c>
      <c r="I283" s="77">
        <f t="shared" si="12"/>
        <v>1361.8997337981143</v>
      </c>
      <c r="J283" s="77">
        <f t="shared" si="13"/>
        <v>1418.6455560397026</v>
      </c>
      <c r="K283" s="77">
        <f t="shared" si="15"/>
        <v>13358.885224436048</v>
      </c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x14ac:dyDescent="0.45">
      <c r="A284" s="127">
        <f t="shared" si="14"/>
        <v>264</v>
      </c>
      <c r="B284" s="193" t="s">
        <v>206</v>
      </c>
      <c r="C284" s="127">
        <v>20</v>
      </c>
      <c r="D284" s="77">
        <f t="shared" si="8"/>
        <v>11.8</v>
      </c>
      <c r="E284" s="5">
        <f t="shared" si="9"/>
        <v>46728</v>
      </c>
      <c r="F284" s="77">
        <f t="shared" si="10"/>
        <v>7943.76</v>
      </c>
      <c r="G284" s="77">
        <f t="shared" si="11"/>
        <v>7626.0096000000003</v>
      </c>
      <c r="H284" s="77">
        <f>'Energy Usage'!O90</f>
        <v>4.9028390416732117</v>
      </c>
      <c r="I284" s="77">
        <f t="shared" si="12"/>
        <v>1361.8997337981143</v>
      </c>
      <c r="J284" s="77">
        <f t="shared" si="13"/>
        <v>1418.6455560397026</v>
      </c>
      <c r="K284" s="77">
        <f t="shared" si="15"/>
        <v>14000</v>
      </c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x14ac:dyDescent="0.45">
      <c r="A285" s="127">
        <f t="shared" si="14"/>
        <v>265</v>
      </c>
      <c r="B285" s="193" t="s">
        <v>206</v>
      </c>
      <c r="C285" s="127">
        <v>21</v>
      </c>
      <c r="D285" s="77">
        <f t="shared" si="8"/>
        <v>11.8</v>
      </c>
      <c r="E285" s="5">
        <f t="shared" si="9"/>
        <v>46728</v>
      </c>
      <c r="F285" s="77">
        <f t="shared" si="10"/>
        <v>7943.76</v>
      </c>
      <c r="G285" s="77">
        <f t="shared" si="11"/>
        <v>7626.0096000000003</v>
      </c>
      <c r="H285" s="77">
        <f>'Energy Usage'!O91</f>
        <v>11.624485447947754</v>
      </c>
      <c r="I285" s="77">
        <f t="shared" si="12"/>
        <v>3229.0237355410427</v>
      </c>
      <c r="J285" s="77">
        <f t="shared" si="13"/>
        <v>3363.5663911885863</v>
      </c>
      <c r="K285" s="77">
        <f t="shared" si="15"/>
        <v>14000</v>
      </c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x14ac:dyDescent="0.45">
      <c r="A286" s="127">
        <f t="shared" si="14"/>
        <v>266</v>
      </c>
      <c r="B286" s="193" t="s">
        <v>206</v>
      </c>
      <c r="C286" s="127">
        <v>22</v>
      </c>
      <c r="D286" s="77">
        <f t="shared" si="8"/>
        <v>11.8</v>
      </c>
      <c r="E286" s="5">
        <f t="shared" si="9"/>
        <v>46728</v>
      </c>
      <c r="F286" s="77">
        <f t="shared" si="10"/>
        <v>7943.76</v>
      </c>
      <c r="G286" s="77">
        <f t="shared" si="11"/>
        <v>7626.0096000000003</v>
      </c>
      <c r="H286" s="77">
        <f>'Energy Usage'!O92</f>
        <v>6.0231134427189676</v>
      </c>
      <c r="I286" s="77">
        <f t="shared" si="12"/>
        <v>1673.0870674219354</v>
      </c>
      <c r="J286" s="77">
        <f t="shared" si="13"/>
        <v>1742.7990285645162</v>
      </c>
      <c r="K286" s="77">
        <f t="shared" si="15"/>
        <v>14000</v>
      </c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x14ac:dyDescent="0.45">
      <c r="A287" s="127">
        <f t="shared" si="14"/>
        <v>267</v>
      </c>
      <c r="B287" s="193" t="s">
        <v>206</v>
      </c>
      <c r="C287" s="127">
        <v>23</v>
      </c>
      <c r="D287" s="77">
        <f t="shared" si="8"/>
        <v>11.8</v>
      </c>
      <c r="E287" s="5">
        <f t="shared" si="9"/>
        <v>46728</v>
      </c>
      <c r="F287" s="77">
        <f t="shared" si="10"/>
        <v>7943.76</v>
      </c>
      <c r="G287" s="77">
        <f t="shared" si="11"/>
        <v>7626.0096000000003</v>
      </c>
      <c r="H287" s="77">
        <f>'Energy Usage'!O93</f>
        <v>3.1103999999999998</v>
      </c>
      <c r="I287" s="77">
        <f t="shared" si="12"/>
        <v>863.99999999999989</v>
      </c>
      <c r="J287" s="77">
        <f t="shared" si="13"/>
        <v>899.99999999999989</v>
      </c>
      <c r="K287" s="77">
        <f t="shared" si="15"/>
        <v>14000</v>
      </c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x14ac:dyDescent="0.45">
      <c r="A288" s="127">
        <f t="shared" si="14"/>
        <v>268</v>
      </c>
      <c r="B288" s="193" t="s">
        <v>206</v>
      </c>
      <c r="C288" s="127">
        <v>24</v>
      </c>
      <c r="D288" s="77">
        <f t="shared" si="8"/>
        <v>11.8</v>
      </c>
      <c r="E288" s="5">
        <f t="shared" si="9"/>
        <v>46728</v>
      </c>
      <c r="F288" s="77">
        <f t="shared" si="10"/>
        <v>7943.76</v>
      </c>
      <c r="G288" s="77">
        <f t="shared" si="11"/>
        <v>7626.0096000000003</v>
      </c>
      <c r="H288" s="77">
        <f>'Energy Usage'!O94</f>
        <v>7.5914976041830293</v>
      </c>
      <c r="I288" s="77">
        <f t="shared" si="12"/>
        <v>2108.7493344952859</v>
      </c>
      <c r="J288" s="77">
        <f t="shared" si="13"/>
        <v>2196.6138900992564</v>
      </c>
      <c r="K288" s="77">
        <f t="shared" si="15"/>
        <v>14000</v>
      </c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x14ac:dyDescent="0.45">
      <c r="A289" s="127">
        <f t="shared" si="14"/>
        <v>269</v>
      </c>
      <c r="B289" s="193" t="s">
        <v>206</v>
      </c>
      <c r="C289" s="127">
        <v>25</v>
      </c>
      <c r="D289" s="77">
        <f t="shared" si="8"/>
        <v>11.8</v>
      </c>
      <c r="E289" s="5">
        <f t="shared" si="9"/>
        <v>46728</v>
      </c>
      <c r="F289" s="77">
        <f t="shared" si="10"/>
        <v>7943.76</v>
      </c>
      <c r="G289" s="77">
        <f t="shared" si="11"/>
        <v>7626.0096000000003</v>
      </c>
      <c r="H289" s="77">
        <f>'Energy Usage'!O95</f>
        <v>28.571181841949024</v>
      </c>
      <c r="I289" s="77">
        <f t="shared" si="12"/>
        <v>7936.4394005413951</v>
      </c>
      <c r="J289" s="77">
        <f t="shared" si="13"/>
        <v>8267.1243755639534</v>
      </c>
      <c r="K289" s="77">
        <f t="shared" si="15"/>
        <v>14000</v>
      </c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x14ac:dyDescent="0.45">
      <c r="A290" s="127">
        <f t="shared" si="14"/>
        <v>270</v>
      </c>
      <c r="B290" s="193" t="s">
        <v>206</v>
      </c>
      <c r="C290" s="127">
        <v>26</v>
      </c>
      <c r="D290" s="77">
        <f t="shared" si="8"/>
        <v>11.8</v>
      </c>
      <c r="E290" s="5">
        <f t="shared" si="9"/>
        <v>46728</v>
      </c>
      <c r="F290" s="77">
        <f t="shared" si="10"/>
        <v>7943.76</v>
      </c>
      <c r="G290" s="77">
        <f t="shared" si="11"/>
        <v>7626.0096000000003</v>
      </c>
      <c r="H290" s="77">
        <f>'Energy Usage'!O96</f>
        <v>3.3344548802091514</v>
      </c>
      <c r="I290" s="77">
        <f t="shared" si="12"/>
        <v>926.2374667247642</v>
      </c>
      <c r="J290" s="77">
        <f t="shared" si="13"/>
        <v>964.83069450496271</v>
      </c>
      <c r="K290" s="77">
        <f t="shared" si="15"/>
        <v>13358.885224436048</v>
      </c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x14ac:dyDescent="0.45">
      <c r="A291" s="127">
        <f t="shared" si="14"/>
        <v>271</v>
      </c>
      <c r="B291" s="193" t="s">
        <v>206</v>
      </c>
      <c r="C291" s="127">
        <v>27</v>
      </c>
      <c r="D291" s="77">
        <f t="shared" si="8"/>
        <v>11.8</v>
      </c>
      <c r="E291" s="5">
        <f t="shared" si="9"/>
        <v>46728</v>
      </c>
      <c r="F291" s="77">
        <f t="shared" si="10"/>
        <v>7943.76</v>
      </c>
      <c r="G291" s="77">
        <f t="shared" si="11"/>
        <v>7626.0096000000003</v>
      </c>
      <c r="H291" s="77">
        <f>'Energy Usage'!O97</f>
        <v>8.0396073646013324</v>
      </c>
      <c r="I291" s="77">
        <f t="shared" si="12"/>
        <v>2233.2242679448145</v>
      </c>
      <c r="J291" s="77">
        <f t="shared" si="13"/>
        <v>2326.2752791091821</v>
      </c>
      <c r="K291" s="77">
        <f t="shared" si="15"/>
        <v>14000</v>
      </c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x14ac:dyDescent="0.45">
      <c r="A292" s="127">
        <f t="shared" si="14"/>
        <v>272</v>
      </c>
      <c r="B292" s="193" t="s">
        <v>206</v>
      </c>
      <c r="C292" s="127">
        <v>28</v>
      </c>
      <c r="D292" s="77">
        <f t="shared" si="8"/>
        <v>11.8</v>
      </c>
      <c r="E292" s="5">
        <f t="shared" si="9"/>
        <v>46728</v>
      </c>
      <c r="F292" s="77">
        <f t="shared" si="10"/>
        <v>7943.76</v>
      </c>
      <c r="G292" s="77">
        <f t="shared" si="11"/>
        <v>7626.0096000000003</v>
      </c>
      <c r="H292" s="77">
        <f>'Energy Usage'!O98</f>
        <v>28.571181841949024</v>
      </c>
      <c r="I292" s="77">
        <f t="shared" si="12"/>
        <v>7936.4394005413951</v>
      </c>
      <c r="J292" s="77">
        <f t="shared" si="13"/>
        <v>8267.1243755639534</v>
      </c>
      <c r="K292" s="77">
        <f t="shared" si="15"/>
        <v>14000</v>
      </c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x14ac:dyDescent="0.45">
      <c r="A293" s="127">
        <f t="shared" si="14"/>
        <v>273</v>
      </c>
      <c r="B293" s="193" t="s">
        <v>206</v>
      </c>
      <c r="C293" s="127">
        <v>29</v>
      </c>
      <c r="D293" s="77">
        <f t="shared" si="8"/>
        <v>11.8</v>
      </c>
      <c r="E293" s="5">
        <f t="shared" si="9"/>
        <v>46728</v>
      </c>
      <c r="F293" s="77">
        <f t="shared" si="10"/>
        <v>7943.76</v>
      </c>
      <c r="G293" s="77">
        <f t="shared" si="11"/>
        <v>7626.0096000000003</v>
      </c>
      <c r="H293" s="77">
        <f>'Energy Usage'!O99</f>
        <v>28.571181841949024</v>
      </c>
      <c r="I293" s="77">
        <f t="shared" si="12"/>
        <v>7936.4394005413951</v>
      </c>
      <c r="J293" s="77">
        <f t="shared" si="13"/>
        <v>8267.1243755639534</v>
      </c>
      <c r="K293" s="77">
        <f t="shared" si="15"/>
        <v>13358.885224436048</v>
      </c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x14ac:dyDescent="0.45">
      <c r="A294" s="127">
        <f t="shared" si="14"/>
        <v>274</v>
      </c>
      <c r="B294" s="193" t="s">
        <v>206</v>
      </c>
      <c r="C294" s="127">
        <v>30</v>
      </c>
      <c r="D294" s="77">
        <f t="shared" si="8"/>
        <v>11.8</v>
      </c>
      <c r="E294" s="5">
        <f t="shared" si="9"/>
        <v>46728</v>
      </c>
      <c r="F294" s="77">
        <f t="shared" si="10"/>
        <v>7943.76</v>
      </c>
      <c r="G294" s="77">
        <f t="shared" si="11"/>
        <v>7626.0096000000003</v>
      </c>
      <c r="H294" s="77">
        <f>'Energy Usage'!O100</f>
        <v>6.4712232031372707</v>
      </c>
      <c r="I294" s="77">
        <f t="shared" si="12"/>
        <v>1797.5620008714641</v>
      </c>
      <c r="J294" s="77">
        <f t="shared" si="13"/>
        <v>1872.4604175744419</v>
      </c>
      <c r="K294" s="77">
        <f t="shared" si="15"/>
        <v>12717.770448872094</v>
      </c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x14ac:dyDescent="0.45">
      <c r="A295" s="127">
        <f t="shared" si="14"/>
        <v>275</v>
      </c>
      <c r="B295" s="193" t="s">
        <v>206</v>
      </c>
      <c r="C295" s="127">
        <v>31</v>
      </c>
      <c r="D295" s="77">
        <f t="shared" si="8"/>
        <v>11.8</v>
      </c>
      <c r="E295" s="5">
        <f t="shared" si="9"/>
        <v>46728</v>
      </c>
      <c r="F295" s="77">
        <f t="shared" si="10"/>
        <v>7943.76</v>
      </c>
      <c r="G295" s="77">
        <f t="shared" si="11"/>
        <v>7626.0096000000003</v>
      </c>
      <c r="H295" s="77">
        <f>'Energy Usage'!O101</f>
        <v>3.1103999999999998</v>
      </c>
      <c r="I295" s="77">
        <f t="shared" si="12"/>
        <v>863.99999999999989</v>
      </c>
      <c r="J295" s="77">
        <f t="shared" si="13"/>
        <v>899.99999999999989</v>
      </c>
      <c r="K295" s="77">
        <f t="shared" si="15"/>
        <v>14000</v>
      </c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x14ac:dyDescent="0.45">
      <c r="A296" s="127">
        <f t="shared" si="14"/>
        <v>276</v>
      </c>
      <c r="B296" s="193" t="s">
        <v>208</v>
      </c>
      <c r="C296" s="127">
        <v>1</v>
      </c>
      <c r="D296" s="77">
        <f t="shared" si="8"/>
        <v>13.6</v>
      </c>
      <c r="E296" s="5">
        <f t="shared" si="9"/>
        <v>53856</v>
      </c>
      <c r="F296" s="77">
        <f t="shared" si="10"/>
        <v>9155.52</v>
      </c>
      <c r="G296" s="77">
        <f t="shared" si="11"/>
        <v>8789.2991999999995</v>
      </c>
      <c r="H296" s="77">
        <f>'Energy Usage'!O102</f>
        <v>3.1103999999999998</v>
      </c>
      <c r="I296" s="77">
        <f t="shared" si="12"/>
        <v>863.99999999999989</v>
      </c>
      <c r="J296" s="77">
        <f t="shared" si="13"/>
        <v>899.99999999999989</v>
      </c>
      <c r="K296" s="77">
        <f t="shared" si="15"/>
        <v>14000</v>
      </c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x14ac:dyDescent="0.45">
      <c r="A297" s="127">
        <f t="shared" si="14"/>
        <v>277</v>
      </c>
      <c r="B297" s="193" t="s">
        <v>208</v>
      </c>
      <c r="C297" s="127">
        <v>2</v>
      </c>
      <c r="D297" s="77">
        <f t="shared" si="8"/>
        <v>13.6</v>
      </c>
      <c r="E297" s="5">
        <f t="shared" si="9"/>
        <v>53856</v>
      </c>
      <c r="F297" s="77">
        <f t="shared" si="10"/>
        <v>9155.52</v>
      </c>
      <c r="G297" s="77">
        <f t="shared" si="11"/>
        <v>8789.2991999999995</v>
      </c>
      <c r="H297" s="77">
        <f>'Energy Usage'!O103</f>
        <v>9.3839366458562399</v>
      </c>
      <c r="I297" s="77">
        <f t="shared" si="12"/>
        <v>2606.6490682934</v>
      </c>
      <c r="J297" s="77">
        <f t="shared" si="13"/>
        <v>2715.2594461389585</v>
      </c>
      <c r="K297" s="77">
        <f t="shared" si="15"/>
        <v>14000</v>
      </c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x14ac:dyDescent="0.45">
      <c r="A298" s="127">
        <f t="shared" si="14"/>
        <v>278</v>
      </c>
      <c r="B298" s="193" t="s">
        <v>208</v>
      </c>
      <c r="C298" s="127">
        <v>3</v>
      </c>
      <c r="D298" s="77">
        <f t="shared" si="8"/>
        <v>13.6</v>
      </c>
      <c r="E298" s="5">
        <f t="shared" si="9"/>
        <v>53856</v>
      </c>
      <c r="F298" s="77">
        <f t="shared" si="10"/>
        <v>9155.52</v>
      </c>
      <c r="G298" s="77">
        <f t="shared" si="11"/>
        <v>8789.2991999999995</v>
      </c>
      <c r="H298" s="77">
        <f>'Energy Usage'!O104</f>
        <v>25.963997781333443</v>
      </c>
      <c r="I298" s="77">
        <f t="shared" si="12"/>
        <v>7212.2216059259563</v>
      </c>
      <c r="J298" s="77">
        <f t="shared" si="13"/>
        <v>7512.7308395062046</v>
      </c>
      <c r="K298" s="77">
        <f t="shared" si="15"/>
        <v>14000</v>
      </c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x14ac:dyDescent="0.45">
      <c r="A299" s="127">
        <f t="shared" si="14"/>
        <v>279</v>
      </c>
      <c r="B299" s="193" t="s">
        <v>208</v>
      </c>
      <c r="C299" s="127">
        <v>4</v>
      </c>
      <c r="D299" s="77">
        <f t="shared" si="8"/>
        <v>13.6</v>
      </c>
      <c r="E299" s="5">
        <f t="shared" si="9"/>
        <v>53856</v>
      </c>
      <c r="F299" s="77">
        <f t="shared" si="10"/>
        <v>9155.52</v>
      </c>
      <c r="G299" s="77">
        <f t="shared" si="11"/>
        <v>8789.2991999999995</v>
      </c>
      <c r="H299" s="77">
        <f>'Energy Usage'!O105</f>
        <v>6.0231134427189676</v>
      </c>
      <c r="I299" s="77">
        <f t="shared" si="12"/>
        <v>1673.0870674219354</v>
      </c>
      <c r="J299" s="77">
        <f t="shared" si="13"/>
        <v>1742.7990285645162</v>
      </c>
      <c r="K299" s="77">
        <f t="shared" si="15"/>
        <v>14000</v>
      </c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x14ac:dyDescent="0.45">
      <c r="A300" s="127">
        <f t="shared" si="14"/>
        <v>280</v>
      </c>
      <c r="B300" s="193" t="s">
        <v>208</v>
      </c>
      <c r="C300" s="127">
        <v>5</v>
      </c>
      <c r="D300" s="77">
        <f t="shared" si="8"/>
        <v>13.6</v>
      </c>
      <c r="E300" s="5">
        <f t="shared" si="9"/>
        <v>53856</v>
      </c>
      <c r="F300" s="77">
        <f t="shared" si="10"/>
        <v>9155.52</v>
      </c>
      <c r="G300" s="77">
        <f t="shared" si="11"/>
        <v>8789.2991999999995</v>
      </c>
      <c r="H300" s="77">
        <f>'Energy Usage'!O106</f>
        <v>20.922762976627535</v>
      </c>
      <c r="I300" s="77">
        <f t="shared" si="12"/>
        <v>5811.8786046187597</v>
      </c>
      <c r="J300" s="77">
        <f t="shared" si="13"/>
        <v>6054.0402131445417</v>
      </c>
      <c r="K300" s="77">
        <f t="shared" si="15"/>
        <v>14000</v>
      </c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x14ac:dyDescent="0.45">
      <c r="A301" s="127">
        <f t="shared" si="14"/>
        <v>281</v>
      </c>
      <c r="B301" s="193" t="s">
        <v>208</v>
      </c>
      <c r="C301" s="127">
        <v>6</v>
      </c>
      <c r="D301" s="77">
        <f t="shared" si="8"/>
        <v>13.6</v>
      </c>
      <c r="E301" s="5">
        <f t="shared" si="9"/>
        <v>53856</v>
      </c>
      <c r="F301" s="77">
        <f t="shared" si="10"/>
        <v>9155.52</v>
      </c>
      <c r="G301" s="77">
        <f t="shared" si="11"/>
        <v>8789.2991999999995</v>
      </c>
      <c r="H301" s="77">
        <f>'Energy Usage'!O107</f>
        <v>13.640979369830116</v>
      </c>
      <c r="I301" s="77">
        <f t="shared" si="12"/>
        <v>3789.1609360639213</v>
      </c>
      <c r="J301" s="77">
        <f t="shared" si="13"/>
        <v>3947.0426417332515</v>
      </c>
      <c r="K301" s="77">
        <f t="shared" si="15"/>
        <v>14000</v>
      </c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x14ac:dyDescent="0.45">
      <c r="A302" s="127">
        <f t="shared" si="14"/>
        <v>282</v>
      </c>
      <c r="B302" s="193" t="s">
        <v>208</v>
      </c>
      <c r="C302" s="127">
        <v>7</v>
      </c>
      <c r="D302" s="77">
        <f t="shared" si="8"/>
        <v>13.6</v>
      </c>
      <c r="E302" s="5">
        <f t="shared" si="9"/>
        <v>53856</v>
      </c>
      <c r="F302" s="77">
        <f t="shared" si="10"/>
        <v>9155.52</v>
      </c>
      <c r="G302" s="77">
        <f t="shared" si="11"/>
        <v>8789.2991999999995</v>
      </c>
      <c r="H302" s="77">
        <f>'Energy Usage'!O108</f>
        <v>18.346131854222296</v>
      </c>
      <c r="I302" s="77">
        <f t="shared" si="12"/>
        <v>5096.1477372839709</v>
      </c>
      <c r="J302" s="77">
        <f t="shared" si="13"/>
        <v>5308.48722633747</v>
      </c>
      <c r="K302" s="77">
        <f t="shared" si="15"/>
        <v>14000</v>
      </c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x14ac:dyDescent="0.45">
      <c r="A303" s="127">
        <f t="shared" si="14"/>
        <v>283</v>
      </c>
      <c r="B303" s="193" t="s">
        <v>208</v>
      </c>
      <c r="C303" s="127">
        <v>8</v>
      </c>
      <c r="D303" s="77">
        <f t="shared" si="8"/>
        <v>13.6</v>
      </c>
      <c r="E303" s="5">
        <f t="shared" si="9"/>
        <v>53856</v>
      </c>
      <c r="F303" s="77">
        <f t="shared" si="10"/>
        <v>9155.52</v>
      </c>
      <c r="G303" s="77">
        <f t="shared" si="11"/>
        <v>8789.2991999999995</v>
      </c>
      <c r="H303" s="77">
        <f>'Energy Usage'!O109</f>
        <v>9.3839366458562399</v>
      </c>
      <c r="I303" s="77">
        <f t="shared" si="12"/>
        <v>2606.6490682934</v>
      </c>
      <c r="J303" s="77">
        <f t="shared" si="13"/>
        <v>2715.2594461389585</v>
      </c>
      <c r="K303" s="77">
        <f t="shared" si="15"/>
        <v>14000</v>
      </c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x14ac:dyDescent="0.45">
      <c r="A304" s="127">
        <f t="shared" si="14"/>
        <v>284</v>
      </c>
      <c r="B304" s="193" t="s">
        <v>208</v>
      </c>
      <c r="C304" s="127">
        <v>9</v>
      </c>
      <c r="D304" s="77">
        <f t="shared" si="8"/>
        <v>13.6</v>
      </c>
      <c r="E304" s="5">
        <f t="shared" si="9"/>
        <v>53856</v>
      </c>
      <c r="F304" s="77">
        <f t="shared" si="10"/>
        <v>9155.52</v>
      </c>
      <c r="G304" s="77">
        <f t="shared" si="11"/>
        <v>8789.2991999999995</v>
      </c>
      <c r="H304" s="77">
        <f>'Energy Usage'!O110</f>
        <v>3.1103999999999998</v>
      </c>
      <c r="I304" s="77">
        <f t="shared" si="12"/>
        <v>863.99999999999989</v>
      </c>
      <c r="J304" s="77">
        <f t="shared" si="13"/>
        <v>899.99999999999989</v>
      </c>
      <c r="K304" s="77">
        <f t="shared" si="15"/>
        <v>14000</v>
      </c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x14ac:dyDescent="0.45">
      <c r="A305" s="127">
        <f t="shared" si="14"/>
        <v>285</v>
      </c>
      <c r="B305" s="193" t="s">
        <v>208</v>
      </c>
      <c r="C305" s="127">
        <v>10</v>
      </c>
      <c r="D305" s="77">
        <f t="shared" si="8"/>
        <v>13.6</v>
      </c>
      <c r="E305" s="5">
        <f t="shared" si="9"/>
        <v>53856</v>
      </c>
      <c r="F305" s="77">
        <f t="shared" si="10"/>
        <v>9155.52</v>
      </c>
      <c r="G305" s="77">
        <f t="shared" si="11"/>
        <v>8789.2991999999995</v>
      </c>
      <c r="H305" s="77">
        <f>'Energy Usage'!O111</f>
        <v>21.706955057359568</v>
      </c>
      <c r="I305" s="77">
        <f t="shared" si="12"/>
        <v>6029.7097381554358</v>
      </c>
      <c r="J305" s="77">
        <f t="shared" si="13"/>
        <v>6280.9476439119126</v>
      </c>
      <c r="K305" s="77">
        <f t="shared" si="15"/>
        <v>14000</v>
      </c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x14ac:dyDescent="0.45">
      <c r="A306" s="127">
        <f t="shared" si="14"/>
        <v>286</v>
      </c>
      <c r="B306" s="193" t="s">
        <v>208</v>
      </c>
      <c r="C306" s="127">
        <v>11</v>
      </c>
      <c r="D306" s="77">
        <f t="shared" si="8"/>
        <v>13.6</v>
      </c>
      <c r="E306" s="5">
        <f t="shared" si="9"/>
        <v>53856</v>
      </c>
      <c r="F306" s="77">
        <f t="shared" si="10"/>
        <v>9155.52</v>
      </c>
      <c r="G306" s="77">
        <f t="shared" si="11"/>
        <v>8789.2991999999995</v>
      </c>
      <c r="H306" s="77">
        <f>'Energy Usage'!O112</f>
        <v>3.1103999999999998</v>
      </c>
      <c r="I306" s="77">
        <f t="shared" si="12"/>
        <v>863.99999999999989</v>
      </c>
      <c r="J306" s="77">
        <f t="shared" si="13"/>
        <v>899.99999999999989</v>
      </c>
      <c r="K306" s="77">
        <f t="shared" si="15"/>
        <v>14000</v>
      </c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x14ac:dyDescent="0.45">
      <c r="A307" s="127">
        <f t="shared" si="14"/>
        <v>287</v>
      </c>
      <c r="B307" s="193" t="s">
        <v>208</v>
      </c>
      <c r="C307" s="127">
        <v>12</v>
      </c>
      <c r="D307" s="77">
        <f t="shared" si="8"/>
        <v>13.6</v>
      </c>
      <c r="E307" s="5">
        <f t="shared" si="9"/>
        <v>53856</v>
      </c>
      <c r="F307" s="77">
        <f t="shared" si="10"/>
        <v>9155.52</v>
      </c>
      <c r="G307" s="77">
        <f t="shared" si="11"/>
        <v>8789.2991999999995</v>
      </c>
      <c r="H307" s="77">
        <f>'Energy Usage'!O113</f>
        <v>3.1103999999999998</v>
      </c>
      <c r="I307" s="77">
        <f t="shared" si="12"/>
        <v>863.99999999999989</v>
      </c>
      <c r="J307" s="77">
        <f t="shared" si="13"/>
        <v>899.99999999999989</v>
      </c>
      <c r="K307" s="77">
        <f t="shared" si="15"/>
        <v>14000</v>
      </c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x14ac:dyDescent="0.45">
      <c r="A308" s="127">
        <f t="shared" si="14"/>
        <v>288</v>
      </c>
      <c r="B308" s="193" t="s">
        <v>208</v>
      </c>
      <c r="C308" s="127">
        <v>13</v>
      </c>
      <c r="D308" s="77">
        <f t="shared" si="8"/>
        <v>13.6</v>
      </c>
      <c r="E308" s="5">
        <f t="shared" si="9"/>
        <v>53856</v>
      </c>
      <c r="F308" s="77">
        <f t="shared" si="10"/>
        <v>9155.52</v>
      </c>
      <c r="G308" s="77">
        <f t="shared" si="11"/>
        <v>8789.2991999999995</v>
      </c>
      <c r="H308" s="77">
        <f>'Energy Usage'!O114</f>
        <v>3.1103999999999998</v>
      </c>
      <c r="I308" s="77">
        <f t="shared" si="12"/>
        <v>863.99999999999989</v>
      </c>
      <c r="J308" s="77">
        <f t="shared" si="13"/>
        <v>899.99999999999989</v>
      </c>
      <c r="K308" s="77">
        <f t="shared" si="15"/>
        <v>14000</v>
      </c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x14ac:dyDescent="0.45">
      <c r="A309" s="127">
        <f t="shared" si="14"/>
        <v>289</v>
      </c>
      <c r="B309" s="193" t="s">
        <v>208</v>
      </c>
      <c r="C309" s="127">
        <v>14</v>
      </c>
      <c r="D309" s="77">
        <f t="shared" si="8"/>
        <v>13.6</v>
      </c>
      <c r="E309" s="5">
        <f t="shared" si="9"/>
        <v>53856</v>
      </c>
      <c r="F309" s="77">
        <f t="shared" si="10"/>
        <v>9155.52</v>
      </c>
      <c r="G309" s="77">
        <f t="shared" si="11"/>
        <v>8789.2991999999995</v>
      </c>
      <c r="H309" s="77">
        <f>'Energy Usage'!O115</f>
        <v>19.690461135477204</v>
      </c>
      <c r="I309" s="77">
        <f t="shared" si="12"/>
        <v>5469.5725376325563</v>
      </c>
      <c r="J309" s="77">
        <f t="shared" si="13"/>
        <v>5697.4713933672465</v>
      </c>
      <c r="K309" s="77">
        <f t="shared" si="15"/>
        <v>14000</v>
      </c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x14ac:dyDescent="0.45">
      <c r="A310" s="127">
        <f t="shared" si="14"/>
        <v>290</v>
      </c>
      <c r="B310" s="193" t="s">
        <v>208</v>
      </c>
      <c r="C310" s="127">
        <v>15</v>
      </c>
      <c r="D310" s="77">
        <f t="shared" si="8"/>
        <v>13.6</v>
      </c>
      <c r="E310" s="5">
        <f t="shared" si="9"/>
        <v>53856</v>
      </c>
      <c r="F310" s="77">
        <f t="shared" si="10"/>
        <v>9155.52</v>
      </c>
      <c r="G310" s="77">
        <f t="shared" si="11"/>
        <v>8789.2991999999995</v>
      </c>
      <c r="H310" s="77">
        <f>'Energy Usage'!O116</f>
        <v>26.412107541751745</v>
      </c>
      <c r="I310" s="77">
        <f t="shared" si="12"/>
        <v>7336.6965393754845</v>
      </c>
      <c r="J310" s="77">
        <f t="shared" si="13"/>
        <v>7642.3922285161298</v>
      </c>
      <c r="K310" s="77">
        <f t="shared" si="15"/>
        <v>14000</v>
      </c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x14ac:dyDescent="0.45">
      <c r="A311" s="127">
        <f t="shared" si="14"/>
        <v>291</v>
      </c>
      <c r="B311" s="193" t="s">
        <v>208</v>
      </c>
      <c r="C311" s="127">
        <v>16</v>
      </c>
      <c r="D311" s="77">
        <f t="shared" si="8"/>
        <v>13.6</v>
      </c>
      <c r="E311" s="5">
        <f t="shared" si="9"/>
        <v>53856</v>
      </c>
      <c r="F311" s="77">
        <f t="shared" si="10"/>
        <v>9155.52</v>
      </c>
      <c r="G311" s="77">
        <f t="shared" si="11"/>
        <v>8789.2991999999995</v>
      </c>
      <c r="H311" s="77">
        <f>'Energy Usage'!O117</f>
        <v>28.571181841949024</v>
      </c>
      <c r="I311" s="77">
        <f t="shared" si="12"/>
        <v>7936.4394005413951</v>
      </c>
      <c r="J311" s="77">
        <f t="shared" si="13"/>
        <v>8267.1243755639534</v>
      </c>
      <c r="K311" s="77">
        <f t="shared" si="15"/>
        <v>14000</v>
      </c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x14ac:dyDescent="0.45">
      <c r="A312" s="127">
        <f t="shared" si="14"/>
        <v>292</v>
      </c>
      <c r="B312" s="193" t="s">
        <v>208</v>
      </c>
      <c r="C312" s="127">
        <v>17</v>
      </c>
      <c r="D312" s="77">
        <f t="shared" si="8"/>
        <v>13.6</v>
      </c>
      <c r="E312" s="5">
        <f t="shared" si="9"/>
        <v>53856</v>
      </c>
      <c r="F312" s="77">
        <f t="shared" si="10"/>
        <v>9155.52</v>
      </c>
      <c r="G312" s="77">
        <f t="shared" si="11"/>
        <v>8789.2991999999995</v>
      </c>
      <c r="H312" s="77">
        <f>'Energy Usage'!O118</f>
        <v>14.08908913024842</v>
      </c>
      <c r="I312" s="77">
        <f t="shared" si="12"/>
        <v>3913.63586951345</v>
      </c>
      <c r="J312" s="77">
        <f t="shared" si="13"/>
        <v>4076.7040307431771</v>
      </c>
      <c r="K312" s="77">
        <f t="shared" si="15"/>
        <v>14000</v>
      </c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x14ac:dyDescent="0.45">
      <c r="A313" s="127">
        <f t="shared" si="14"/>
        <v>293</v>
      </c>
      <c r="B313" s="193" t="s">
        <v>208</v>
      </c>
      <c r="C313" s="127">
        <v>18</v>
      </c>
      <c r="D313" s="77">
        <f t="shared" si="8"/>
        <v>13.6</v>
      </c>
      <c r="E313" s="5">
        <f t="shared" si="9"/>
        <v>53856</v>
      </c>
      <c r="F313" s="77">
        <f t="shared" si="10"/>
        <v>9155.52</v>
      </c>
      <c r="G313" s="77">
        <f t="shared" si="11"/>
        <v>8789.2991999999995</v>
      </c>
      <c r="H313" s="77">
        <f>'Energy Usage'!O119</f>
        <v>5.2389213619869377</v>
      </c>
      <c r="I313" s="77">
        <f t="shared" si="12"/>
        <v>1455.2559338852604</v>
      </c>
      <c r="J313" s="77">
        <f t="shared" si="13"/>
        <v>1515.8915977971465</v>
      </c>
      <c r="K313" s="77">
        <f t="shared" si="15"/>
        <v>14000</v>
      </c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x14ac:dyDescent="0.45">
      <c r="A314" s="127">
        <f t="shared" si="14"/>
        <v>294</v>
      </c>
      <c r="B314" s="193" t="s">
        <v>208</v>
      </c>
      <c r="C314" s="127">
        <v>19</v>
      </c>
      <c r="D314" s="77">
        <f t="shared" si="8"/>
        <v>13.6</v>
      </c>
      <c r="E314" s="5">
        <f t="shared" si="9"/>
        <v>53856</v>
      </c>
      <c r="F314" s="77">
        <f t="shared" si="10"/>
        <v>9155.52</v>
      </c>
      <c r="G314" s="77">
        <f t="shared" si="11"/>
        <v>8789.2991999999995</v>
      </c>
      <c r="H314" s="77">
        <f>'Energy Usage'!O120</f>
        <v>26.636162421960897</v>
      </c>
      <c r="I314" s="77">
        <f t="shared" si="12"/>
        <v>7398.9340061002486</v>
      </c>
      <c r="J314" s="77">
        <f t="shared" si="13"/>
        <v>7707.2229230210924</v>
      </c>
      <c r="K314" s="77">
        <f t="shared" si="15"/>
        <v>14000</v>
      </c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x14ac:dyDescent="0.45">
      <c r="A315" s="127">
        <f t="shared" si="14"/>
        <v>295</v>
      </c>
      <c r="B315" s="193" t="s">
        <v>208</v>
      </c>
      <c r="C315" s="127">
        <v>20</v>
      </c>
      <c r="D315" s="77">
        <f t="shared" si="8"/>
        <v>13.6</v>
      </c>
      <c r="E315" s="5">
        <f t="shared" si="9"/>
        <v>53856</v>
      </c>
      <c r="F315" s="77">
        <f t="shared" si="10"/>
        <v>9155.52</v>
      </c>
      <c r="G315" s="77">
        <f t="shared" si="11"/>
        <v>8789.2991999999995</v>
      </c>
      <c r="H315" s="77">
        <f>'Energy Usage'!O121</f>
        <v>28.571181841949024</v>
      </c>
      <c r="I315" s="77">
        <f t="shared" si="12"/>
        <v>7936.4394005413951</v>
      </c>
      <c r="J315" s="77">
        <f t="shared" si="13"/>
        <v>8267.1243755639534</v>
      </c>
      <c r="K315" s="77">
        <f t="shared" si="15"/>
        <v>14000</v>
      </c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x14ac:dyDescent="0.45">
      <c r="A316" s="127">
        <f t="shared" si="14"/>
        <v>296</v>
      </c>
      <c r="B316" s="193" t="s">
        <v>208</v>
      </c>
      <c r="C316" s="127">
        <v>21</v>
      </c>
      <c r="D316" s="77">
        <f t="shared" si="8"/>
        <v>13.6</v>
      </c>
      <c r="E316" s="5">
        <f t="shared" si="9"/>
        <v>53856</v>
      </c>
      <c r="F316" s="77">
        <f t="shared" si="10"/>
        <v>9155.52</v>
      </c>
      <c r="G316" s="77">
        <f t="shared" si="11"/>
        <v>8789.2991999999995</v>
      </c>
      <c r="H316" s="77">
        <f>'Energy Usage'!O122</f>
        <v>3.1103999999999998</v>
      </c>
      <c r="I316" s="77">
        <f t="shared" si="12"/>
        <v>863.99999999999989</v>
      </c>
      <c r="J316" s="77">
        <f t="shared" si="13"/>
        <v>899.99999999999989</v>
      </c>
      <c r="K316" s="77">
        <f t="shared" si="15"/>
        <v>14000</v>
      </c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x14ac:dyDescent="0.45">
      <c r="A317" s="127">
        <f t="shared" si="14"/>
        <v>297</v>
      </c>
      <c r="B317" s="193" t="s">
        <v>208</v>
      </c>
      <c r="C317" s="127">
        <v>22</v>
      </c>
      <c r="D317" s="77">
        <f t="shared" si="8"/>
        <v>13.6</v>
      </c>
      <c r="E317" s="5">
        <f t="shared" si="9"/>
        <v>53856</v>
      </c>
      <c r="F317" s="77">
        <f t="shared" si="10"/>
        <v>9155.52</v>
      </c>
      <c r="G317" s="77">
        <f t="shared" si="11"/>
        <v>8789.2991999999995</v>
      </c>
      <c r="H317" s="77">
        <f>'Energy Usage'!O123</f>
        <v>8.0396073646013324</v>
      </c>
      <c r="I317" s="77">
        <f t="shared" si="12"/>
        <v>2233.2242679448145</v>
      </c>
      <c r="J317" s="77">
        <f t="shared" si="13"/>
        <v>2326.2752791091821</v>
      </c>
      <c r="K317" s="77">
        <f t="shared" si="15"/>
        <v>14000</v>
      </c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x14ac:dyDescent="0.45">
      <c r="A318" s="127">
        <f t="shared" si="14"/>
        <v>298</v>
      </c>
      <c r="B318" s="193" t="s">
        <v>208</v>
      </c>
      <c r="C318" s="127">
        <v>23</v>
      </c>
      <c r="D318" s="77">
        <f t="shared" si="8"/>
        <v>13.6</v>
      </c>
      <c r="E318" s="5">
        <f t="shared" si="9"/>
        <v>53856</v>
      </c>
      <c r="F318" s="77">
        <f t="shared" si="10"/>
        <v>9155.52</v>
      </c>
      <c r="G318" s="77">
        <f t="shared" si="11"/>
        <v>8789.2991999999995</v>
      </c>
      <c r="H318" s="77">
        <f>'Energy Usage'!O124</f>
        <v>17.449912333385694</v>
      </c>
      <c r="I318" s="77">
        <f t="shared" si="12"/>
        <v>4847.1978703849145</v>
      </c>
      <c r="J318" s="77">
        <f t="shared" si="13"/>
        <v>5049.1644483176196</v>
      </c>
      <c r="K318" s="77">
        <f t="shared" si="15"/>
        <v>14000</v>
      </c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x14ac:dyDescent="0.45">
      <c r="A319" s="127">
        <f t="shared" si="14"/>
        <v>299</v>
      </c>
      <c r="B319" s="193" t="s">
        <v>208</v>
      </c>
      <c r="C319" s="127">
        <v>24</v>
      </c>
      <c r="D319" s="77">
        <f t="shared" si="8"/>
        <v>13.6</v>
      </c>
      <c r="E319" s="5">
        <f t="shared" si="9"/>
        <v>53856</v>
      </c>
      <c r="F319" s="77">
        <f t="shared" si="10"/>
        <v>9155.52</v>
      </c>
      <c r="G319" s="77">
        <f t="shared" si="11"/>
        <v>8789.2991999999995</v>
      </c>
      <c r="H319" s="77">
        <f>'Energy Usage'!O125</f>
        <v>28.571181841949024</v>
      </c>
      <c r="I319" s="77">
        <f t="shared" si="12"/>
        <v>7936.4394005413951</v>
      </c>
      <c r="J319" s="77">
        <f t="shared" si="13"/>
        <v>8267.1243755639534</v>
      </c>
      <c r="K319" s="77">
        <f t="shared" si="15"/>
        <v>14000</v>
      </c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x14ac:dyDescent="0.45">
      <c r="A320" s="127">
        <f t="shared" si="14"/>
        <v>300</v>
      </c>
      <c r="B320" s="193" t="s">
        <v>208</v>
      </c>
      <c r="C320" s="127">
        <v>25</v>
      </c>
      <c r="D320" s="77">
        <f t="shared" si="8"/>
        <v>13.6</v>
      </c>
      <c r="E320" s="5">
        <f t="shared" si="9"/>
        <v>53856</v>
      </c>
      <c r="F320" s="77">
        <f t="shared" si="10"/>
        <v>9155.52</v>
      </c>
      <c r="G320" s="77">
        <f t="shared" si="11"/>
        <v>8789.2991999999995</v>
      </c>
      <c r="H320" s="77">
        <f>'Energy Usage'!O126</f>
        <v>5.1268939218823615</v>
      </c>
      <c r="I320" s="77">
        <f t="shared" si="12"/>
        <v>1424.1372005228782</v>
      </c>
      <c r="J320" s="77">
        <f t="shared" si="13"/>
        <v>1483.4762505446647</v>
      </c>
      <c r="K320" s="77">
        <f t="shared" si="15"/>
        <v>14000</v>
      </c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x14ac:dyDescent="0.45">
      <c r="A321" s="127">
        <f t="shared" si="14"/>
        <v>301</v>
      </c>
      <c r="B321" s="193" t="s">
        <v>208</v>
      </c>
      <c r="C321" s="127">
        <v>26</v>
      </c>
      <c r="D321" s="77">
        <f t="shared" si="8"/>
        <v>13.6</v>
      </c>
      <c r="E321" s="5">
        <f t="shared" si="9"/>
        <v>53856</v>
      </c>
      <c r="F321" s="77">
        <f t="shared" si="10"/>
        <v>9155.52</v>
      </c>
      <c r="G321" s="77">
        <f t="shared" si="11"/>
        <v>8789.2991999999995</v>
      </c>
      <c r="H321" s="77">
        <f>'Energy Usage'!O127</f>
        <v>28.571181841949024</v>
      </c>
      <c r="I321" s="77">
        <f t="shared" si="12"/>
        <v>7936.4394005413951</v>
      </c>
      <c r="J321" s="77">
        <f t="shared" si="13"/>
        <v>8267.1243755639534</v>
      </c>
      <c r="K321" s="77">
        <f t="shared" si="15"/>
        <v>14000</v>
      </c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x14ac:dyDescent="0.45">
      <c r="A322" s="127">
        <f t="shared" si="14"/>
        <v>302</v>
      </c>
      <c r="B322" s="193" t="s">
        <v>208</v>
      </c>
      <c r="C322" s="127">
        <v>27</v>
      </c>
      <c r="D322" s="77">
        <f t="shared" si="8"/>
        <v>13.6</v>
      </c>
      <c r="E322" s="5">
        <f t="shared" si="9"/>
        <v>53856</v>
      </c>
      <c r="F322" s="77">
        <f t="shared" si="10"/>
        <v>9155.52</v>
      </c>
      <c r="G322" s="77">
        <f t="shared" si="11"/>
        <v>8789.2991999999995</v>
      </c>
      <c r="H322" s="77">
        <f>'Energy Usage'!O128</f>
        <v>11.176375687529449</v>
      </c>
      <c r="I322" s="77">
        <f t="shared" si="12"/>
        <v>3104.5488020915136</v>
      </c>
      <c r="J322" s="77">
        <f t="shared" si="13"/>
        <v>3233.9050021786602</v>
      </c>
      <c r="K322" s="77">
        <f t="shared" si="15"/>
        <v>14000</v>
      </c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x14ac:dyDescent="0.45">
      <c r="A323" s="127">
        <f t="shared" si="14"/>
        <v>303</v>
      </c>
      <c r="B323" s="193" t="s">
        <v>208</v>
      </c>
      <c r="C323" s="127">
        <v>28</v>
      </c>
      <c r="D323" s="77">
        <f t="shared" si="8"/>
        <v>13.6</v>
      </c>
      <c r="E323" s="5">
        <f t="shared" si="9"/>
        <v>53856</v>
      </c>
      <c r="F323" s="77">
        <f t="shared" si="10"/>
        <v>9155.52</v>
      </c>
      <c r="G323" s="77">
        <f t="shared" si="11"/>
        <v>8789.2991999999995</v>
      </c>
      <c r="H323" s="77">
        <f>'Energy Usage'!O129</f>
        <v>4.0066195208366056</v>
      </c>
      <c r="I323" s="77">
        <f t="shared" si="12"/>
        <v>1112.949866899057</v>
      </c>
      <c r="J323" s="77">
        <f t="shared" si="13"/>
        <v>1159.3227780198511</v>
      </c>
      <c r="K323" s="77">
        <f t="shared" si="15"/>
        <v>14000</v>
      </c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x14ac:dyDescent="0.45">
      <c r="A324" s="127">
        <f t="shared" si="14"/>
        <v>304</v>
      </c>
      <c r="B324" s="193" t="s">
        <v>208</v>
      </c>
      <c r="C324" s="127">
        <v>29</v>
      </c>
      <c r="D324" s="77">
        <f t="shared" si="8"/>
        <v>13.6</v>
      </c>
      <c r="E324" s="5">
        <f t="shared" si="9"/>
        <v>53856</v>
      </c>
      <c r="F324" s="77">
        <f t="shared" si="10"/>
        <v>9155.52</v>
      </c>
      <c r="G324" s="77">
        <f t="shared" si="11"/>
        <v>8789.2991999999995</v>
      </c>
      <c r="H324" s="77">
        <f>'Energy Usage'!O130</f>
        <v>3.2224274401045756</v>
      </c>
      <c r="I324" s="77">
        <f t="shared" si="12"/>
        <v>895.11873336238205</v>
      </c>
      <c r="J324" s="77">
        <f t="shared" si="13"/>
        <v>932.4153472524813</v>
      </c>
      <c r="K324" s="77">
        <f t="shared" si="15"/>
        <v>14000</v>
      </c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x14ac:dyDescent="0.45">
      <c r="A325" s="127">
        <f t="shared" si="14"/>
        <v>305</v>
      </c>
      <c r="B325" s="193" t="s">
        <v>208</v>
      </c>
      <c r="C325" s="127">
        <v>30</v>
      </c>
      <c r="D325" s="77">
        <f t="shared" si="8"/>
        <v>13.6</v>
      </c>
      <c r="E325" s="5">
        <f t="shared" si="9"/>
        <v>53856</v>
      </c>
      <c r="F325" s="77">
        <f t="shared" si="10"/>
        <v>9155.52</v>
      </c>
      <c r="G325" s="77">
        <f t="shared" si="11"/>
        <v>8789.2991999999995</v>
      </c>
      <c r="H325" s="77">
        <f>'Energy Usage'!O131</f>
        <v>3.1103999999999998</v>
      </c>
      <c r="I325" s="77">
        <f t="shared" si="12"/>
        <v>863.99999999999989</v>
      </c>
      <c r="J325" s="77">
        <f t="shared" si="13"/>
        <v>899.99999999999989</v>
      </c>
      <c r="K325" s="77">
        <f t="shared" si="15"/>
        <v>14000</v>
      </c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x14ac:dyDescent="0.45">
      <c r="A326" s="127">
        <f t="shared" si="14"/>
        <v>306</v>
      </c>
      <c r="B326" s="193" t="s">
        <v>212</v>
      </c>
      <c r="C326" s="127">
        <v>1</v>
      </c>
      <c r="D326" s="77">
        <f t="shared" si="8"/>
        <v>15.3</v>
      </c>
      <c r="E326" s="5">
        <f t="shared" si="9"/>
        <v>60588</v>
      </c>
      <c r="F326" s="77">
        <f t="shared" si="10"/>
        <v>10299.960000000001</v>
      </c>
      <c r="G326" s="77">
        <f t="shared" si="11"/>
        <v>9887.9616000000005</v>
      </c>
      <c r="H326" s="77">
        <f>'Energy Usage'!O132</f>
        <v>3.1103999999999998</v>
      </c>
      <c r="I326" s="77">
        <f t="shared" si="12"/>
        <v>863.99999999999989</v>
      </c>
      <c r="J326" s="77">
        <f t="shared" si="13"/>
        <v>899.99999999999989</v>
      </c>
      <c r="K326" s="77">
        <f t="shared" si="15"/>
        <v>14000</v>
      </c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x14ac:dyDescent="0.45">
      <c r="A327" s="127">
        <f t="shared" si="14"/>
        <v>307</v>
      </c>
      <c r="B327" s="193" t="s">
        <v>212</v>
      </c>
      <c r="C327" s="127">
        <v>2</v>
      </c>
      <c r="D327" s="77">
        <f t="shared" si="8"/>
        <v>15.3</v>
      </c>
      <c r="E327" s="5">
        <f t="shared" si="9"/>
        <v>60588</v>
      </c>
      <c r="F327" s="77">
        <f t="shared" si="10"/>
        <v>10299.960000000001</v>
      </c>
      <c r="G327" s="77">
        <f t="shared" si="11"/>
        <v>9887.9616000000005</v>
      </c>
      <c r="H327" s="77">
        <f>'Energy Usage'!O133</f>
        <v>5.3509488020915139</v>
      </c>
      <c r="I327" s="77">
        <f t="shared" si="12"/>
        <v>1486.3746672476427</v>
      </c>
      <c r="J327" s="77">
        <f t="shared" si="13"/>
        <v>1548.306945049628</v>
      </c>
      <c r="K327" s="77">
        <f t="shared" si="15"/>
        <v>14000</v>
      </c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x14ac:dyDescent="0.45">
      <c r="A328" s="127">
        <f t="shared" si="14"/>
        <v>308</v>
      </c>
      <c r="B328" s="193" t="s">
        <v>212</v>
      </c>
      <c r="C328" s="127">
        <v>3</v>
      </c>
      <c r="D328" s="77">
        <f t="shared" si="8"/>
        <v>15.3</v>
      </c>
      <c r="E328" s="5">
        <f t="shared" si="9"/>
        <v>60588</v>
      </c>
      <c r="F328" s="77">
        <f t="shared" si="10"/>
        <v>10299.960000000001</v>
      </c>
      <c r="G328" s="77">
        <f t="shared" si="11"/>
        <v>9887.9616000000005</v>
      </c>
      <c r="H328" s="77">
        <f>'Energy Usage'!O134</f>
        <v>8.2636622448104813</v>
      </c>
      <c r="I328" s="77">
        <f t="shared" si="12"/>
        <v>2295.4617346695782</v>
      </c>
      <c r="J328" s="77">
        <f t="shared" si="13"/>
        <v>2391.1059736141442</v>
      </c>
      <c r="K328" s="77">
        <f t="shared" si="15"/>
        <v>14000</v>
      </c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x14ac:dyDescent="0.45">
      <c r="A329" s="127">
        <f t="shared" si="14"/>
        <v>309</v>
      </c>
      <c r="B329" s="193" t="s">
        <v>212</v>
      </c>
      <c r="C329" s="127">
        <v>4</v>
      </c>
      <c r="D329" s="77">
        <f t="shared" si="8"/>
        <v>15.3</v>
      </c>
      <c r="E329" s="5">
        <f t="shared" si="9"/>
        <v>60588</v>
      </c>
      <c r="F329" s="77">
        <f t="shared" si="10"/>
        <v>10299.960000000001</v>
      </c>
      <c r="G329" s="77">
        <f t="shared" si="11"/>
        <v>9887.9616000000005</v>
      </c>
      <c r="H329" s="77">
        <f>'Energy Usage'!O135</f>
        <v>7.3674427239738769</v>
      </c>
      <c r="I329" s="77">
        <f t="shared" si="12"/>
        <v>2046.5118677705213</v>
      </c>
      <c r="J329" s="77">
        <f t="shared" si="13"/>
        <v>2131.7831955942934</v>
      </c>
      <c r="K329" s="77">
        <f t="shared" si="15"/>
        <v>14000</v>
      </c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x14ac:dyDescent="0.45">
      <c r="A330" s="127">
        <f t="shared" si="14"/>
        <v>310</v>
      </c>
      <c r="B330" s="193" t="s">
        <v>212</v>
      </c>
      <c r="C330" s="127">
        <v>5</v>
      </c>
      <c r="D330" s="77">
        <f t="shared" si="8"/>
        <v>15.3</v>
      </c>
      <c r="E330" s="5">
        <f t="shared" si="9"/>
        <v>60588</v>
      </c>
      <c r="F330" s="77">
        <f t="shared" si="10"/>
        <v>10299.960000000001</v>
      </c>
      <c r="G330" s="77">
        <f t="shared" si="11"/>
        <v>9887.9616000000005</v>
      </c>
      <c r="H330" s="77">
        <f>'Energy Usage'!O136</f>
        <v>3.1103999999999998</v>
      </c>
      <c r="I330" s="77">
        <f t="shared" si="12"/>
        <v>863.99999999999989</v>
      </c>
      <c r="J330" s="77">
        <f t="shared" si="13"/>
        <v>899.99999999999989</v>
      </c>
      <c r="K330" s="77">
        <f t="shared" si="15"/>
        <v>14000</v>
      </c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x14ac:dyDescent="0.45">
      <c r="A331" s="127">
        <f t="shared" si="14"/>
        <v>311</v>
      </c>
      <c r="B331" s="193" t="s">
        <v>212</v>
      </c>
      <c r="C331" s="127">
        <v>6</v>
      </c>
      <c r="D331" s="77">
        <f t="shared" si="8"/>
        <v>15.3</v>
      </c>
      <c r="E331" s="5">
        <f t="shared" si="9"/>
        <v>60588</v>
      </c>
      <c r="F331" s="77">
        <f t="shared" si="10"/>
        <v>10299.960000000001</v>
      </c>
      <c r="G331" s="77">
        <f t="shared" si="11"/>
        <v>9887.9616000000005</v>
      </c>
      <c r="H331" s="77">
        <f>'Energy Usage'!O137</f>
        <v>3.1103999999999998</v>
      </c>
      <c r="I331" s="77">
        <f t="shared" si="12"/>
        <v>863.99999999999989</v>
      </c>
      <c r="J331" s="77">
        <f t="shared" si="13"/>
        <v>899.99999999999989</v>
      </c>
      <c r="K331" s="77">
        <f t="shared" si="15"/>
        <v>14000</v>
      </c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x14ac:dyDescent="0.45">
      <c r="A332" s="127">
        <f t="shared" si="14"/>
        <v>312</v>
      </c>
      <c r="B332" s="193" t="s">
        <v>212</v>
      </c>
      <c r="C332" s="127">
        <v>7</v>
      </c>
      <c r="D332" s="77">
        <f t="shared" si="8"/>
        <v>15.3</v>
      </c>
      <c r="E332" s="5">
        <f t="shared" si="9"/>
        <v>60588</v>
      </c>
      <c r="F332" s="77">
        <f t="shared" si="10"/>
        <v>10299.960000000001</v>
      </c>
      <c r="G332" s="77">
        <f t="shared" si="11"/>
        <v>9887.9616000000005</v>
      </c>
      <c r="H332" s="77">
        <f>'Energy Usage'!O138</f>
        <v>3.1103999999999998</v>
      </c>
      <c r="I332" s="77">
        <f t="shared" si="12"/>
        <v>863.99999999999989</v>
      </c>
      <c r="J332" s="77">
        <f t="shared" si="13"/>
        <v>899.99999999999989</v>
      </c>
      <c r="K332" s="77">
        <f t="shared" si="15"/>
        <v>14000</v>
      </c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x14ac:dyDescent="0.45">
      <c r="A333" s="127">
        <f t="shared" si="14"/>
        <v>313</v>
      </c>
      <c r="B333" s="193" t="s">
        <v>212</v>
      </c>
      <c r="C333" s="127">
        <v>8</v>
      </c>
      <c r="D333" s="77">
        <f t="shared" si="8"/>
        <v>15.3</v>
      </c>
      <c r="E333" s="5">
        <f t="shared" si="9"/>
        <v>60588</v>
      </c>
      <c r="F333" s="77">
        <f t="shared" si="10"/>
        <v>10299.960000000001</v>
      </c>
      <c r="G333" s="77">
        <f t="shared" si="11"/>
        <v>9887.9616000000005</v>
      </c>
      <c r="H333" s="77">
        <f>'Energy Usage'!O139</f>
        <v>3.1103999999999998</v>
      </c>
      <c r="I333" s="77">
        <f t="shared" si="12"/>
        <v>863.99999999999989</v>
      </c>
      <c r="J333" s="77">
        <f t="shared" si="13"/>
        <v>899.99999999999989</v>
      </c>
      <c r="K333" s="77">
        <f t="shared" si="15"/>
        <v>14000</v>
      </c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x14ac:dyDescent="0.45">
      <c r="A334" s="127">
        <f t="shared" si="14"/>
        <v>314</v>
      </c>
      <c r="B334" s="193" t="s">
        <v>212</v>
      </c>
      <c r="C334" s="127">
        <v>9</v>
      </c>
      <c r="D334" s="77">
        <f t="shared" si="8"/>
        <v>15.3</v>
      </c>
      <c r="E334" s="5">
        <f t="shared" si="9"/>
        <v>60588</v>
      </c>
      <c r="F334" s="77">
        <f t="shared" si="10"/>
        <v>10299.960000000001</v>
      </c>
      <c r="G334" s="77">
        <f t="shared" si="11"/>
        <v>9887.9616000000005</v>
      </c>
      <c r="H334" s="77">
        <f>'Energy Usage'!O140</f>
        <v>3.1103999999999998</v>
      </c>
      <c r="I334" s="77">
        <f t="shared" si="12"/>
        <v>863.99999999999989</v>
      </c>
      <c r="J334" s="77">
        <f t="shared" si="13"/>
        <v>899.99999999999989</v>
      </c>
      <c r="K334" s="77">
        <f t="shared" si="15"/>
        <v>14000</v>
      </c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x14ac:dyDescent="0.45">
      <c r="A335" s="127">
        <f t="shared" si="14"/>
        <v>315</v>
      </c>
      <c r="B335" s="193" t="s">
        <v>212</v>
      </c>
      <c r="C335" s="127">
        <v>10</v>
      </c>
      <c r="D335" s="77">
        <f t="shared" si="8"/>
        <v>15.3</v>
      </c>
      <c r="E335" s="5">
        <f t="shared" si="9"/>
        <v>60588</v>
      </c>
      <c r="F335" s="77">
        <f t="shared" si="10"/>
        <v>10299.960000000001</v>
      </c>
      <c r="G335" s="77">
        <f t="shared" si="11"/>
        <v>9887.9616000000005</v>
      </c>
      <c r="H335" s="77">
        <f>'Energy Usage'!O141</f>
        <v>3.3344548802091514</v>
      </c>
      <c r="I335" s="77">
        <f t="shared" si="12"/>
        <v>926.2374667247642</v>
      </c>
      <c r="J335" s="77">
        <f t="shared" si="13"/>
        <v>964.83069450496271</v>
      </c>
      <c r="K335" s="77">
        <f t="shared" si="15"/>
        <v>14000</v>
      </c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x14ac:dyDescent="0.45">
      <c r="A336" s="127">
        <f t="shared" si="14"/>
        <v>316</v>
      </c>
      <c r="B336" s="193" t="s">
        <v>212</v>
      </c>
      <c r="C336" s="127">
        <v>11</v>
      </c>
      <c r="D336" s="77">
        <f t="shared" si="8"/>
        <v>15.3</v>
      </c>
      <c r="E336" s="5">
        <f t="shared" si="9"/>
        <v>60588</v>
      </c>
      <c r="F336" s="77">
        <f t="shared" si="10"/>
        <v>10299.960000000001</v>
      </c>
      <c r="G336" s="77">
        <f t="shared" si="11"/>
        <v>9887.9616000000005</v>
      </c>
      <c r="H336" s="77">
        <f>'Energy Usage'!O142</f>
        <v>3.1103999999999998</v>
      </c>
      <c r="I336" s="77">
        <f t="shared" si="12"/>
        <v>863.99999999999989</v>
      </c>
      <c r="J336" s="77">
        <f t="shared" si="13"/>
        <v>899.99999999999989</v>
      </c>
      <c r="K336" s="77">
        <f t="shared" si="15"/>
        <v>14000</v>
      </c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x14ac:dyDescent="0.45">
      <c r="A337" s="127">
        <f t="shared" si="14"/>
        <v>317</v>
      </c>
      <c r="B337" s="193" t="s">
        <v>212</v>
      </c>
      <c r="C337" s="127">
        <v>12</v>
      </c>
      <c r="D337" s="77">
        <f t="shared" si="8"/>
        <v>15.3</v>
      </c>
      <c r="E337" s="5">
        <f t="shared" si="9"/>
        <v>60588</v>
      </c>
      <c r="F337" s="77">
        <f t="shared" si="10"/>
        <v>10299.960000000001</v>
      </c>
      <c r="G337" s="77">
        <f t="shared" si="11"/>
        <v>9887.9616000000005</v>
      </c>
      <c r="H337" s="77">
        <f>'Energy Usage'!O143</f>
        <v>3.3344548802091514</v>
      </c>
      <c r="I337" s="77">
        <f t="shared" si="12"/>
        <v>926.2374667247642</v>
      </c>
      <c r="J337" s="77">
        <f t="shared" si="13"/>
        <v>964.83069450496271</v>
      </c>
      <c r="K337" s="77">
        <f t="shared" si="15"/>
        <v>14000</v>
      </c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x14ac:dyDescent="0.45">
      <c r="A338" s="127">
        <f t="shared" si="14"/>
        <v>318</v>
      </c>
      <c r="B338" s="193" t="s">
        <v>212</v>
      </c>
      <c r="C338" s="127">
        <v>13</v>
      </c>
      <c r="D338" s="77">
        <f t="shared" si="8"/>
        <v>15.3</v>
      </c>
      <c r="E338" s="5">
        <f t="shared" si="9"/>
        <v>60588</v>
      </c>
      <c r="F338" s="77">
        <f t="shared" si="10"/>
        <v>10299.960000000001</v>
      </c>
      <c r="G338" s="77">
        <f t="shared" si="11"/>
        <v>9887.9616000000005</v>
      </c>
      <c r="H338" s="77">
        <f>'Energy Usage'!O144</f>
        <v>3.1103999999999998</v>
      </c>
      <c r="I338" s="77">
        <f t="shared" si="12"/>
        <v>863.99999999999989</v>
      </c>
      <c r="J338" s="77">
        <f t="shared" si="13"/>
        <v>899.99999999999989</v>
      </c>
      <c r="K338" s="77">
        <f t="shared" si="15"/>
        <v>14000</v>
      </c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x14ac:dyDescent="0.45">
      <c r="A339" s="127">
        <f t="shared" si="14"/>
        <v>319</v>
      </c>
      <c r="B339" s="193" t="s">
        <v>212</v>
      </c>
      <c r="C339" s="127">
        <v>14</v>
      </c>
      <c r="D339" s="77">
        <f t="shared" si="8"/>
        <v>15.3</v>
      </c>
      <c r="E339" s="5">
        <f t="shared" si="9"/>
        <v>60588</v>
      </c>
      <c r="F339" s="77">
        <f t="shared" si="10"/>
        <v>10299.960000000001</v>
      </c>
      <c r="G339" s="77">
        <f t="shared" si="11"/>
        <v>9887.9616000000005</v>
      </c>
      <c r="H339" s="77">
        <f>'Energy Usage'!O145</f>
        <v>3.1103999999999998</v>
      </c>
      <c r="I339" s="77">
        <f t="shared" si="12"/>
        <v>863.99999999999989</v>
      </c>
      <c r="J339" s="77">
        <f t="shared" si="13"/>
        <v>899.99999999999989</v>
      </c>
      <c r="K339" s="77">
        <f t="shared" si="15"/>
        <v>14000</v>
      </c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x14ac:dyDescent="0.45">
      <c r="A340" s="127">
        <f t="shared" si="14"/>
        <v>320</v>
      </c>
      <c r="B340" s="193" t="s">
        <v>212</v>
      </c>
      <c r="C340" s="127">
        <v>15</v>
      </c>
      <c r="D340" s="77">
        <f t="shared" si="8"/>
        <v>15.3</v>
      </c>
      <c r="E340" s="5">
        <f t="shared" si="9"/>
        <v>60588</v>
      </c>
      <c r="F340" s="77">
        <f t="shared" si="10"/>
        <v>10299.960000000001</v>
      </c>
      <c r="G340" s="77">
        <f t="shared" si="11"/>
        <v>9887.9616000000005</v>
      </c>
      <c r="H340" s="77">
        <f>'Energy Usage'!O146</f>
        <v>3.1103999999999998</v>
      </c>
      <c r="I340" s="77">
        <f t="shared" si="12"/>
        <v>863.99999999999989</v>
      </c>
      <c r="J340" s="77">
        <f t="shared" si="13"/>
        <v>899.99999999999989</v>
      </c>
      <c r="K340" s="77">
        <f t="shared" si="15"/>
        <v>14000</v>
      </c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x14ac:dyDescent="0.45">
      <c r="A341" s="127">
        <f t="shared" si="14"/>
        <v>321</v>
      </c>
      <c r="B341" s="193" t="s">
        <v>212</v>
      </c>
      <c r="C341" s="127">
        <v>16</v>
      </c>
      <c r="D341" s="77">
        <f t="shared" si="8"/>
        <v>15.3</v>
      </c>
      <c r="E341" s="5">
        <f t="shared" si="9"/>
        <v>60588</v>
      </c>
      <c r="F341" s="77">
        <f t="shared" si="10"/>
        <v>10299.960000000001</v>
      </c>
      <c r="G341" s="77">
        <f t="shared" si="11"/>
        <v>9887.9616000000005</v>
      </c>
      <c r="H341" s="77">
        <f>'Energy Usage'!O147</f>
        <v>6.2471683229281201</v>
      </c>
      <c r="I341" s="77">
        <f t="shared" si="12"/>
        <v>1735.3245341467</v>
      </c>
      <c r="J341" s="77">
        <f t="shared" si="13"/>
        <v>1807.6297230694793</v>
      </c>
      <c r="K341" s="77">
        <f t="shared" si="15"/>
        <v>14000</v>
      </c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x14ac:dyDescent="0.45">
      <c r="A342" s="127">
        <f t="shared" si="14"/>
        <v>322</v>
      </c>
      <c r="B342" s="193" t="s">
        <v>212</v>
      </c>
      <c r="C342" s="127">
        <v>17</v>
      </c>
      <c r="D342" s="77">
        <f t="shared" si="8"/>
        <v>15.3</v>
      </c>
      <c r="E342" s="5">
        <f t="shared" si="9"/>
        <v>60588</v>
      </c>
      <c r="F342" s="77">
        <f t="shared" si="10"/>
        <v>10299.960000000001</v>
      </c>
      <c r="G342" s="77">
        <f t="shared" si="11"/>
        <v>9887.9616000000005</v>
      </c>
      <c r="H342" s="77">
        <f>'Energy Usage'!O148</f>
        <v>3.1103999999999998</v>
      </c>
      <c r="I342" s="77">
        <f t="shared" si="12"/>
        <v>863.99999999999989</v>
      </c>
      <c r="J342" s="77">
        <f t="shared" si="13"/>
        <v>899.99999999999989</v>
      </c>
      <c r="K342" s="77">
        <f t="shared" si="15"/>
        <v>14000</v>
      </c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x14ac:dyDescent="0.45">
      <c r="A343" s="127">
        <f t="shared" si="14"/>
        <v>323</v>
      </c>
      <c r="B343" s="193" t="s">
        <v>212</v>
      </c>
      <c r="C343" s="127">
        <v>18</v>
      </c>
      <c r="D343" s="77">
        <f t="shared" si="8"/>
        <v>15.3</v>
      </c>
      <c r="E343" s="5">
        <f t="shared" si="9"/>
        <v>60588</v>
      </c>
      <c r="F343" s="77">
        <f t="shared" si="10"/>
        <v>10299.960000000001</v>
      </c>
      <c r="G343" s="77">
        <f t="shared" si="11"/>
        <v>9887.9616000000005</v>
      </c>
      <c r="H343" s="77">
        <f>'Energy Usage'!O149</f>
        <v>3.1103999999999998</v>
      </c>
      <c r="I343" s="77">
        <f t="shared" si="12"/>
        <v>863.99999999999989</v>
      </c>
      <c r="J343" s="77">
        <f t="shared" si="13"/>
        <v>899.99999999999989</v>
      </c>
      <c r="K343" s="77">
        <f t="shared" si="15"/>
        <v>14000</v>
      </c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x14ac:dyDescent="0.45">
      <c r="A344" s="127">
        <f t="shared" si="14"/>
        <v>324</v>
      </c>
      <c r="B344" s="193" t="s">
        <v>212</v>
      </c>
      <c r="C344" s="127">
        <v>19</v>
      </c>
      <c r="D344" s="77">
        <f t="shared" si="8"/>
        <v>15.3</v>
      </c>
      <c r="E344" s="5">
        <f t="shared" si="9"/>
        <v>60588</v>
      </c>
      <c r="F344" s="77">
        <f t="shared" si="10"/>
        <v>10299.960000000001</v>
      </c>
      <c r="G344" s="77">
        <f t="shared" si="11"/>
        <v>9887.9616000000005</v>
      </c>
      <c r="H344" s="77">
        <f>'Energy Usage'!O150</f>
        <v>3.1103999999999998</v>
      </c>
      <c r="I344" s="77">
        <f t="shared" si="12"/>
        <v>863.99999999999989</v>
      </c>
      <c r="J344" s="77">
        <f t="shared" si="13"/>
        <v>899.99999999999989</v>
      </c>
      <c r="K344" s="77">
        <f t="shared" si="15"/>
        <v>14000</v>
      </c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x14ac:dyDescent="0.45">
      <c r="A345" s="127">
        <f t="shared" si="14"/>
        <v>325</v>
      </c>
      <c r="B345" s="193" t="s">
        <v>212</v>
      </c>
      <c r="C345" s="127">
        <v>20</v>
      </c>
      <c r="D345" s="77">
        <f t="shared" si="8"/>
        <v>15.3</v>
      </c>
      <c r="E345" s="5">
        <f t="shared" si="9"/>
        <v>60588</v>
      </c>
      <c r="F345" s="77">
        <f t="shared" si="10"/>
        <v>10299.960000000001</v>
      </c>
      <c r="G345" s="77">
        <f t="shared" si="11"/>
        <v>9887.9616000000005</v>
      </c>
      <c r="H345" s="77">
        <f>'Energy Usage'!O151</f>
        <v>3.1103999999999998</v>
      </c>
      <c r="I345" s="77">
        <f t="shared" si="12"/>
        <v>863.99999999999989</v>
      </c>
      <c r="J345" s="77">
        <f t="shared" si="13"/>
        <v>899.99999999999989</v>
      </c>
      <c r="K345" s="77">
        <f t="shared" si="15"/>
        <v>14000</v>
      </c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x14ac:dyDescent="0.45">
      <c r="A346" s="127">
        <f t="shared" si="14"/>
        <v>326</v>
      </c>
      <c r="B346" s="193" t="s">
        <v>212</v>
      </c>
      <c r="C346" s="127">
        <v>21</v>
      </c>
      <c r="D346" s="77">
        <f t="shared" si="8"/>
        <v>15.3</v>
      </c>
      <c r="E346" s="5">
        <f t="shared" si="9"/>
        <v>60588</v>
      </c>
      <c r="F346" s="77">
        <f t="shared" si="10"/>
        <v>10299.960000000001</v>
      </c>
      <c r="G346" s="77">
        <f t="shared" si="11"/>
        <v>9887.9616000000005</v>
      </c>
      <c r="H346" s="77">
        <f>'Energy Usage'!O152</f>
        <v>12.296650088575205</v>
      </c>
      <c r="I346" s="77">
        <f t="shared" si="12"/>
        <v>3415.736135715335</v>
      </c>
      <c r="J346" s="77">
        <f t="shared" si="13"/>
        <v>3558.0584747034741</v>
      </c>
      <c r="K346" s="77">
        <f t="shared" si="15"/>
        <v>14000</v>
      </c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x14ac:dyDescent="0.45">
      <c r="A347" s="127">
        <f t="shared" si="14"/>
        <v>327</v>
      </c>
      <c r="B347" s="193" t="s">
        <v>212</v>
      </c>
      <c r="C347" s="127">
        <v>22</v>
      </c>
      <c r="D347" s="77">
        <f t="shared" si="8"/>
        <v>15.3</v>
      </c>
      <c r="E347" s="5">
        <f t="shared" si="9"/>
        <v>60588</v>
      </c>
      <c r="F347" s="77">
        <f t="shared" si="10"/>
        <v>10299.960000000001</v>
      </c>
      <c r="G347" s="77">
        <f t="shared" si="11"/>
        <v>9887.9616000000005</v>
      </c>
      <c r="H347" s="77">
        <f>'Energy Usage'!O153</f>
        <v>28.571181841949024</v>
      </c>
      <c r="I347" s="77">
        <f t="shared" si="12"/>
        <v>7936.4394005413951</v>
      </c>
      <c r="J347" s="77">
        <f t="shared" si="13"/>
        <v>8267.1243755639534</v>
      </c>
      <c r="K347" s="77">
        <f t="shared" si="15"/>
        <v>14000</v>
      </c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x14ac:dyDescent="0.45">
      <c r="A348" s="127">
        <f t="shared" si="14"/>
        <v>328</v>
      </c>
      <c r="B348" s="193" t="s">
        <v>212</v>
      </c>
      <c r="C348" s="127">
        <v>23</v>
      </c>
      <c r="D348" s="77">
        <f t="shared" si="8"/>
        <v>15.3</v>
      </c>
      <c r="E348" s="5">
        <f t="shared" si="9"/>
        <v>60588</v>
      </c>
      <c r="F348" s="77">
        <f t="shared" si="10"/>
        <v>10299.960000000001</v>
      </c>
      <c r="G348" s="77">
        <f t="shared" si="11"/>
        <v>9887.9616000000005</v>
      </c>
      <c r="H348" s="77">
        <f>'Energy Usage'!O154</f>
        <v>4.0066195208366056</v>
      </c>
      <c r="I348" s="77">
        <f t="shared" si="12"/>
        <v>1112.949866899057</v>
      </c>
      <c r="J348" s="77">
        <f t="shared" si="13"/>
        <v>1159.3227780198511</v>
      </c>
      <c r="K348" s="77">
        <f t="shared" si="15"/>
        <v>14000</v>
      </c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x14ac:dyDescent="0.45">
      <c r="A349" s="127">
        <f t="shared" si="14"/>
        <v>329</v>
      </c>
      <c r="B349" s="193" t="s">
        <v>212</v>
      </c>
      <c r="C349" s="127">
        <v>24</v>
      </c>
      <c r="D349" s="77">
        <f t="shared" si="8"/>
        <v>15.3</v>
      </c>
      <c r="E349" s="5">
        <f t="shared" si="9"/>
        <v>60588</v>
      </c>
      <c r="F349" s="77">
        <f t="shared" si="10"/>
        <v>10299.960000000001</v>
      </c>
      <c r="G349" s="77">
        <f t="shared" si="11"/>
        <v>9887.9616000000005</v>
      </c>
      <c r="H349" s="77">
        <f>'Energy Usage'!O155</f>
        <v>8.9358268854379368</v>
      </c>
      <c r="I349" s="77">
        <f t="shared" si="12"/>
        <v>2482.1741348438713</v>
      </c>
      <c r="J349" s="77">
        <f t="shared" si="13"/>
        <v>2585.5980571290329</v>
      </c>
      <c r="K349" s="77">
        <f t="shared" si="15"/>
        <v>14000</v>
      </c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x14ac:dyDescent="0.45">
      <c r="A350" s="127">
        <f t="shared" si="14"/>
        <v>330</v>
      </c>
      <c r="B350" s="193" t="s">
        <v>212</v>
      </c>
      <c r="C350" s="127">
        <v>25</v>
      </c>
      <c r="D350" s="77">
        <f t="shared" si="8"/>
        <v>15.3</v>
      </c>
      <c r="E350" s="5">
        <f t="shared" si="9"/>
        <v>60588</v>
      </c>
      <c r="F350" s="77">
        <f t="shared" si="10"/>
        <v>10299.960000000001</v>
      </c>
      <c r="G350" s="77">
        <f t="shared" si="11"/>
        <v>9887.9616000000005</v>
      </c>
      <c r="H350" s="77">
        <f>'Energy Usage'!O156</f>
        <v>28.571181841949024</v>
      </c>
      <c r="I350" s="77">
        <f t="shared" si="12"/>
        <v>7936.4394005413951</v>
      </c>
      <c r="J350" s="77">
        <f t="shared" si="13"/>
        <v>8267.1243755639534</v>
      </c>
      <c r="K350" s="77">
        <f t="shared" si="15"/>
        <v>14000</v>
      </c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x14ac:dyDescent="0.45">
      <c r="A351" s="127">
        <f t="shared" si="14"/>
        <v>331</v>
      </c>
      <c r="B351" s="193" t="s">
        <v>212</v>
      </c>
      <c r="C351" s="127">
        <v>26</v>
      </c>
      <c r="D351" s="77">
        <f t="shared" si="8"/>
        <v>15.3</v>
      </c>
      <c r="E351" s="5">
        <f t="shared" si="9"/>
        <v>60588</v>
      </c>
      <c r="F351" s="77">
        <f t="shared" si="10"/>
        <v>10299.960000000001</v>
      </c>
      <c r="G351" s="77">
        <f t="shared" si="11"/>
        <v>9887.9616000000005</v>
      </c>
      <c r="H351" s="77">
        <f>'Energy Usage'!O157</f>
        <v>3.1103999999999998</v>
      </c>
      <c r="I351" s="77">
        <f t="shared" si="12"/>
        <v>863.99999999999989</v>
      </c>
      <c r="J351" s="77">
        <f t="shared" si="13"/>
        <v>899.99999999999989</v>
      </c>
      <c r="K351" s="77">
        <f t="shared" si="15"/>
        <v>14000</v>
      </c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x14ac:dyDescent="0.45">
      <c r="A352" s="127">
        <f t="shared" si="14"/>
        <v>332</v>
      </c>
      <c r="B352" s="193" t="s">
        <v>212</v>
      </c>
      <c r="C352" s="127">
        <v>27</v>
      </c>
      <c r="D352" s="77">
        <f t="shared" si="8"/>
        <v>15.3</v>
      </c>
      <c r="E352" s="5">
        <f t="shared" si="9"/>
        <v>60588</v>
      </c>
      <c r="F352" s="77">
        <f t="shared" si="10"/>
        <v>10299.960000000001</v>
      </c>
      <c r="G352" s="77">
        <f t="shared" si="11"/>
        <v>9887.9616000000005</v>
      </c>
      <c r="H352" s="77">
        <f>'Energy Usage'!O158</f>
        <v>8.0396073646013324</v>
      </c>
      <c r="I352" s="77">
        <f t="shared" si="12"/>
        <v>2233.2242679448145</v>
      </c>
      <c r="J352" s="77">
        <f t="shared" si="13"/>
        <v>2326.2752791091821</v>
      </c>
      <c r="K352" s="77">
        <f t="shared" si="15"/>
        <v>14000</v>
      </c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x14ac:dyDescent="0.45">
      <c r="A353" s="127">
        <f t="shared" si="14"/>
        <v>333</v>
      </c>
      <c r="B353" s="193" t="s">
        <v>212</v>
      </c>
      <c r="C353" s="127">
        <v>28</v>
      </c>
      <c r="D353" s="77">
        <f t="shared" si="8"/>
        <v>15.3</v>
      </c>
      <c r="E353" s="5">
        <f t="shared" si="9"/>
        <v>60588</v>
      </c>
      <c r="F353" s="77">
        <f t="shared" si="10"/>
        <v>10299.960000000001</v>
      </c>
      <c r="G353" s="77">
        <f t="shared" si="11"/>
        <v>9887.9616000000005</v>
      </c>
      <c r="H353" s="77">
        <f>'Energy Usage'!O159</f>
        <v>3.1103999999999998</v>
      </c>
      <c r="I353" s="77">
        <f t="shared" si="12"/>
        <v>863.99999999999989</v>
      </c>
      <c r="J353" s="77">
        <f t="shared" si="13"/>
        <v>899.99999999999989</v>
      </c>
      <c r="K353" s="77">
        <f t="shared" si="15"/>
        <v>14000</v>
      </c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x14ac:dyDescent="0.45">
      <c r="A354" s="127">
        <f t="shared" si="14"/>
        <v>334</v>
      </c>
      <c r="B354" s="193" t="s">
        <v>212</v>
      </c>
      <c r="C354" s="127">
        <v>29</v>
      </c>
      <c r="D354" s="77">
        <f t="shared" si="8"/>
        <v>15.3</v>
      </c>
      <c r="E354" s="5">
        <f t="shared" si="9"/>
        <v>60588</v>
      </c>
      <c r="F354" s="77">
        <f t="shared" si="10"/>
        <v>10299.960000000001</v>
      </c>
      <c r="G354" s="77">
        <f t="shared" si="11"/>
        <v>9887.9616000000005</v>
      </c>
      <c r="H354" s="77">
        <f>'Energy Usage'!O160</f>
        <v>3.1103999999999998</v>
      </c>
      <c r="I354" s="77">
        <f t="shared" si="12"/>
        <v>863.99999999999989</v>
      </c>
      <c r="J354" s="77">
        <f t="shared" si="13"/>
        <v>899.99999999999989</v>
      </c>
      <c r="K354" s="77">
        <f t="shared" si="15"/>
        <v>14000</v>
      </c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x14ac:dyDescent="0.45">
      <c r="A355" s="127">
        <f t="shared" si="14"/>
        <v>335</v>
      </c>
      <c r="B355" s="193" t="s">
        <v>212</v>
      </c>
      <c r="C355" s="127">
        <v>30</v>
      </c>
      <c r="D355" s="77">
        <f t="shared" si="8"/>
        <v>15.3</v>
      </c>
      <c r="E355" s="5">
        <f t="shared" si="9"/>
        <v>60588</v>
      </c>
      <c r="F355" s="77">
        <f t="shared" si="10"/>
        <v>10299.960000000001</v>
      </c>
      <c r="G355" s="77">
        <f t="shared" si="11"/>
        <v>9887.9616000000005</v>
      </c>
      <c r="H355" s="77">
        <f>'Energy Usage'!O161</f>
        <v>3.1103999999999998</v>
      </c>
      <c r="I355" s="77">
        <f t="shared" si="12"/>
        <v>863.99999999999989</v>
      </c>
      <c r="J355" s="77">
        <f t="shared" si="13"/>
        <v>899.99999999999989</v>
      </c>
      <c r="K355" s="77">
        <f t="shared" si="15"/>
        <v>14000</v>
      </c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x14ac:dyDescent="0.45">
      <c r="A356" s="127">
        <f t="shared" si="14"/>
        <v>336</v>
      </c>
      <c r="B356" s="193" t="s">
        <v>212</v>
      </c>
      <c r="C356" s="127">
        <v>31</v>
      </c>
      <c r="D356" s="77">
        <f t="shared" si="8"/>
        <v>15.3</v>
      </c>
      <c r="E356" s="5">
        <f t="shared" si="9"/>
        <v>60588</v>
      </c>
      <c r="F356" s="77">
        <f t="shared" si="10"/>
        <v>10299.960000000001</v>
      </c>
      <c r="G356" s="77">
        <f t="shared" si="11"/>
        <v>9887.9616000000005</v>
      </c>
      <c r="H356" s="77">
        <f>'Energy Usage'!O162</f>
        <v>3.1103999999999998</v>
      </c>
      <c r="I356" s="77">
        <f t="shared" si="12"/>
        <v>863.99999999999989</v>
      </c>
      <c r="J356" s="77">
        <f t="shared" si="13"/>
        <v>899.99999999999989</v>
      </c>
      <c r="K356" s="77">
        <f t="shared" si="15"/>
        <v>14000</v>
      </c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x14ac:dyDescent="0.45">
      <c r="A357" s="127">
        <f t="shared" si="14"/>
        <v>337</v>
      </c>
      <c r="B357" s="193" t="s">
        <v>215</v>
      </c>
      <c r="C357" s="127">
        <v>1</v>
      </c>
      <c r="D357" s="77">
        <f t="shared" si="8"/>
        <v>16</v>
      </c>
      <c r="E357" s="5">
        <f t="shared" si="9"/>
        <v>63360</v>
      </c>
      <c r="F357" s="77">
        <f t="shared" si="10"/>
        <v>10771.2</v>
      </c>
      <c r="G357" s="77">
        <f t="shared" si="11"/>
        <v>10340.352000000001</v>
      </c>
      <c r="H357" s="77">
        <f>'Energy Usage'!O163</f>
        <v>3.1103999999999998</v>
      </c>
      <c r="I357" s="77">
        <f t="shared" si="12"/>
        <v>863.99999999999989</v>
      </c>
      <c r="J357" s="77">
        <f t="shared" si="13"/>
        <v>899.99999999999989</v>
      </c>
      <c r="K357" s="77">
        <f t="shared" si="15"/>
        <v>14000</v>
      </c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x14ac:dyDescent="0.45">
      <c r="A358" s="127">
        <f t="shared" si="14"/>
        <v>338</v>
      </c>
      <c r="B358" s="193" t="s">
        <v>215</v>
      </c>
      <c r="C358" s="127">
        <v>2</v>
      </c>
      <c r="D358" s="77">
        <f t="shared" si="8"/>
        <v>16</v>
      </c>
      <c r="E358" s="5">
        <f t="shared" si="9"/>
        <v>63360</v>
      </c>
      <c r="F358" s="77">
        <f t="shared" si="10"/>
        <v>10771.2</v>
      </c>
      <c r="G358" s="77">
        <f t="shared" si="11"/>
        <v>10340.352000000001</v>
      </c>
      <c r="H358" s="77">
        <f>'Energy Usage'!O164</f>
        <v>3.1103999999999998</v>
      </c>
      <c r="I358" s="77">
        <f t="shared" si="12"/>
        <v>863.99999999999989</v>
      </c>
      <c r="J358" s="77">
        <f t="shared" si="13"/>
        <v>899.99999999999989</v>
      </c>
      <c r="K358" s="77">
        <f t="shared" si="15"/>
        <v>14000</v>
      </c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x14ac:dyDescent="0.45">
      <c r="A359" s="127">
        <f t="shared" si="14"/>
        <v>339</v>
      </c>
      <c r="B359" s="193" t="s">
        <v>215</v>
      </c>
      <c r="C359" s="127">
        <v>3</v>
      </c>
      <c r="D359" s="77">
        <f t="shared" si="8"/>
        <v>16</v>
      </c>
      <c r="E359" s="5">
        <f t="shared" si="9"/>
        <v>63360</v>
      </c>
      <c r="F359" s="77">
        <f t="shared" si="10"/>
        <v>10771.2</v>
      </c>
      <c r="G359" s="77">
        <f t="shared" si="11"/>
        <v>10340.352000000001</v>
      </c>
      <c r="H359" s="77">
        <f>'Energy Usage'!O165</f>
        <v>3.1103999999999998</v>
      </c>
      <c r="I359" s="77">
        <f t="shared" si="12"/>
        <v>863.99999999999989</v>
      </c>
      <c r="J359" s="77">
        <f t="shared" si="13"/>
        <v>899.99999999999989</v>
      </c>
      <c r="K359" s="77">
        <f t="shared" si="15"/>
        <v>14000</v>
      </c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x14ac:dyDescent="0.45">
      <c r="A360" s="127">
        <f t="shared" si="14"/>
        <v>340</v>
      </c>
      <c r="B360" s="193" t="s">
        <v>215</v>
      </c>
      <c r="C360" s="127">
        <v>4</v>
      </c>
      <c r="D360" s="77">
        <f t="shared" si="8"/>
        <v>16</v>
      </c>
      <c r="E360" s="5">
        <f t="shared" si="9"/>
        <v>63360</v>
      </c>
      <c r="F360" s="77">
        <f t="shared" si="10"/>
        <v>10771.2</v>
      </c>
      <c r="G360" s="77">
        <f t="shared" si="11"/>
        <v>10340.352000000001</v>
      </c>
      <c r="H360" s="77">
        <f>'Energy Usage'!O166</f>
        <v>3.1103999999999998</v>
      </c>
      <c r="I360" s="77">
        <f t="shared" si="12"/>
        <v>863.99999999999989</v>
      </c>
      <c r="J360" s="77">
        <f t="shared" si="13"/>
        <v>899.99999999999989</v>
      </c>
      <c r="K360" s="77">
        <f t="shared" si="15"/>
        <v>14000</v>
      </c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x14ac:dyDescent="0.45">
      <c r="A361" s="127">
        <f t="shared" si="14"/>
        <v>341</v>
      </c>
      <c r="B361" s="193" t="s">
        <v>215</v>
      </c>
      <c r="C361" s="127">
        <v>5</v>
      </c>
      <c r="D361" s="77">
        <f t="shared" si="8"/>
        <v>16</v>
      </c>
      <c r="E361" s="5">
        <f t="shared" si="9"/>
        <v>63360</v>
      </c>
      <c r="F361" s="77">
        <f t="shared" si="10"/>
        <v>10771.2</v>
      </c>
      <c r="G361" s="77">
        <f t="shared" si="11"/>
        <v>10340.352000000001</v>
      </c>
      <c r="H361" s="77">
        <f>'Energy Usage'!O167</f>
        <v>3.1103999999999998</v>
      </c>
      <c r="I361" s="77">
        <f t="shared" si="12"/>
        <v>863.99999999999989</v>
      </c>
      <c r="J361" s="77">
        <f t="shared" si="13"/>
        <v>899.99999999999989</v>
      </c>
      <c r="K361" s="77">
        <f t="shared" si="15"/>
        <v>14000</v>
      </c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x14ac:dyDescent="0.45">
      <c r="A362" s="127">
        <f t="shared" si="14"/>
        <v>342</v>
      </c>
      <c r="B362" s="193" t="s">
        <v>215</v>
      </c>
      <c r="C362" s="127">
        <v>6</v>
      </c>
      <c r="D362" s="77">
        <f t="shared" si="8"/>
        <v>16</v>
      </c>
      <c r="E362" s="5">
        <f t="shared" si="9"/>
        <v>63360</v>
      </c>
      <c r="F362" s="77">
        <f t="shared" si="10"/>
        <v>10771.2</v>
      </c>
      <c r="G362" s="77">
        <f t="shared" si="11"/>
        <v>10340.352000000001</v>
      </c>
      <c r="H362" s="77">
        <f>'Energy Usage'!O168</f>
        <v>3.1103999999999998</v>
      </c>
      <c r="I362" s="77">
        <f t="shared" si="12"/>
        <v>863.99999999999989</v>
      </c>
      <c r="J362" s="77">
        <f t="shared" si="13"/>
        <v>899.99999999999989</v>
      </c>
      <c r="K362" s="77">
        <f t="shared" si="15"/>
        <v>14000</v>
      </c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x14ac:dyDescent="0.45">
      <c r="A363" s="127">
        <f t="shared" si="14"/>
        <v>343</v>
      </c>
      <c r="B363" s="193" t="s">
        <v>215</v>
      </c>
      <c r="C363" s="127">
        <v>7</v>
      </c>
      <c r="D363" s="77">
        <f t="shared" si="8"/>
        <v>16</v>
      </c>
      <c r="E363" s="5">
        <f t="shared" si="9"/>
        <v>63360</v>
      </c>
      <c r="F363" s="77">
        <f t="shared" si="10"/>
        <v>10771.2</v>
      </c>
      <c r="G363" s="77">
        <f t="shared" si="11"/>
        <v>10340.352000000001</v>
      </c>
      <c r="H363" s="77">
        <f>'Energy Usage'!O169</f>
        <v>3.1103999999999998</v>
      </c>
      <c r="I363" s="77">
        <f t="shared" si="12"/>
        <v>863.99999999999989</v>
      </c>
      <c r="J363" s="77">
        <f t="shared" si="13"/>
        <v>899.99999999999989</v>
      </c>
      <c r="K363" s="77">
        <f t="shared" si="15"/>
        <v>14000</v>
      </c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x14ac:dyDescent="0.45">
      <c r="A364" s="127">
        <f t="shared" si="14"/>
        <v>344</v>
      </c>
      <c r="B364" s="193" t="s">
        <v>215</v>
      </c>
      <c r="C364" s="127">
        <v>8</v>
      </c>
      <c r="D364" s="77">
        <f t="shared" si="8"/>
        <v>16</v>
      </c>
      <c r="E364" s="5">
        <f t="shared" si="9"/>
        <v>63360</v>
      </c>
      <c r="F364" s="77">
        <f t="shared" si="10"/>
        <v>10771.2</v>
      </c>
      <c r="G364" s="77">
        <f t="shared" si="11"/>
        <v>10340.352000000001</v>
      </c>
      <c r="H364" s="77">
        <f>'Energy Usage'!O170</f>
        <v>3.3344548802091514</v>
      </c>
      <c r="I364" s="77">
        <f t="shared" si="12"/>
        <v>926.2374667247642</v>
      </c>
      <c r="J364" s="77">
        <f t="shared" si="13"/>
        <v>964.83069450496271</v>
      </c>
      <c r="K364" s="77">
        <f t="shared" si="15"/>
        <v>14000</v>
      </c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x14ac:dyDescent="0.45">
      <c r="A365" s="127">
        <f t="shared" si="14"/>
        <v>345</v>
      </c>
      <c r="B365" s="193" t="s">
        <v>215</v>
      </c>
      <c r="C365" s="127">
        <v>9</v>
      </c>
      <c r="D365" s="77">
        <f t="shared" si="8"/>
        <v>16</v>
      </c>
      <c r="E365" s="5">
        <f t="shared" si="9"/>
        <v>63360</v>
      </c>
      <c r="F365" s="77">
        <f t="shared" si="10"/>
        <v>10771.2</v>
      </c>
      <c r="G365" s="77">
        <f t="shared" si="11"/>
        <v>10340.352000000001</v>
      </c>
      <c r="H365" s="77">
        <f>'Energy Usage'!O171</f>
        <v>3.1103999999999998</v>
      </c>
      <c r="I365" s="77">
        <f t="shared" si="12"/>
        <v>863.99999999999989</v>
      </c>
      <c r="J365" s="77">
        <f t="shared" si="13"/>
        <v>899.99999999999989</v>
      </c>
      <c r="K365" s="77">
        <f t="shared" si="15"/>
        <v>14000</v>
      </c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x14ac:dyDescent="0.45">
      <c r="A366" s="127">
        <f t="shared" si="14"/>
        <v>346</v>
      </c>
      <c r="B366" s="193" t="s">
        <v>215</v>
      </c>
      <c r="C366" s="127">
        <v>10</v>
      </c>
      <c r="D366" s="77">
        <f t="shared" si="8"/>
        <v>16</v>
      </c>
      <c r="E366" s="5">
        <f t="shared" si="9"/>
        <v>63360</v>
      </c>
      <c r="F366" s="77">
        <f t="shared" si="10"/>
        <v>10771.2</v>
      </c>
      <c r="G366" s="77">
        <f t="shared" si="11"/>
        <v>10340.352000000001</v>
      </c>
      <c r="H366" s="77">
        <f>'Energy Usage'!O172</f>
        <v>3.1103999999999998</v>
      </c>
      <c r="I366" s="77">
        <f t="shared" si="12"/>
        <v>863.99999999999989</v>
      </c>
      <c r="J366" s="77">
        <f t="shared" si="13"/>
        <v>899.99999999999989</v>
      </c>
      <c r="K366" s="77">
        <f t="shared" si="15"/>
        <v>14000</v>
      </c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x14ac:dyDescent="0.45">
      <c r="A367" s="127">
        <f t="shared" si="14"/>
        <v>347</v>
      </c>
      <c r="B367" s="193" t="s">
        <v>215</v>
      </c>
      <c r="C367" s="127">
        <v>11</v>
      </c>
      <c r="D367" s="77">
        <f t="shared" si="8"/>
        <v>16</v>
      </c>
      <c r="E367" s="5">
        <f t="shared" si="9"/>
        <v>63360</v>
      </c>
      <c r="F367" s="77">
        <f t="shared" si="10"/>
        <v>10771.2</v>
      </c>
      <c r="G367" s="77">
        <f t="shared" si="11"/>
        <v>10340.352000000001</v>
      </c>
      <c r="H367" s="77">
        <f>'Energy Usage'!O173</f>
        <v>3.1103999999999998</v>
      </c>
      <c r="I367" s="77">
        <f t="shared" si="12"/>
        <v>863.99999999999989</v>
      </c>
      <c r="J367" s="77">
        <f t="shared" si="13"/>
        <v>899.99999999999989</v>
      </c>
      <c r="K367" s="77">
        <f t="shared" si="15"/>
        <v>14000</v>
      </c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x14ac:dyDescent="0.45">
      <c r="A368" s="127">
        <f t="shared" si="14"/>
        <v>348</v>
      </c>
      <c r="B368" s="193" t="s">
        <v>215</v>
      </c>
      <c r="C368" s="127">
        <v>12</v>
      </c>
      <c r="D368" s="77">
        <f t="shared" si="8"/>
        <v>16</v>
      </c>
      <c r="E368" s="5">
        <f t="shared" si="9"/>
        <v>63360</v>
      </c>
      <c r="F368" s="77">
        <f t="shared" si="10"/>
        <v>10771.2</v>
      </c>
      <c r="G368" s="77">
        <f t="shared" si="11"/>
        <v>10340.352000000001</v>
      </c>
      <c r="H368" s="77">
        <f>'Energy Usage'!O174</f>
        <v>3.1103999999999998</v>
      </c>
      <c r="I368" s="77">
        <f t="shared" si="12"/>
        <v>863.99999999999989</v>
      </c>
      <c r="J368" s="77">
        <f t="shared" si="13"/>
        <v>899.99999999999989</v>
      </c>
      <c r="K368" s="77">
        <f t="shared" si="15"/>
        <v>14000</v>
      </c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x14ac:dyDescent="0.45">
      <c r="A369" s="127">
        <f t="shared" si="14"/>
        <v>349</v>
      </c>
      <c r="B369" s="193" t="s">
        <v>215</v>
      </c>
      <c r="C369" s="127">
        <v>13</v>
      </c>
      <c r="D369" s="77">
        <f t="shared" si="8"/>
        <v>16</v>
      </c>
      <c r="E369" s="5">
        <f t="shared" si="9"/>
        <v>63360</v>
      </c>
      <c r="F369" s="77">
        <f t="shared" si="10"/>
        <v>10771.2</v>
      </c>
      <c r="G369" s="77">
        <f t="shared" si="11"/>
        <v>10340.352000000001</v>
      </c>
      <c r="H369" s="77">
        <f>'Energy Usage'!O175</f>
        <v>3.1103999999999998</v>
      </c>
      <c r="I369" s="77">
        <f t="shared" si="12"/>
        <v>863.99999999999989</v>
      </c>
      <c r="J369" s="77">
        <f t="shared" si="13"/>
        <v>899.99999999999989</v>
      </c>
      <c r="K369" s="77">
        <f t="shared" si="15"/>
        <v>14000</v>
      </c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x14ac:dyDescent="0.45">
      <c r="A370" s="127">
        <f t="shared" si="14"/>
        <v>350</v>
      </c>
      <c r="B370" s="193" t="s">
        <v>215</v>
      </c>
      <c r="C370" s="127">
        <v>14</v>
      </c>
      <c r="D370" s="77">
        <f t="shared" si="8"/>
        <v>16</v>
      </c>
      <c r="E370" s="5">
        <f t="shared" si="9"/>
        <v>63360</v>
      </c>
      <c r="F370" s="77">
        <f t="shared" si="10"/>
        <v>10771.2</v>
      </c>
      <c r="G370" s="77">
        <f t="shared" si="11"/>
        <v>10340.352000000001</v>
      </c>
      <c r="H370" s="77">
        <f>'Energy Usage'!O176</f>
        <v>7.1433878437647245</v>
      </c>
      <c r="I370" s="77">
        <f t="shared" si="12"/>
        <v>1984.2744010457568</v>
      </c>
      <c r="J370" s="77">
        <f t="shared" si="13"/>
        <v>2066.9525010893299</v>
      </c>
      <c r="K370" s="77">
        <f t="shared" si="15"/>
        <v>14000</v>
      </c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x14ac:dyDescent="0.45">
      <c r="A371" s="127">
        <f t="shared" si="14"/>
        <v>351</v>
      </c>
      <c r="B371" s="193" t="s">
        <v>215</v>
      </c>
      <c r="C371" s="127">
        <v>15</v>
      </c>
      <c r="D371" s="77">
        <f t="shared" si="8"/>
        <v>16</v>
      </c>
      <c r="E371" s="5">
        <f t="shared" si="9"/>
        <v>63360</v>
      </c>
      <c r="F371" s="77">
        <f t="shared" si="10"/>
        <v>10771.2</v>
      </c>
      <c r="G371" s="77">
        <f t="shared" si="11"/>
        <v>10340.352000000001</v>
      </c>
      <c r="H371" s="77">
        <f>'Energy Usage'!O177</f>
        <v>3.1103999999999998</v>
      </c>
      <c r="I371" s="77">
        <f t="shared" si="12"/>
        <v>863.99999999999989</v>
      </c>
      <c r="J371" s="77">
        <f t="shared" si="13"/>
        <v>899.99999999999989</v>
      </c>
      <c r="K371" s="77">
        <f t="shared" si="15"/>
        <v>14000</v>
      </c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x14ac:dyDescent="0.45">
      <c r="A372" s="127">
        <f t="shared" si="14"/>
        <v>352</v>
      </c>
      <c r="B372" s="193" t="s">
        <v>215</v>
      </c>
      <c r="C372" s="127">
        <v>16</v>
      </c>
      <c r="D372" s="77">
        <f t="shared" si="8"/>
        <v>16</v>
      </c>
      <c r="E372" s="5">
        <f t="shared" si="9"/>
        <v>63360</v>
      </c>
      <c r="F372" s="77">
        <f t="shared" si="10"/>
        <v>10771.2</v>
      </c>
      <c r="G372" s="77">
        <f t="shared" si="11"/>
        <v>10340.352000000001</v>
      </c>
      <c r="H372" s="77">
        <f>'Energy Usage'!O178</f>
        <v>3.1103999999999998</v>
      </c>
      <c r="I372" s="77">
        <f t="shared" si="12"/>
        <v>863.99999999999989</v>
      </c>
      <c r="J372" s="77">
        <f t="shared" si="13"/>
        <v>899.99999999999989</v>
      </c>
      <c r="K372" s="77">
        <f t="shared" si="15"/>
        <v>14000</v>
      </c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x14ac:dyDescent="0.45">
      <c r="A373" s="127">
        <f t="shared" si="14"/>
        <v>353</v>
      </c>
      <c r="B373" s="193" t="s">
        <v>215</v>
      </c>
      <c r="C373" s="127">
        <v>17</v>
      </c>
      <c r="D373" s="77">
        <f t="shared" si="8"/>
        <v>16</v>
      </c>
      <c r="E373" s="5">
        <f t="shared" si="9"/>
        <v>63360</v>
      </c>
      <c r="F373" s="77">
        <f t="shared" si="10"/>
        <v>10771.2</v>
      </c>
      <c r="G373" s="77">
        <f t="shared" si="11"/>
        <v>10340.352000000001</v>
      </c>
      <c r="H373" s="77">
        <f>'Energy Usage'!O179</f>
        <v>3.1103999999999998</v>
      </c>
      <c r="I373" s="77">
        <f t="shared" si="12"/>
        <v>863.99999999999989</v>
      </c>
      <c r="J373" s="77">
        <f t="shared" si="13"/>
        <v>899.99999999999989</v>
      </c>
      <c r="K373" s="77">
        <f t="shared" si="15"/>
        <v>14000</v>
      </c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x14ac:dyDescent="0.45">
      <c r="A374" s="127">
        <f t="shared" si="14"/>
        <v>354</v>
      </c>
      <c r="B374" s="193" t="s">
        <v>215</v>
      </c>
      <c r="C374" s="127">
        <v>18</v>
      </c>
      <c r="D374" s="77">
        <f t="shared" si="8"/>
        <v>16</v>
      </c>
      <c r="E374" s="5">
        <f t="shared" si="9"/>
        <v>63360</v>
      </c>
      <c r="F374" s="77">
        <f t="shared" si="10"/>
        <v>10771.2</v>
      </c>
      <c r="G374" s="77">
        <f t="shared" si="11"/>
        <v>10340.352000000001</v>
      </c>
      <c r="H374" s="77">
        <f>'Energy Usage'!O180</f>
        <v>4.9028390416732117</v>
      </c>
      <c r="I374" s="77">
        <f t="shared" si="12"/>
        <v>1361.8997337981143</v>
      </c>
      <c r="J374" s="77">
        <f t="shared" si="13"/>
        <v>1418.6455560397026</v>
      </c>
      <c r="K374" s="77">
        <f t="shared" si="15"/>
        <v>14000</v>
      </c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x14ac:dyDescent="0.45">
      <c r="A375" s="127">
        <f t="shared" si="14"/>
        <v>355</v>
      </c>
      <c r="B375" s="193" t="s">
        <v>215</v>
      </c>
      <c r="C375" s="127">
        <v>19</v>
      </c>
      <c r="D375" s="77">
        <f t="shared" si="8"/>
        <v>16</v>
      </c>
      <c r="E375" s="5">
        <f t="shared" si="9"/>
        <v>63360</v>
      </c>
      <c r="F375" s="77">
        <f t="shared" si="10"/>
        <v>10771.2</v>
      </c>
      <c r="G375" s="77">
        <f t="shared" si="11"/>
        <v>10340.352000000001</v>
      </c>
      <c r="H375" s="77">
        <f>'Energy Usage'!O181</f>
        <v>26.412107541751745</v>
      </c>
      <c r="I375" s="77">
        <f t="shared" si="12"/>
        <v>7336.6965393754845</v>
      </c>
      <c r="J375" s="77">
        <f t="shared" si="13"/>
        <v>7642.3922285161298</v>
      </c>
      <c r="K375" s="77">
        <f t="shared" si="15"/>
        <v>14000</v>
      </c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x14ac:dyDescent="0.45">
      <c r="A376" s="127">
        <f t="shared" si="14"/>
        <v>356</v>
      </c>
      <c r="B376" s="193" t="s">
        <v>215</v>
      </c>
      <c r="C376" s="127">
        <v>20</v>
      </c>
      <c r="D376" s="77">
        <f t="shared" si="8"/>
        <v>16</v>
      </c>
      <c r="E376" s="5">
        <f t="shared" si="9"/>
        <v>63360</v>
      </c>
      <c r="F376" s="77">
        <f t="shared" si="10"/>
        <v>10771.2</v>
      </c>
      <c r="G376" s="77">
        <f t="shared" si="11"/>
        <v>10340.352000000001</v>
      </c>
      <c r="H376" s="77">
        <f>'Energy Usage'!O182</f>
        <v>6.6952780833464232</v>
      </c>
      <c r="I376" s="77">
        <f t="shared" si="12"/>
        <v>1859.7994675962286</v>
      </c>
      <c r="J376" s="77">
        <f t="shared" si="13"/>
        <v>1937.2911120794049</v>
      </c>
      <c r="K376" s="77">
        <f t="shared" si="15"/>
        <v>14000</v>
      </c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x14ac:dyDescent="0.45">
      <c r="A377" s="127">
        <f t="shared" si="14"/>
        <v>357</v>
      </c>
      <c r="B377" s="193" t="s">
        <v>215</v>
      </c>
      <c r="C377" s="127">
        <v>21</v>
      </c>
      <c r="D377" s="77">
        <f t="shared" si="8"/>
        <v>16</v>
      </c>
      <c r="E377" s="5">
        <f t="shared" si="9"/>
        <v>63360</v>
      </c>
      <c r="F377" s="77">
        <f t="shared" si="10"/>
        <v>10771.2</v>
      </c>
      <c r="G377" s="77">
        <f t="shared" si="11"/>
        <v>10340.352000000001</v>
      </c>
      <c r="H377" s="77">
        <f>'Energy Usage'!O183</f>
        <v>4.4547292812549077</v>
      </c>
      <c r="I377" s="77">
        <f t="shared" si="12"/>
        <v>1237.4248003485854</v>
      </c>
      <c r="J377" s="77">
        <f t="shared" si="13"/>
        <v>1288.9841670297765</v>
      </c>
      <c r="K377" s="77">
        <f t="shared" si="15"/>
        <v>14000</v>
      </c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x14ac:dyDescent="0.45">
      <c r="A378" s="127">
        <f t="shared" si="14"/>
        <v>358</v>
      </c>
      <c r="B378" s="193" t="s">
        <v>215</v>
      </c>
      <c r="C378" s="127">
        <v>22</v>
      </c>
      <c r="D378" s="77">
        <f t="shared" si="8"/>
        <v>16</v>
      </c>
      <c r="E378" s="5">
        <f t="shared" si="9"/>
        <v>63360</v>
      </c>
      <c r="F378" s="77">
        <f t="shared" si="10"/>
        <v>10771.2</v>
      </c>
      <c r="G378" s="77">
        <f t="shared" si="11"/>
        <v>10340.352000000001</v>
      </c>
      <c r="H378" s="77">
        <f>'Energy Usage'!O184</f>
        <v>3.1103999999999998</v>
      </c>
      <c r="I378" s="77">
        <f t="shared" si="12"/>
        <v>863.99999999999989</v>
      </c>
      <c r="J378" s="77">
        <f t="shared" si="13"/>
        <v>899.99999999999989</v>
      </c>
      <c r="K378" s="77">
        <f t="shared" si="15"/>
        <v>14000</v>
      </c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x14ac:dyDescent="0.45">
      <c r="A379" s="127">
        <f t="shared" si="14"/>
        <v>359</v>
      </c>
      <c r="B379" s="193" t="s">
        <v>215</v>
      </c>
      <c r="C379" s="127">
        <v>23</v>
      </c>
      <c r="D379" s="77">
        <f t="shared" si="8"/>
        <v>16</v>
      </c>
      <c r="E379" s="5">
        <f t="shared" si="9"/>
        <v>63360</v>
      </c>
      <c r="F379" s="77">
        <f t="shared" si="10"/>
        <v>10771.2</v>
      </c>
      <c r="G379" s="77">
        <f t="shared" si="11"/>
        <v>10340.352000000001</v>
      </c>
      <c r="H379" s="77">
        <f>'Energy Usage'!O185</f>
        <v>20.362625776104657</v>
      </c>
      <c r="I379" s="77">
        <f t="shared" si="12"/>
        <v>5656.2849378068495</v>
      </c>
      <c r="J379" s="77">
        <f t="shared" si="13"/>
        <v>5891.9634768821352</v>
      </c>
      <c r="K379" s="77">
        <f t="shared" si="15"/>
        <v>14000</v>
      </c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x14ac:dyDescent="0.45">
      <c r="A380" s="127">
        <f t="shared" si="14"/>
        <v>360</v>
      </c>
      <c r="B380" s="193" t="s">
        <v>215</v>
      </c>
      <c r="C380" s="127">
        <v>24</v>
      </c>
      <c r="D380" s="77">
        <f t="shared" si="8"/>
        <v>16</v>
      </c>
      <c r="E380" s="5">
        <f t="shared" si="9"/>
        <v>63360</v>
      </c>
      <c r="F380" s="77">
        <f t="shared" si="10"/>
        <v>10771.2</v>
      </c>
      <c r="G380" s="77">
        <f t="shared" si="11"/>
        <v>10340.352000000001</v>
      </c>
      <c r="H380" s="77">
        <f>'Energy Usage'!O186</f>
        <v>4.4547292812549077</v>
      </c>
      <c r="I380" s="77">
        <f t="shared" si="12"/>
        <v>1237.4248003485854</v>
      </c>
      <c r="J380" s="77">
        <f t="shared" si="13"/>
        <v>1288.9841670297765</v>
      </c>
      <c r="K380" s="77">
        <f t="shared" si="15"/>
        <v>14000</v>
      </c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x14ac:dyDescent="0.45">
      <c r="A381" s="127">
        <f t="shared" si="14"/>
        <v>361</v>
      </c>
      <c r="B381" s="193" t="s">
        <v>215</v>
      </c>
      <c r="C381" s="127">
        <v>25</v>
      </c>
      <c r="D381" s="77">
        <f t="shared" si="8"/>
        <v>16</v>
      </c>
      <c r="E381" s="5">
        <f t="shared" si="9"/>
        <v>63360</v>
      </c>
      <c r="F381" s="77">
        <f t="shared" si="10"/>
        <v>10771.2</v>
      </c>
      <c r="G381" s="77">
        <f t="shared" si="11"/>
        <v>10340.352000000001</v>
      </c>
      <c r="H381" s="77">
        <f>'Energy Usage'!O187</f>
        <v>3.1103999999999998</v>
      </c>
      <c r="I381" s="77">
        <f t="shared" si="12"/>
        <v>863.99999999999989</v>
      </c>
      <c r="J381" s="77">
        <f t="shared" si="13"/>
        <v>899.99999999999989</v>
      </c>
      <c r="K381" s="77">
        <f t="shared" si="15"/>
        <v>14000</v>
      </c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x14ac:dyDescent="0.45">
      <c r="A382" s="127">
        <f t="shared" si="14"/>
        <v>362</v>
      </c>
      <c r="B382" s="193" t="s">
        <v>215</v>
      </c>
      <c r="C382" s="127">
        <v>26</v>
      </c>
      <c r="D382" s="77">
        <f t="shared" si="8"/>
        <v>16</v>
      </c>
      <c r="E382" s="5">
        <f t="shared" si="9"/>
        <v>63360</v>
      </c>
      <c r="F382" s="77">
        <f t="shared" si="10"/>
        <v>10771.2</v>
      </c>
      <c r="G382" s="77">
        <f t="shared" si="11"/>
        <v>10340.352000000001</v>
      </c>
      <c r="H382" s="77">
        <f>'Energy Usage'!O188</f>
        <v>9.6079915260653888</v>
      </c>
      <c r="I382" s="77">
        <f t="shared" si="12"/>
        <v>2668.8865350181636</v>
      </c>
      <c r="J382" s="77">
        <f t="shared" si="13"/>
        <v>2780.0901406439207</v>
      </c>
      <c r="K382" s="77">
        <f t="shared" si="15"/>
        <v>14000</v>
      </c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x14ac:dyDescent="0.45">
      <c r="A383" s="127">
        <f t="shared" si="14"/>
        <v>363</v>
      </c>
      <c r="B383" s="193" t="s">
        <v>215</v>
      </c>
      <c r="C383" s="127">
        <v>27</v>
      </c>
      <c r="D383" s="77">
        <f t="shared" si="8"/>
        <v>16</v>
      </c>
      <c r="E383" s="5">
        <f t="shared" si="9"/>
        <v>63360</v>
      </c>
      <c r="F383" s="77">
        <f t="shared" si="10"/>
        <v>10771.2</v>
      </c>
      <c r="G383" s="77">
        <f t="shared" si="11"/>
        <v>10340.352000000001</v>
      </c>
      <c r="H383" s="77">
        <f>'Energy Usage'!O189</f>
        <v>25.963997781333443</v>
      </c>
      <c r="I383" s="77">
        <f t="shared" si="12"/>
        <v>7212.2216059259563</v>
      </c>
      <c r="J383" s="77">
        <f t="shared" si="13"/>
        <v>7512.7308395062046</v>
      </c>
      <c r="K383" s="77">
        <f t="shared" si="15"/>
        <v>14000</v>
      </c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x14ac:dyDescent="0.45">
      <c r="A384" s="127">
        <f t="shared" si="14"/>
        <v>364</v>
      </c>
      <c r="B384" s="193" t="s">
        <v>215</v>
      </c>
      <c r="C384" s="127">
        <v>28</v>
      </c>
      <c r="D384" s="77">
        <f t="shared" si="8"/>
        <v>16</v>
      </c>
      <c r="E384" s="5">
        <f t="shared" si="9"/>
        <v>63360</v>
      </c>
      <c r="F384" s="77">
        <f t="shared" si="10"/>
        <v>10771.2</v>
      </c>
      <c r="G384" s="77">
        <f t="shared" si="11"/>
        <v>10340.352000000001</v>
      </c>
      <c r="H384" s="77">
        <f>'Energy Usage'!O190</f>
        <v>25.963997781333443</v>
      </c>
      <c r="I384" s="77">
        <f t="shared" si="12"/>
        <v>7212.2216059259563</v>
      </c>
      <c r="J384" s="77">
        <f t="shared" si="13"/>
        <v>7512.7308395062046</v>
      </c>
      <c r="K384" s="77">
        <f t="shared" si="15"/>
        <v>14000</v>
      </c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x14ac:dyDescent="0.45">
      <c r="A385" s="127">
        <f t="shared" si="14"/>
        <v>365</v>
      </c>
      <c r="B385" s="193" t="s">
        <v>215</v>
      </c>
      <c r="C385" s="127">
        <v>29</v>
      </c>
      <c r="D385" s="77">
        <f t="shared" si="8"/>
        <v>16</v>
      </c>
      <c r="E385" s="5">
        <f t="shared" si="9"/>
        <v>63360</v>
      </c>
      <c r="F385" s="77">
        <f t="shared" si="10"/>
        <v>10771.2</v>
      </c>
      <c r="G385" s="77">
        <f t="shared" si="11"/>
        <v>10340.352000000001</v>
      </c>
      <c r="H385" s="77">
        <f>'Energy Usage'!O191</f>
        <v>3.782564640627454</v>
      </c>
      <c r="I385" s="77">
        <f t="shared" si="12"/>
        <v>1050.7124001742927</v>
      </c>
      <c r="J385" s="77">
        <f t="shared" si="13"/>
        <v>1094.4920835148882</v>
      </c>
      <c r="K385" s="77">
        <f t="shared" si="15"/>
        <v>14000</v>
      </c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x14ac:dyDescent="0.45">
      <c r="A386" s="127">
        <f t="shared" si="14"/>
        <v>366</v>
      </c>
      <c r="B386" s="193" t="s">
        <v>215</v>
      </c>
      <c r="C386" s="127">
        <v>30</v>
      </c>
      <c r="D386" s="77">
        <f t="shared" si="8"/>
        <v>16</v>
      </c>
      <c r="E386" s="5">
        <f t="shared" si="9"/>
        <v>63360</v>
      </c>
      <c r="F386" s="77">
        <f t="shared" si="10"/>
        <v>10771.2</v>
      </c>
      <c r="G386" s="77">
        <f t="shared" si="11"/>
        <v>10340.352000000001</v>
      </c>
      <c r="H386" s="77">
        <f>'Energy Usage'!O192</f>
        <v>3.1103999999999998</v>
      </c>
      <c r="I386" s="77">
        <f t="shared" si="12"/>
        <v>863.99999999999989</v>
      </c>
      <c r="J386" s="77">
        <f t="shared" si="13"/>
        <v>899.99999999999989</v>
      </c>
      <c r="K386" s="77">
        <f t="shared" si="15"/>
        <v>14000</v>
      </c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x14ac:dyDescent="0.45">
      <c r="A387" s="5"/>
      <c r="B387" s="5"/>
      <c r="C387" s="5"/>
      <c r="D387" s="5"/>
      <c r="E387" s="5"/>
      <c r="F387" s="77"/>
      <c r="G387" s="77"/>
      <c r="H387" s="5"/>
      <c r="I387" s="5"/>
      <c r="J387" s="77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x14ac:dyDescent="0.45">
      <c r="A388" s="5"/>
      <c r="B388" s="5"/>
      <c r="C388" s="5"/>
      <c r="D388" s="5"/>
      <c r="E388" s="5"/>
      <c r="F388" s="77"/>
      <c r="G388" s="77"/>
      <c r="H388" s="5"/>
      <c r="I388" s="5"/>
      <c r="J388" s="77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x14ac:dyDescent="0.45">
      <c r="A389" s="5"/>
      <c r="B389" s="5"/>
      <c r="C389" s="5"/>
      <c r="D389" s="5"/>
      <c r="E389" s="5"/>
      <c r="F389" s="77"/>
      <c r="G389" s="77"/>
      <c r="H389" s="5"/>
      <c r="I389" s="5"/>
      <c r="J389" s="77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x14ac:dyDescent="0.45">
      <c r="A390" s="5"/>
      <c r="B390" s="5"/>
      <c r="C390" s="5"/>
      <c r="D390" s="5"/>
      <c r="E390" s="5"/>
      <c r="F390" s="77"/>
      <c r="G390" s="77"/>
      <c r="H390" s="5"/>
      <c r="I390" s="5"/>
      <c r="J390" s="77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x14ac:dyDescent="0.45">
      <c r="A391" s="5"/>
      <c r="B391" s="5"/>
      <c r="C391" s="5"/>
      <c r="D391" s="5"/>
      <c r="E391" s="5"/>
      <c r="F391" s="77"/>
      <c r="G391" s="77"/>
      <c r="H391" s="5"/>
      <c r="I391" s="5"/>
      <c r="J391" s="77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x14ac:dyDescent="0.45">
      <c r="A392" s="5"/>
      <c r="B392" s="5"/>
      <c r="C392" s="5"/>
      <c r="D392" s="5"/>
      <c r="E392" s="5"/>
      <c r="F392" s="77"/>
      <c r="G392" s="77"/>
      <c r="H392" s="5"/>
      <c r="I392" s="5"/>
      <c r="J392" s="77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x14ac:dyDescent="0.45">
      <c r="A393" s="5"/>
      <c r="B393" s="5"/>
      <c r="C393" s="5"/>
      <c r="D393" s="5"/>
      <c r="E393" s="5"/>
      <c r="F393" s="77"/>
      <c r="G393" s="77"/>
      <c r="H393" s="5"/>
      <c r="I393" s="5"/>
      <c r="J393" s="77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x14ac:dyDescent="0.45">
      <c r="A394" s="5"/>
      <c r="B394" s="5"/>
      <c r="C394" s="5"/>
      <c r="D394" s="5"/>
      <c r="E394" s="5"/>
      <c r="F394" s="77"/>
      <c r="G394" s="77"/>
      <c r="H394" s="5"/>
      <c r="I394" s="5"/>
      <c r="J394" s="77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x14ac:dyDescent="0.45">
      <c r="A395" s="5"/>
      <c r="B395" s="5"/>
      <c r="C395" s="5"/>
      <c r="D395" s="5"/>
      <c r="E395" s="5"/>
      <c r="F395" s="77"/>
      <c r="G395" s="77"/>
      <c r="H395" s="5"/>
      <c r="I395" s="5"/>
      <c r="J395" s="77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x14ac:dyDescent="0.45">
      <c r="A396" s="5"/>
      <c r="B396" s="5"/>
      <c r="C396" s="5"/>
      <c r="D396" s="5"/>
      <c r="E396" s="5"/>
      <c r="F396" s="77"/>
      <c r="G396" s="77"/>
      <c r="H396" s="5"/>
      <c r="I396" s="5"/>
      <c r="J396" s="77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x14ac:dyDescent="0.45">
      <c r="A397" s="5"/>
      <c r="B397" s="5"/>
      <c r="C397" s="5"/>
      <c r="D397" s="5"/>
      <c r="E397" s="5"/>
      <c r="F397" s="77"/>
      <c r="G397" s="77"/>
      <c r="H397" s="5"/>
      <c r="I397" s="5"/>
      <c r="J397" s="77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x14ac:dyDescent="0.45">
      <c r="A398" s="5"/>
      <c r="B398" s="5"/>
      <c r="C398" s="5"/>
      <c r="D398" s="5"/>
      <c r="E398" s="5"/>
      <c r="F398" s="77"/>
      <c r="G398" s="77"/>
      <c r="H398" s="5"/>
      <c r="I398" s="5"/>
      <c r="J398" s="77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x14ac:dyDescent="0.45">
      <c r="A399" s="5"/>
      <c r="B399" s="5"/>
      <c r="C399" s="5"/>
      <c r="D399" s="5"/>
      <c r="E399" s="5"/>
      <c r="F399" s="77"/>
      <c r="G399" s="77"/>
      <c r="H399" s="5"/>
      <c r="I399" s="5"/>
      <c r="J399" s="77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x14ac:dyDescent="0.45">
      <c r="A400" s="5"/>
      <c r="B400" s="5"/>
      <c r="C400" s="5"/>
      <c r="D400" s="5"/>
      <c r="E400" s="5"/>
      <c r="F400" s="77"/>
      <c r="G400" s="77"/>
      <c r="H400" s="5"/>
      <c r="I400" s="5"/>
      <c r="J400" s="77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x14ac:dyDescent="0.45">
      <c r="A401" s="5"/>
      <c r="B401" s="5"/>
      <c r="C401" s="5"/>
      <c r="D401" s="5"/>
      <c r="E401" s="5"/>
      <c r="F401" s="77"/>
      <c r="G401" s="77"/>
      <c r="H401" s="5"/>
      <c r="I401" s="5"/>
      <c r="J401" s="77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x14ac:dyDescent="0.45">
      <c r="A402" s="5"/>
      <c r="B402" s="5"/>
      <c r="C402" s="5"/>
      <c r="D402" s="5"/>
      <c r="E402" s="5"/>
      <c r="F402" s="77"/>
      <c r="G402" s="77"/>
      <c r="H402" s="5"/>
      <c r="I402" s="5"/>
      <c r="J402" s="77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x14ac:dyDescent="0.45">
      <c r="A403" s="5"/>
      <c r="B403" s="5"/>
      <c r="C403" s="5"/>
      <c r="D403" s="5"/>
      <c r="E403" s="5"/>
      <c r="F403" s="77"/>
      <c r="G403" s="77"/>
      <c r="H403" s="5"/>
      <c r="I403" s="5"/>
      <c r="J403" s="77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x14ac:dyDescent="0.45">
      <c r="A404" s="5"/>
      <c r="B404" s="5"/>
      <c r="C404" s="5"/>
      <c r="D404" s="5"/>
      <c r="E404" s="5"/>
      <c r="F404" s="77"/>
      <c r="G404" s="77"/>
      <c r="H404" s="5"/>
      <c r="I404" s="5"/>
      <c r="J404" s="77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x14ac:dyDescent="0.45">
      <c r="A405" s="5"/>
      <c r="B405" s="5"/>
      <c r="C405" s="5"/>
      <c r="D405" s="5"/>
      <c r="E405" s="5"/>
      <c r="F405" s="77"/>
      <c r="G405" s="77"/>
      <c r="H405" s="5"/>
      <c r="I405" s="5"/>
      <c r="J405" s="77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x14ac:dyDescent="0.45">
      <c r="A406" s="5"/>
      <c r="B406" s="5"/>
      <c r="C406" s="5"/>
      <c r="D406" s="5"/>
      <c r="E406" s="5"/>
      <c r="F406" s="77"/>
      <c r="G406" s="77"/>
      <c r="H406" s="5"/>
      <c r="I406" s="5"/>
      <c r="J406" s="77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x14ac:dyDescent="0.45">
      <c r="A407" s="5"/>
      <c r="B407" s="5"/>
      <c r="C407" s="5"/>
      <c r="D407" s="5"/>
      <c r="E407" s="5"/>
      <c r="F407" s="77"/>
      <c r="G407" s="77"/>
      <c r="H407" s="5"/>
      <c r="I407" s="5"/>
      <c r="J407" s="77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x14ac:dyDescent="0.45">
      <c r="A408" s="5"/>
      <c r="B408" s="5"/>
      <c r="C408" s="5"/>
      <c r="D408" s="5"/>
      <c r="E408" s="5"/>
      <c r="F408" s="77"/>
      <c r="G408" s="77"/>
      <c r="H408" s="5"/>
      <c r="I408" s="5"/>
      <c r="J408" s="77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x14ac:dyDescent="0.45">
      <c r="A409" s="5"/>
      <c r="B409" s="5"/>
      <c r="C409" s="5"/>
      <c r="D409" s="5"/>
      <c r="E409" s="5"/>
      <c r="F409" s="77"/>
      <c r="G409" s="77"/>
      <c r="H409" s="5"/>
      <c r="I409" s="5"/>
      <c r="J409" s="77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x14ac:dyDescent="0.45">
      <c r="A410" s="5"/>
      <c r="B410" s="5"/>
      <c r="C410" s="5"/>
      <c r="D410" s="5"/>
      <c r="E410" s="5"/>
      <c r="F410" s="77"/>
      <c r="G410" s="77"/>
      <c r="H410" s="5"/>
      <c r="I410" s="5"/>
      <c r="J410" s="77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x14ac:dyDescent="0.45">
      <c r="A411" s="5"/>
      <c r="B411" s="5"/>
      <c r="C411" s="5"/>
      <c r="D411" s="5"/>
      <c r="E411" s="5"/>
      <c r="F411" s="77"/>
      <c r="G411" s="77"/>
      <c r="H411" s="5"/>
      <c r="I411" s="5"/>
      <c r="J411" s="77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x14ac:dyDescent="0.45">
      <c r="A412" s="5"/>
      <c r="B412" s="5"/>
      <c r="C412" s="5"/>
      <c r="D412" s="5"/>
      <c r="E412" s="5"/>
      <c r="F412" s="77"/>
      <c r="G412" s="77"/>
      <c r="H412" s="5"/>
      <c r="I412" s="5"/>
      <c r="J412" s="77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x14ac:dyDescent="0.45">
      <c r="A413" s="5"/>
      <c r="B413" s="5"/>
      <c r="C413" s="5"/>
      <c r="D413" s="5"/>
      <c r="E413" s="5"/>
      <c r="F413" s="77"/>
      <c r="G413" s="77"/>
      <c r="H413" s="5"/>
      <c r="I413" s="5"/>
      <c r="J413" s="77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x14ac:dyDescent="0.45">
      <c r="A414" s="5"/>
      <c r="B414" s="5"/>
      <c r="C414" s="5"/>
      <c r="D414" s="5"/>
      <c r="E414" s="5"/>
      <c r="F414" s="77"/>
      <c r="G414" s="77"/>
      <c r="H414" s="5"/>
      <c r="I414" s="5"/>
      <c r="J414" s="77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x14ac:dyDescent="0.45">
      <c r="A415" s="5"/>
      <c r="B415" s="5"/>
      <c r="C415" s="5"/>
      <c r="D415" s="5"/>
      <c r="E415" s="5"/>
      <c r="F415" s="77"/>
      <c r="G415" s="77"/>
      <c r="H415" s="5"/>
      <c r="I415" s="5"/>
      <c r="J415" s="77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x14ac:dyDescent="0.45">
      <c r="A416" s="5"/>
      <c r="B416" s="5"/>
      <c r="C416" s="5"/>
      <c r="D416" s="5"/>
      <c r="E416" s="5"/>
      <c r="F416" s="77"/>
      <c r="G416" s="77"/>
      <c r="H416" s="5"/>
      <c r="I416" s="5"/>
      <c r="J416" s="77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x14ac:dyDescent="0.45">
      <c r="A417" s="5"/>
      <c r="B417" s="5"/>
      <c r="C417" s="5"/>
      <c r="D417" s="5"/>
      <c r="E417" s="5"/>
      <c r="F417" s="77"/>
      <c r="G417" s="77"/>
      <c r="H417" s="5"/>
      <c r="I417" s="5"/>
      <c r="J417" s="77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x14ac:dyDescent="0.45">
      <c r="A418" s="5"/>
      <c r="B418" s="5"/>
      <c r="C418" s="5"/>
      <c r="D418" s="5"/>
      <c r="E418" s="5"/>
      <c r="F418" s="77"/>
      <c r="G418" s="77"/>
      <c r="H418" s="5"/>
      <c r="I418" s="5"/>
      <c r="J418" s="77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x14ac:dyDescent="0.45">
      <c r="A419" s="5"/>
      <c r="B419" s="5"/>
      <c r="C419" s="5"/>
      <c r="D419" s="5"/>
      <c r="E419" s="5"/>
      <c r="F419" s="77"/>
      <c r="G419" s="77"/>
      <c r="H419" s="5"/>
      <c r="I419" s="5"/>
      <c r="J419" s="77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x14ac:dyDescent="0.45">
      <c r="A420" s="5"/>
      <c r="B420" s="5"/>
      <c r="C420" s="5"/>
      <c r="D420" s="5"/>
      <c r="E420" s="5"/>
      <c r="F420" s="77"/>
      <c r="G420" s="77"/>
      <c r="H420" s="5"/>
      <c r="I420" s="5"/>
      <c r="J420" s="77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x14ac:dyDescent="0.45">
      <c r="A421" s="5"/>
      <c r="B421" s="5"/>
      <c r="C421" s="5"/>
      <c r="D421" s="5"/>
      <c r="E421" s="5"/>
      <c r="F421" s="77"/>
      <c r="G421" s="77"/>
      <c r="H421" s="5"/>
      <c r="I421" s="5"/>
      <c r="J421" s="77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x14ac:dyDescent="0.45">
      <c r="A422" s="5"/>
      <c r="B422" s="5"/>
      <c r="C422" s="5"/>
      <c r="D422" s="5"/>
      <c r="E422" s="5"/>
      <c r="F422" s="77"/>
      <c r="G422" s="77"/>
      <c r="H422" s="5"/>
      <c r="I422" s="5"/>
      <c r="J422" s="77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x14ac:dyDescent="0.45">
      <c r="A423" s="5"/>
      <c r="B423" s="5"/>
      <c r="C423" s="5"/>
      <c r="D423" s="5"/>
      <c r="E423" s="5"/>
      <c r="F423" s="77"/>
      <c r="G423" s="77"/>
      <c r="H423" s="5"/>
      <c r="I423" s="5"/>
      <c r="J423" s="77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x14ac:dyDescent="0.45">
      <c r="A424" s="5"/>
      <c r="B424" s="5"/>
      <c r="C424" s="5"/>
      <c r="D424" s="5"/>
      <c r="E424" s="5"/>
      <c r="F424" s="77"/>
      <c r="G424" s="77"/>
      <c r="H424" s="5"/>
      <c r="I424" s="5"/>
      <c r="J424" s="77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x14ac:dyDescent="0.45">
      <c r="A425" s="5"/>
      <c r="B425" s="5"/>
      <c r="C425" s="5"/>
      <c r="D425" s="5"/>
      <c r="E425" s="5"/>
      <c r="F425" s="77"/>
      <c r="G425" s="77"/>
      <c r="H425" s="5"/>
      <c r="I425" s="5"/>
      <c r="J425" s="77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x14ac:dyDescent="0.45">
      <c r="A426" s="5"/>
      <c r="B426" s="5"/>
      <c r="C426" s="5"/>
      <c r="D426" s="5"/>
      <c r="E426" s="5"/>
      <c r="F426" s="77"/>
      <c r="G426" s="77"/>
      <c r="H426" s="5"/>
      <c r="I426" s="5"/>
      <c r="J426" s="77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x14ac:dyDescent="0.45">
      <c r="A427" s="5"/>
      <c r="B427" s="5"/>
      <c r="C427" s="5"/>
      <c r="D427" s="5"/>
      <c r="E427" s="5"/>
      <c r="F427" s="77"/>
      <c r="G427" s="77"/>
      <c r="H427" s="5"/>
      <c r="I427" s="5"/>
      <c r="J427" s="77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x14ac:dyDescent="0.45">
      <c r="A428" s="5"/>
      <c r="B428" s="5"/>
      <c r="C428" s="5"/>
      <c r="D428" s="5"/>
      <c r="E428" s="5"/>
      <c r="F428" s="77"/>
      <c r="G428" s="77"/>
      <c r="H428" s="5"/>
      <c r="I428" s="5"/>
      <c r="J428" s="77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x14ac:dyDescent="0.45">
      <c r="A429" s="5"/>
      <c r="B429" s="5"/>
      <c r="C429" s="5"/>
      <c r="D429" s="5"/>
      <c r="E429" s="5"/>
      <c r="F429" s="77"/>
      <c r="G429" s="77"/>
      <c r="H429" s="5"/>
      <c r="I429" s="5"/>
      <c r="J429" s="77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x14ac:dyDescent="0.45">
      <c r="A430" s="5"/>
      <c r="B430" s="5"/>
      <c r="C430" s="5"/>
      <c r="D430" s="5"/>
      <c r="E430" s="5"/>
      <c r="F430" s="77"/>
      <c r="G430" s="77"/>
      <c r="H430" s="5"/>
      <c r="I430" s="5"/>
      <c r="J430" s="77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x14ac:dyDescent="0.45">
      <c r="A431" s="5"/>
      <c r="B431" s="5"/>
      <c r="C431" s="5"/>
      <c r="D431" s="5"/>
      <c r="E431" s="5"/>
      <c r="F431" s="77"/>
      <c r="G431" s="77"/>
      <c r="H431" s="5"/>
      <c r="I431" s="5"/>
      <c r="J431" s="77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x14ac:dyDescent="0.45">
      <c r="A432" s="5"/>
      <c r="B432" s="5"/>
      <c r="C432" s="5"/>
      <c r="D432" s="5"/>
      <c r="E432" s="5"/>
      <c r="F432" s="77"/>
      <c r="G432" s="77"/>
      <c r="H432" s="5"/>
      <c r="I432" s="5"/>
      <c r="J432" s="77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x14ac:dyDescent="0.45">
      <c r="A433" s="5"/>
      <c r="B433" s="5"/>
      <c r="C433" s="5"/>
      <c r="D433" s="5"/>
      <c r="E433" s="5"/>
      <c r="F433" s="77"/>
      <c r="G433" s="77"/>
      <c r="H433" s="5"/>
      <c r="I433" s="5"/>
      <c r="J433" s="77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x14ac:dyDescent="0.45">
      <c r="A434" s="5"/>
      <c r="B434" s="5"/>
      <c r="C434" s="5"/>
      <c r="D434" s="5"/>
      <c r="E434" s="5"/>
      <c r="F434" s="77"/>
      <c r="G434" s="77"/>
      <c r="H434" s="5"/>
      <c r="I434" s="5"/>
      <c r="J434" s="77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x14ac:dyDescent="0.45">
      <c r="A435" s="5"/>
      <c r="B435" s="5"/>
      <c r="C435" s="5"/>
      <c r="D435" s="5"/>
      <c r="E435" s="5"/>
      <c r="F435" s="77"/>
      <c r="G435" s="77"/>
      <c r="H435" s="5"/>
      <c r="I435" s="5"/>
      <c r="J435" s="77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x14ac:dyDescent="0.45">
      <c r="A436" s="5"/>
      <c r="B436" s="5"/>
      <c r="C436" s="5"/>
      <c r="D436" s="5"/>
      <c r="E436" s="5"/>
      <c r="F436" s="77"/>
      <c r="G436" s="77"/>
      <c r="H436" s="5"/>
      <c r="I436" s="5"/>
      <c r="J436" s="77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x14ac:dyDescent="0.45">
      <c r="A437" s="5"/>
      <c r="B437" s="5"/>
      <c r="C437" s="5"/>
      <c r="D437" s="5"/>
      <c r="E437" s="5"/>
      <c r="F437" s="77"/>
      <c r="G437" s="77"/>
      <c r="H437" s="5"/>
      <c r="I437" s="5"/>
      <c r="J437" s="77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x14ac:dyDescent="0.45">
      <c r="A438" s="5"/>
      <c r="B438" s="5"/>
      <c r="C438" s="5"/>
      <c r="D438" s="5"/>
      <c r="E438" s="5"/>
      <c r="F438" s="77"/>
      <c r="G438" s="77"/>
      <c r="H438" s="5"/>
      <c r="I438" s="5"/>
      <c r="J438" s="77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x14ac:dyDescent="0.45">
      <c r="A439" s="5"/>
      <c r="B439" s="5"/>
      <c r="C439" s="5"/>
      <c r="D439" s="5"/>
      <c r="E439" s="5"/>
      <c r="F439" s="77"/>
      <c r="G439" s="77"/>
      <c r="H439" s="5"/>
      <c r="I439" s="5"/>
      <c r="J439" s="77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x14ac:dyDescent="0.45">
      <c r="A440" s="5"/>
      <c r="B440" s="5"/>
      <c r="C440" s="5"/>
      <c r="D440" s="5"/>
      <c r="E440" s="5"/>
      <c r="F440" s="77"/>
      <c r="G440" s="77"/>
      <c r="H440" s="5"/>
      <c r="I440" s="5"/>
      <c r="J440" s="77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x14ac:dyDescent="0.45">
      <c r="A441" s="5"/>
      <c r="B441" s="5"/>
      <c r="C441" s="5"/>
      <c r="D441" s="5"/>
      <c r="E441" s="5"/>
      <c r="F441" s="77"/>
      <c r="G441" s="77"/>
      <c r="H441" s="5"/>
      <c r="I441" s="5"/>
      <c r="J441" s="77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x14ac:dyDescent="0.45">
      <c r="A442" s="5"/>
      <c r="B442" s="5"/>
      <c r="C442" s="5"/>
      <c r="D442" s="5"/>
      <c r="E442" s="5"/>
      <c r="F442" s="77"/>
      <c r="G442" s="77"/>
      <c r="H442" s="5"/>
      <c r="I442" s="5"/>
      <c r="J442" s="77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x14ac:dyDescent="0.45">
      <c r="A443" s="5"/>
      <c r="B443" s="5"/>
      <c r="C443" s="5"/>
      <c r="D443" s="5"/>
      <c r="E443" s="5"/>
      <c r="F443" s="77"/>
      <c r="G443" s="77"/>
      <c r="H443" s="5"/>
      <c r="I443" s="5"/>
      <c r="J443" s="77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x14ac:dyDescent="0.45">
      <c r="A444" s="5"/>
      <c r="B444" s="5"/>
      <c r="C444" s="5"/>
      <c r="D444" s="5"/>
      <c r="E444" s="5"/>
      <c r="F444" s="77"/>
      <c r="G444" s="77"/>
      <c r="H444" s="5"/>
      <c r="I444" s="5"/>
      <c r="J444" s="77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x14ac:dyDescent="0.45">
      <c r="A445" s="5"/>
      <c r="B445" s="5"/>
      <c r="C445" s="5"/>
      <c r="D445" s="5"/>
      <c r="E445" s="5"/>
      <c r="F445" s="77"/>
      <c r="G445" s="77"/>
      <c r="H445" s="5"/>
      <c r="I445" s="5"/>
      <c r="J445" s="77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x14ac:dyDescent="0.45">
      <c r="A446" s="5"/>
      <c r="B446" s="5"/>
      <c r="C446" s="5"/>
      <c r="D446" s="5"/>
      <c r="E446" s="5"/>
      <c r="F446" s="77"/>
      <c r="G446" s="77"/>
      <c r="H446" s="5"/>
      <c r="I446" s="5"/>
      <c r="J446" s="77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x14ac:dyDescent="0.45">
      <c r="A447" s="5"/>
      <c r="B447" s="5"/>
      <c r="C447" s="5"/>
      <c r="D447" s="5"/>
      <c r="E447" s="5"/>
      <c r="F447" s="77"/>
      <c r="G447" s="77"/>
      <c r="H447" s="5"/>
      <c r="I447" s="5"/>
      <c r="J447" s="77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x14ac:dyDescent="0.45">
      <c r="A448" s="5"/>
      <c r="B448" s="5"/>
      <c r="C448" s="5"/>
      <c r="D448" s="5"/>
      <c r="E448" s="5"/>
      <c r="F448" s="77"/>
      <c r="G448" s="77"/>
      <c r="H448" s="5"/>
      <c r="I448" s="5"/>
      <c r="J448" s="77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x14ac:dyDescent="0.45">
      <c r="A449" s="5"/>
      <c r="B449" s="5"/>
      <c r="C449" s="5"/>
      <c r="D449" s="5"/>
      <c r="E449" s="5"/>
      <c r="F449" s="77"/>
      <c r="G449" s="77"/>
      <c r="H449" s="5"/>
      <c r="I449" s="5"/>
      <c r="J449" s="77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x14ac:dyDescent="0.45">
      <c r="A450" s="5"/>
      <c r="B450" s="5"/>
      <c r="C450" s="5"/>
      <c r="D450" s="5"/>
      <c r="E450" s="5"/>
      <c r="F450" s="77"/>
      <c r="G450" s="77"/>
      <c r="H450" s="5"/>
      <c r="I450" s="5"/>
      <c r="J450" s="77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x14ac:dyDescent="0.45">
      <c r="A451" s="5"/>
      <c r="B451" s="5"/>
      <c r="C451" s="5"/>
      <c r="D451" s="5"/>
      <c r="E451" s="5"/>
      <c r="F451" s="77"/>
      <c r="G451" s="77"/>
      <c r="H451" s="5"/>
      <c r="I451" s="5"/>
      <c r="J451" s="77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x14ac:dyDescent="0.45">
      <c r="A452" s="5"/>
      <c r="B452" s="5"/>
      <c r="C452" s="5"/>
      <c r="D452" s="5"/>
      <c r="E452" s="5"/>
      <c r="F452" s="77"/>
      <c r="G452" s="77"/>
      <c r="H452" s="5"/>
      <c r="I452" s="5"/>
      <c r="J452" s="77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x14ac:dyDescent="0.45">
      <c r="A453" s="5"/>
      <c r="B453" s="5"/>
      <c r="C453" s="5"/>
      <c r="D453" s="5"/>
      <c r="E453" s="5"/>
      <c r="F453" s="77"/>
      <c r="G453" s="77"/>
      <c r="H453" s="5"/>
      <c r="I453" s="5"/>
      <c r="J453" s="77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x14ac:dyDescent="0.45">
      <c r="A454" s="5"/>
      <c r="B454" s="5"/>
      <c r="C454" s="5"/>
      <c r="D454" s="5"/>
      <c r="E454" s="5"/>
      <c r="F454" s="77"/>
      <c r="G454" s="77"/>
      <c r="H454" s="5"/>
      <c r="I454" s="5"/>
      <c r="J454" s="77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x14ac:dyDescent="0.45">
      <c r="A455" s="5"/>
      <c r="B455" s="5"/>
      <c r="C455" s="5"/>
      <c r="D455" s="5"/>
      <c r="E455" s="5"/>
      <c r="F455" s="77"/>
      <c r="G455" s="77"/>
      <c r="H455" s="5"/>
      <c r="I455" s="5"/>
      <c r="J455" s="77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x14ac:dyDescent="0.45">
      <c r="A456" s="5"/>
      <c r="B456" s="5"/>
      <c r="C456" s="5"/>
      <c r="D456" s="5"/>
      <c r="E456" s="5"/>
      <c r="F456" s="77"/>
      <c r="G456" s="77"/>
      <c r="H456" s="5"/>
      <c r="I456" s="5"/>
      <c r="J456" s="77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x14ac:dyDescent="0.45">
      <c r="A457" s="5"/>
      <c r="B457" s="5"/>
      <c r="C457" s="5"/>
      <c r="D457" s="5"/>
      <c r="E457" s="5"/>
      <c r="F457" s="77"/>
      <c r="G457" s="77"/>
      <c r="H457" s="5"/>
      <c r="I457" s="5"/>
      <c r="J457" s="77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x14ac:dyDescent="0.45">
      <c r="A458" s="5"/>
      <c r="B458" s="5"/>
      <c r="C458" s="5"/>
      <c r="D458" s="5"/>
      <c r="E458" s="5"/>
      <c r="F458" s="77"/>
      <c r="G458" s="77"/>
      <c r="H458" s="5"/>
      <c r="I458" s="5"/>
      <c r="J458" s="77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x14ac:dyDescent="0.45">
      <c r="A459" s="5"/>
      <c r="B459" s="5"/>
      <c r="C459" s="5"/>
      <c r="D459" s="5"/>
      <c r="E459" s="5"/>
      <c r="F459" s="77"/>
      <c r="G459" s="77"/>
      <c r="H459" s="5"/>
      <c r="I459" s="5"/>
      <c r="J459" s="77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x14ac:dyDescent="0.45">
      <c r="A460" s="5"/>
      <c r="B460" s="5"/>
      <c r="C460" s="5"/>
      <c r="D460" s="5"/>
      <c r="E460" s="5"/>
      <c r="F460" s="77"/>
      <c r="G460" s="77"/>
      <c r="H460" s="5"/>
      <c r="I460" s="5"/>
      <c r="J460" s="77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x14ac:dyDescent="0.45">
      <c r="A461" s="5"/>
      <c r="B461" s="5"/>
      <c r="C461" s="5"/>
      <c r="D461" s="5"/>
      <c r="E461" s="5"/>
      <c r="F461" s="77"/>
      <c r="G461" s="77"/>
      <c r="H461" s="5"/>
      <c r="I461" s="5"/>
      <c r="J461" s="77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x14ac:dyDescent="0.45">
      <c r="A462" s="5"/>
      <c r="B462" s="5"/>
      <c r="C462" s="5"/>
      <c r="D462" s="5"/>
      <c r="E462" s="5"/>
      <c r="F462" s="77"/>
      <c r="G462" s="77"/>
      <c r="H462" s="5"/>
      <c r="I462" s="5"/>
      <c r="J462" s="77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x14ac:dyDescent="0.45">
      <c r="A463" s="5"/>
      <c r="B463" s="5"/>
      <c r="C463" s="5"/>
      <c r="D463" s="5"/>
      <c r="E463" s="5"/>
      <c r="F463" s="77"/>
      <c r="G463" s="77"/>
      <c r="H463" s="5"/>
      <c r="I463" s="5"/>
      <c r="J463" s="77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x14ac:dyDescent="0.45">
      <c r="A464" s="5"/>
      <c r="B464" s="5"/>
      <c r="C464" s="5"/>
      <c r="D464" s="5"/>
      <c r="E464" s="5"/>
      <c r="F464" s="77"/>
      <c r="G464" s="77"/>
      <c r="H464" s="5"/>
      <c r="I464" s="5"/>
      <c r="J464" s="77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x14ac:dyDescent="0.45">
      <c r="A465" s="5"/>
      <c r="B465" s="5"/>
      <c r="C465" s="5"/>
      <c r="D465" s="5"/>
      <c r="E465" s="5"/>
      <c r="F465" s="77"/>
      <c r="G465" s="77"/>
      <c r="H465" s="5"/>
      <c r="I465" s="5"/>
      <c r="J465" s="77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x14ac:dyDescent="0.45">
      <c r="A466" s="5"/>
      <c r="B466" s="5"/>
      <c r="C466" s="5"/>
      <c r="D466" s="5"/>
      <c r="E466" s="5"/>
      <c r="F466" s="77"/>
      <c r="G466" s="77"/>
      <c r="H466" s="5"/>
      <c r="I466" s="5"/>
      <c r="J466" s="77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x14ac:dyDescent="0.45">
      <c r="A467" s="5"/>
      <c r="B467" s="5"/>
      <c r="C467" s="5"/>
      <c r="D467" s="5"/>
      <c r="E467" s="5"/>
      <c r="F467" s="77"/>
      <c r="G467" s="77"/>
      <c r="H467" s="5"/>
      <c r="I467" s="5"/>
      <c r="J467" s="77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x14ac:dyDescent="0.45">
      <c r="A468" s="5"/>
      <c r="B468" s="5"/>
      <c r="C468" s="5"/>
      <c r="D468" s="5"/>
      <c r="E468" s="5"/>
      <c r="F468" s="77"/>
      <c r="G468" s="77"/>
      <c r="H468" s="5"/>
      <c r="I468" s="5"/>
      <c r="J468" s="77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x14ac:dyDescent="0.45">
      <c r="A469" s="5"/>
      <c r="B469" s="5"/>
      <c r="C469" s="5"/>
      <c r="D469" s="5"/>
      <c r="E469" s="5"/>
      <c r="F469" s="77"/>
      <c r="G469" s="77"/>
      <c r="H469" s="5"/>
      <c r="I469" s="5"/>
      <c r="J469" s="77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x14ac:dyDescent="0.45">
      <c r="A470" s="5"/>
      <c r="B470" s="5"/>
      <c r="C470" s="5"/>
      <c r="D470" s="5"/>
      <c r="E470" s="5"/>
      <c r="F470" s="77"/>
      <c r="G470" s="77"/>
      <c r="H470" s="5"/>
      <c r="I470" s="5"/>
      <c r="J470" s="77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x14ac:dyDescent="0.45">
      <c r="A471" s="5"/>
      <c r="B471" s="5"/>
      <c r="C471" s="5"/>
      <c r="D471" s="5"/>
      <c r="E471" s="5"/>
      <c r="F471" s="77"/>
      <c r="G471" s="77"/>
      <c r="H471" s="5"/>
      <c r="I471" s="5"/>
      <c r="J471" s="77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x14ac:dyDescent="0.45">
      <c r="A472" s="5"/>
      <c r="B472" s="5"/>
      <c r="C472" s="5"/>
      <c r="D472" s="5"/>
      <c r="E472" s="5"/>
      <c r="F472" s="77"/>
      <c r="G472" s="77"/>
      <c r="H472" s="5"/>
      <c r="I472" s="5"/>
      <c r="J472" s="77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x14ac:dyDescent="0.45">
      <c r="A473" s="5"/>
      <c r="B473" s="5"/>
      <c r="C473" s="5"/>
      <c r="D473" s="5"/>
      <c r="E473" s="5"/>
      <c r="F473" s="77"/>
      <c r="G473" s="77"/>
      <c r="H473" s="5"/>
      <c r="I473" s="5"/>
      <c r="J473" s="77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x14ac:dyDescent="0.45">
      <c r="A474" s="5"/>
      <c r="B474" s="5"/>
      <c r="C474" s="5"/>
      <c r="D474" s="5"/>
      <c r="E474" s="5"/>
      <c r="F474" s="77"/>
      <c r="G474" s="77"/>
      <c r="H474" s="5"/>
      <c r="I474" s="5"/>
      <c r="J474" s="77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x14ac:dyDescent="0.45">
      <c r="A475" s="5"/>
      <c r="B475" s="5"/>
      <c r="C475" s="5"/>
      <c r="D475" s="5"/>
      <c r="E475" s="5"/>
      <c r="F475" s="77"/>
      <c r="G475" s="77"/>
      <c r="H475" s="5"/>
      <c r="I475" s="5"/>
      <c r="J475" s="77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x14ac:dyDescent="0.45">
      <c r="A476" s="5"/>
      <c r="B476" s="5"/>
      <c r="C476" s="5"/>
      <c r="D476" s="5"/>
      <c r="E476" s="5"/>
      <c r="F476" s="77"/>
      <c r="G476" s="77"/>
      <c r="H476" s="5"/>
      <c r="I476" s="5"/>
      <c r="J476" s="77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x14ac:dyDescent="0.45">
      <c r="A477" s="5"/>
      <c r="B477" s="5"/>
      <c r="C477" s="5"/>
      <c r="D477" s="5"/>
      <c r="E477" s="5"/>
      <c r="F477" s="77"/>
      <c r="G477" s="77"/>
      <c r="H477" s="5"/>
      <c r="I477" s="5"/>
      <c r="J477" s="77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x14ac:dyDescent="0.45">
      <c r="A478" s="5"/>
      <c r="B478" s="5"/>
      <c r="C478" s="5"/>
      <c r="D478" s="5"/>
      <c r="E478" s="5"/>
      <c r="F478" s="77"/>
      <c r="G478" s="77"/>
      <c r="H478" s="5"/>
      <c r="I478" s="5"/>
      <c r="J478" s="77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x14ac:dyDescent="0.45">
      <c r="A479" s="5"/>
      <c r="B479" s="5"/>
      <c r="C479" s="5"/>
      <c r="D479" s="5"/>
      <c r="E479" s="5"/>
      <c r="F479" s="77"/>
      <c r="G479" s="77"/>
      <c r="H479" s="5"/>
      <c r="I479" s="5"/>
      <c r="J479" s="77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x14ac:dyDescent="0.45">
      <c r="A480" s="5"/>
      <c r="B480" s="5"/>
      <c r="C480" s="5"/>
      <c r="D480" s="5"/>
      <c r="E480" s="5"/>
      <c r="F480" s="77"/>
      <c r="G480" s="77"/>
      <c r="H480" s="5"/>
      <c r="I480" s="5"/>
      <c r="J480" s="77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x14ac:dyDescent="0.45">
      <c r="A481" s="5"/>
      <c r="B481" s="5"/>
      <c r="C481" s="5"/>
      <c r="D481" s="5"/>
      <c r="E481" s="5"/>
      <c r="F481" s="77"/>
      <c r="G481" s="77"/>
      <c r="H481" s="5"/>
      <c r="I481" s="5"/>
      <c r="J481" s="77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x14ac:dyDescent="0.45">
      <c r="A482" s="5"/>
      <c r="B482" s="5"/>
      <c r="C482" s="5"/>
      <c r="D482" s="5"/>
      <c r="E482" s="5"/>
      <c r="F482" s="77"/>
      <c r="G482" s="77"/>
      <c r="H482" s="5"/>
      <c r="I482" s="5"/>
      <c r="J482" s="77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x14ac:dyDescent="0.45">
      <c r="A483" s="5"/>
      <c r="B483" s="5"/>
      <c r="C483" s="5"/>
      <c r="D483" s="5"/>
      <c r="E483" s="5"/>
      <c r="F483" s="77"/>
      <c r="G483" s="77"/>
      <c r="H483" s="5"/>
      <c r="I483" s="5"/>
      <c r="J483" s="77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x14ac:dyDescent="0.45">
      <c r="A484" s="5"/>
      <c r="B484" s="5"/>
      <c r="C484" s="5"/>
      <c r="D484" s="5"/>
      <c r="E484" s="5"/>
      <c r="F484" s="77"/>
      <c r="G484" s="77"/>
      <c r="H484" s="5"/>
      <c r="I484" s="5"/>
      <c r="J484" s="77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x14ac:dyDescent="0.45">
      <c r="A485" s="5"/>
      <c r="B485" s="5"/>
      <c r="C485" s="5"/>
      <c r="D485" s="5"/>
      <c r="E485" s="5"/>
      <c r="F485" s="77"/>
      <c r="G485" s="77"/>
      <c r="H485" s="5"/>
      <c r="I485" s="5"/>
      <c r="J485" s="77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x14ac:dyDescent="0.45">
      <c r="A486" s="5"/>
      <c r="B486" s="5"/>
      <c r="C486" s="5"/>
      <c r="D486" s="5"/>
      <c r="E486" s="5"/>
      <c r="F486" s="77"/>
      <c r="G486" s="77"/>
      <c r="H486" s="5"/>
      <c r="I486" s="5"/>
      <c r="J486" s="77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x14ac:dyDescent="0.45">
      <c r="A487" s="5"/>
      <c r="B487" s="5"/>
      <c r="C487" s="5"/>
      <c r="D487" s="5"/>
      <c r="E487" s="5"/>
      <c r="F487" s="77"/>
      <c r="G487" s="77"/>
      <c r="H487" s="5"/>
      <c r="I487" s="5"/>
      <c r="J487" s="77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x14ac:dyDescent="0.45">
      <c r="A488" s="5"/>
      <c r="B488" s="5"/>
      <c r="C488" s="5"/>
      <c r="D488" s="5"/>
      <c r="E488" s="5"/>
      <c r="F488" s="77"/>
      <c r="G488" s="77"/>
      <c r="H488" s="5"/>
      <c r="I488" s="5"/>
      <c r="J488" s="77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x14ac:dyDescent="0.45">
      <c r="A489" s="5"/>
      <c r="B489" s="5"/>
      <c r="C489" s="5"/>
      <c r="D489" s="5"/>
      <c r="E489" s="5"/>
      <c r="F489" s="77"/>
      <c r="G489" s="77"/>
      <c r="H489" s="5"/>
      <c r="I489" s="5"/>
      <c r="J489" s="77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x14ac:dyDescent="0.45">
      <c r="A490" s="5"/>
      <c r="B490" s="5"/>
      <c r="C490" s="5"/>
      <c r="D490" s="5"/>
      <c r="E490" s="5"/>
      <c r="F490" s="77"/>
      <c r="G490" s="77"/>
      <c r="H490" s="5"/>
      <c r="I490" s="5"/>
      <c r="J490" s="77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x14ac:dyDescent="0.45">
      <c r="A491" s="5"/>
      <c r="B491" s="5"/>
      <c r="C491" s="5"/>
      <c r="D491" s="5"/>
      <c r="E491" s="5"/>
      <c r="F491" s="77"/>
      <c r="G491" s="77"/>
      <c r="H491" s="5"/>
      <c r="I491" s="5"/>
      <c r="J491" s="77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x14ac:dyDescent="0.45">
      <c r="A492" s="5"/>
      <c r="B492" s="5"/>
      <c r="C492" s="5"/>
      <c r="D492" s="5"/>
      <c r="E492" s="5"/>
      <c r="F492" s="77"/>
      <c r="G492" s="77"/>
      <c r="H492" s="5"/>
      <c r="I492" s="5"/>
      <c r="J492" s="77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x14ac:dyDescent="0.45">
      <c r="A493" s="5"/>
      <c r="B493" s="5"/>
      <c r="C493" s="5"/>
      <c r="D493" s="5"/>
      <c r="E493" s="5"/>
      <c r="F493" s="77"/>
      <c r="G493" s="77"/>
      <c r="H493" s="5"/>
      <c r="I493" s="5"/>
      <c r="J493" s="77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x14ac:dyDescent="0.45">
      <c r="A494" s="5"/>
      <c r="B494" s="5"/>
      <c r="C494" s="5"/>
      <c r="D494" s="5"/>
      <c r="E494" s="5"/>
      <c r="F494" s="77"/>
      <c r="G494" s="77"/>
      <c r="H494" s="5"/>
      <c r="I494" s="5"/>
      <c r="J494" s="77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x14ac:dyDescent="0.45">
      <c r="A495" s="5"/>
      <c r="B495" s="5"/>
      <c r="C495" s="5"/>
      <c r="D495" s="5"/>
      <c r="E495" s="5"/>
      <c r="F495" s="77"/>
      <c r="G495" s="77"/>
      <c r="H495" s="5"/>
      <c r="I495" s="5"/>
      <c r="J495" s="77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x14ac:dyDescent="0.45">
      <c r="A496" s="5"/>
      <c r="B496" s="5"/>
      <c r="C496" s="5"/>
      <c r="D496" s="5"/>
      <c r="E496" s="5"/>
      <c r="F496" s="77"/>
      <c r="G496" s="77"/>
      <c r="H496" s="5"/>
      <c r="I496" s="5"/>
      <c r="J496" s="77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x14ac:dyDescent="0.45">
      <c r="A497" s="5"/>
      <c r="B497" s="5"/>
      <c r="C497" s="5"/>
      <c r="D497" s="5"/>
      <c r="E497" s="5"/>
      <c r="F497" s="77"/>
      <c r="G497" s="77"/>
      <c r="H497" s="5"/>
      <c r="I497" s="5"/>
      <c r="J497" s="77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x14ac:dyDescent="0.45">
      <c r="A498" s="5"/>
      <c r="B498" s="5"/>
      <c r="C498" s="5"/>
      <c r="D498" s="5"/>
      <c r="E498" s="5"/>
      <c r="F498" s="77"/>
      <c r="G498" s="77"/>
      <c r="H498" s="5"/>
      <c r="I498" s="5"/>
      <c r="J498" s="77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x14ac:dyDescent="0.45">
      <c r="A499" s="5"/>
      <c r="B499" s="5"/>
      <c r="C499" s="5"/>
      <c r="D499" s="5"/>
      <c r="E499" s="5"/>
      <c r="F499" s="77"/>
      <c r="G499" s="77"/>
      <c r="H499" s="5"/>
      <c r="I499" s="5"/>
      <c r="J499" s="77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x14ac:dyDescent="0.45">
      <c r="A500" s="5"/>
      <c r="B500" s="5"/>
      <c r="C500" s="5"/>
      <c r="D500" s="5"/>
      <c r="E500" s="5"/>
      <c r="F500" s="77"/>
      <c r="G500" s="77"/>
      <c r="H500" s="5"/>
      <c r="I500" s="5"/>
      <c r="J500" s="77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x14ac:dyDescent="0.45">
      <c r="A501" s="5"/>
      <c r="B501" s="5"/>
      <c r="C501" s="5"/>
      <c r="D501" s="5"/>
      <c r="E501" s="5"/>
      <c r="F501" s="77"/>
      <c r="G501" s="77"/>
      <c r="H501" s="5"/>
      <c r="I501" s="5"/>
      <c r="J501" s="77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x14ac:dyDescent="0.45">
      <c r="A502" s="5"/>
      <c r="B502" s="5"/>
      <c r="C502" s="5"/>
      <c r="D502" s="5"/>
      <c r="E502" s="5"/>
      <c r="F502" s="77"/>
      <c r="G502" s="77"/>
      <c r="H502" s="5"/>
      <c r="I502" s="5"/>
      <c r="J502" s="77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x14ac:dyDescent="0.45">
      <c r="A503" s="5"/>
      <c r="B503" s="5"/>
      <c r="C503" s="5"/>
      <c r="D503" s="5"/>
      <c r="E503" s="5"/>
      <c r="F503" s="77"/>
      <c r="G503" s="77"/>
      <c r="H503" s="5"/>
      <c r="I503" s="5"/>
      <c r="J503" s="77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x14ac:dyDescent="0.45">
      <c r="A504" s="5"/>
      <c r="B504" s="5"/>
      <c r="C504" s="5"/>
      <c r="D504" s="5"/>
      <c r="E504" s="5"/>
      <c r="F504" s="77"/>
      <c r="G504" s="77"/>
      <c r="H504" s="5"/>
      <c r="I504" s="5"/>
      <c r="J504" s="77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x14ac:dyDescent="0.45">
      <c r="A505" s="5"/>
      <c r="B505" s="5"/>
      <c r="C505" s="5"/>
      <c r="D505" s="5"/>
      <c r="E505" s="5"/>
      <c r="F505" s="77"/>
      <c r="G505" s="77"/>
      <c r="H505" s="5"/>
      <c r="I505" s="5"/>
      <c r="J505" s="77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x14ac:dyDescent="0.45">
      <c r="A506" s="5"/>
      <c r="B506" s="5"/>
      <c r="C506" s="5"/>
      <c r="D506" s="5"/>
      <c r="E506" s="5"/>
      <c r="F506" s="77"/>
      <c r="G506" s="77"/>
      <c r="H506" s="5"/>
      <c r="I506" s="5"/>
      <c r="J506" s="77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x14ac:dyDescent="0.45">
      <c r="A507" s="5"/>
      <c r="B507" s="5"/>
      <c r="C507" s="5"/>
      <c r="D507" s="5"/>
      <c r="E507" s="5"/>
      <c r="F507" s="77"/>
      <c r="G507" s="77"/>
      <c r="H507" s="5"/>
      <c r="I507" s="5"/>
      <c r="J507" s="77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x14ac:dyDescent="0.45">
      <c r="A508" s="5"/>
      <c r="B508" s="5"/>
      <c r="C508" s="5"/>
      <c r="D508" s="5"/>
      <c r="E508" s="5"/>
      <c r="F508" s="77"/>
      <c r="G508" s="77"/>
      <c r="H508" s="5"/>
      <c r="I508" s="5"/>
      <c r="J508" s="77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x14ac:dyDescent="0.45">
      <c r="A509" s="5"/>
      <c r="B509" s="5"/>
      <c r="C509" s="5"/>
      <c r="D509" s="5"/>
      <c r="E509" s="5"/>
      <c r="F509" s="77"/>
      <c r="G509" s="77"/>
      <c r="H509" s="5"/>
      <c r="I509" s="5"/>
      <c r="J509" s="77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x14ac:dyDescent="0.45">
      <c r="A510" s="5"/>
      <c r="B510" s="5"/>
      <c r="C510" s="5"/>
      <c r="D510" s="5"/>
      <c r="E510" s="5"/>
      <c r="F510" s="77"/>
      <c r="G510" s="77"/>
      <c r="H510" s="5"/>
      <c r="I510" s="5"/>
      <c r="J510" s="77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x14ac:dyDescent="0.45">
      <c r="A511" s="5"/>
      <c r="B511" s="5"/>
      <c r="C511" s="5"/>
      <c r="D511" s="5"/>
      <c r="E511" s="5"/>
      <c r="F511" s="77"/>
      <c r="G511" s="77"/>
      <c r="H511" s="5"/>
      <c r="I511" s="5"/>
      <c r="J511" s="77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x14ac:dyDescent="0.45">
      <c r="A512" s="5"/>
      <c r="B512" s="5"/>
      <c r="C512" s="5"/>
      <c r="D512" s="5"/>
      <c r="E512" s="5"/>
      <c r="F512" s="77"/>
      <c r="G512" s="77"/>
      <c r="H512" s="5"/>
      <c r="I512" s="5"/>
      <c r="J512" s="77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x14ac:dyDescent="0.45">
      <c r="A513" s="5"/>
      <c r="B513" s="5"/>
      <c r="C513" s="5"/>
      <c r="D513" s="5"/>
      <c r="E513" s="5"/>
      <c r="F513" s="77"/>
      <c r="G513" s="77"/>
      <c r="H513" s="5"/>
      <c r="I513" s="5"/>
      <c r="J513" s="77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x14ac:dyDescent="0.45">
      <c r="A514" s="5"/>
      <c r="B514" s="5"/>
      <c r="C514" s="5"/>
      <c r="D514" s="5"/>
      <c r="E514" s="5"/>
      <c r="F514" s="77"/>
      <c r="G514" s="77"/>
      <c r="H514" s="5"/>
      <c r="I514" s="5"/>
      <c r="J514" s="77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x14ac:dyDescent="0.45">
      <c r="A515" s="5"/>
      <c r="B515" s="5"/>
      <c r="C515" s="5"/>
      <c r="D515" s="5"/>
      <c r="E515" s="5"/>
      <c r="F515" s="77"/>
      <c r="G515" s="77"/>
      <c r="H515" s="5"/>
      <c r="I515" s="5"/>
      <c r="J515" s="77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x14ac:dyDescent="0.45">
      <c r="A516" s="5"/>
      <c r="B516" s="5"/>
      <c r="C516" s="5"/>
      <c r="D516" s="5"/>
      <c r="E516" s="5"/>
      <c r="F516" s="77"/>
      <c r="G516" s="77"/>
      <c r="H516" s="5"/>
      <c r="I516" s="5"/>
      <c r="J516" s="77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x14ac:dyDescent="0.45">
      <c r="A517" s="5"/>
      <c r="B517" s="5"/>
      <c r="C517" s="5"/>
      <c r="D517" s="5"/>
      <c r="E517" s="5"/>
      <c r="F517" s="77"/>
      <c r="G517" s="77"/>
      <c r="H517" s="5"/>
      <c r="I517" s="5"/>
      <c r="J517" s="77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x14ac:dyDescent="0.45">
      <c r="A518" s="5"/>
      <c r="B518" s="5"/>
      <c r="C518" s="5"/>
      <c r="D518" s="5"/>
      <c r="E518" s="5"/>
      <c r="F518" s="77"/>
      <c r="G518" s="77"/>
      <c r="H518" s="5"/>
      <c r="I518" s="5"/>
      <c r="J518" s="77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x14ac:dyDescent="0.45">
      <c r="A519" s="5"/>
      <c r="B519" s="5"/>
      <c r="C519" s="5"/>
      <c r="D519" s="5"/>
      <c r="E519" s="5"/>
      <c r="F519" s="77"/>
      <c r="G519" s="77"/>
      <c r="H519" s="5"/>
      <c r="I519" s="5"/>
      <c r="J519" s="77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x14ac:dyDescent="0.45">
      <c r="A520" s="5"/>
      <c r="B520" s="5"/>
      <c r="C520" s="5"/>
      <c r="D520" s="5"/>
      <c r="E520" s="5"/>
      <c r="F520" s="77"/>
      <c r="G520" s="77"/>
      <c r="H520" s="5"/>
      <c r="I520" s="5"/>
      <c r="J520" s="77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x14ac:dyDescent="0.45">
      <c r="A521" s="5"/>
      <c r="B521" s="5"/>
      <c r="C521" s="5"/>
      <c r="D521" s="5"/>
      <c r="E521" s="5"/>
      <c r="F521" s="77"/>
      <c r="G521" s="77"/>
      <c r="H521" s="5"/>
      <c r="I521" s="5"/>
      <c r="J521" s="77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x14ac:dyDescent="0.45">
      <c r="A522" s="5"/>
      <c r="B522" s="5"/>
      <c r="C522" s="5"/>
      <c r="D522" s="5"/>
      <c r="E522" s="5"/>
      <c r="F522" s="77"/>
      <c r="G522" s="77"/>
      <c r="H522" s="5"/>
      <c r="I522" s="5"/>
      <c r="J522" s="77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x14ac:dyDescent="0.45">
      <c r="A523" s="5"/>
      <c r="B523" s="5"/>
      <c r="C523" s="5"/>
      <c r="D523" s="5"/>
      <c r="E523" s="5"/>
      <c r="F523" s="77"/>
      <c r="G523" s="77"/>
      <c r="H523" s="5"/>
      <c r="I523" s="5"/>
      <c r="J523" s="77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x14ac:dyDescent="0.45">
      <c r="A524" s="5"/>
      <c r="B524" s="5"/>
      <c r="C524" s="5"/>
      <c r="D524" s="5"/>
      <c r="E524" s="5"/>
      <c r="F524" s="77"/>
      <c r="G524" s="77"/>
      <c r="H524" s="5"/>
      <c r="I524" s="5"/>
      <c r="J524" s="77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x14ac:dyDescent="0.45">
      <c r="A525" s="5"/>
      <c r="B525" s="5"/>
      <c r="C525" s="5"/>
      <c r="D525" s="5"/>
      <c r="E525" s="5"/>
      <c r="F525" s="77"/>
      <c r="G525" s="77"/>
      <c r="H525" s="5"/>
      <c r="I525" s="5"/>
      <c r="J525" s="77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x14ac:dyDescent="0.45">
      <c r="A526" s="5"/>
      <c r="B526" s="5"/>
      <c r="C526" s="5"/>
      <c r="D526" s="5"/>
      <c r="E526" s="5"/>
      <c r="F526" s="77"/>
      <c r="G526" s="77"/>
      <c r="H526" s="5"/>
      <c r="I526" s="5"/>
      <c r="J526" s="77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x14ac:dyDescent="0.45">
      <c r="A527" s="5"/>
      <c r="B527" s="5"/>
      <c r="C527" s="5"/>
      <c r="D527" s="5"/>
      <c r="E527" s="5"/>
      <c r="F527" s="77"/>
      <c r="G527" s="77"/>
      <c r="H527" s="5"/>
      <c r="I527" s="5"/>
      <c r="J527" s="77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x14ac:dyDescent="0.45">
      <c r="A528" s="5"/>
      <c r="B528" s="5"/>
      <c r="C528" s="5"/>
      <c r="D528" s="5"/>
      <c r="E528" s="5"/>
      <c r="F528" s="77"/>
      <c r="G528" s="77"/>
      <c r="H528" s="5"/>
      <c r="I528" s="5"/>
      <c r="J528" s="77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x14ac:dyDescent="0.45">
      <c r="A529" s="5"/>
      <c r="B529" s="5"/>
      <c r="C529" s="5"/>
      <c r="D529" s="5"/>
      <c r="E529" s="5"/>
      <c r="F529" s="77"/>
      <c r="G529" s="77"/>
      <c r="H529" s="5"/>
      <c r="I529" s="5"/>
      <c r="J529" s="77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x14ac:dyDescent="0.45">
      <c r="A530" s="5"/>
      <c r="B530" s="5"/>
      <c r="C530" s="5"/>
      <c r="D530" s="5"/>
      <c r="E530" s="5"/>
      <c r="F530" s="77"/>
      <c r="G530" s="77"/>
      <c r="H530" s="5"/>
      <c r="I530" s="5"/>
      <c r="J530" s="77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x14ac:dyDescent="0.45">
      <c r="A531" s="5"/>
      <c r="B531" s="5"/>
      <c r="C531" s="5"/>
      <c r="D531" s="5"/>
      <c r="E531" s="5"/>
      <c r="F531" s="77"/>
      <c r="G531" s="77"/>
      <c r="H531" s="5"/>
      <c r="I531" s="5"/>
      <c r="J531" s="77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x14ac:dyDescent="0.45">
      <c r="A532" s="5"/>
      <c r="B532" s="5"/>
      <c r="C532" s="5"/>
      <c r="D532" s="5"/>
      <c r="E532" s="5"/>
      <c r="F532" s="77"/>
      <c r="G532" s="77"/>
      <c r="H532" s="5"/>
      <c r="I532" s="5"/>
      <c r="J532" s="77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x14ac:dyDescent="0.45">
      <c r="A533" s="5"/>
      <c r="B533" s="5"/>
      <c r="C533" s="5"/>
      <c r="D533" s="5"/>
      <c r="E533" s="5"/>
      <c r="F533" s="77"/>
      <c r="G533" s="77"/>
      <c r="H533" s="5"/>
      <c r="I533" s="5"/>
      <c r="J533" s="77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x14ac:dyDescent="0.45">
      <c r="A534" s="5"/>
      <c r="B534" s="5"/>
      <c r="C534" s="5"/>
      <c r="D534" s="5"/>
      <c r="E534" s="5"/>
      <c r="F534" s="77"/>
      <c r="G534" s="77"/>
      <c r="H534" s="5"/>
      <c r="I534" s="5"/>
      <c r="J534" s="77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x14ac:dyDescent="0.45">
      <c r="A535" s="5"/>
      <c r="B535" s="5"/>
      <c r="C535" s="5"/>
      <c r="D535" s="5"/>
      <c r="E535" s="5"/>
      <c r="F535" s="77"/>
      <c r="G535" s="77"/>
      <c r="H535" s="5"/>
      <c r="I535" s="5"/>
      <c r="J535" s="77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x14ac:dyDescent="0.45">
      <c r="A536" s="5"/>
      <c r="B536" s="5"/>
      <c r="C536" s="5"/>
      <c r="D536" s="5"/>
      <c r="E536" s="5"/>
      <c r="F536" s="77"/>
      <c r="G536" s="77"/>
      <c r="H536" s="5"/>
      <c r="I536" s="5"/>
      <c r="J536" s="77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x14ac:dyDescent="0.45">
      <c r="A537" s="5"/>
      <c r="B537" s="5"/>
      <c r="C537" s="5"/>
      <c r="D537" s="5"/>
      <c r="E537" s="5"/>
      <c r="F537" s="77"/>
      <c r="G537" s="77"/>
      <c r="H537" s="5"/>
      <c r="I537" s="5"/>
      <c r="J537" s="77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x14ac:dyDescent="0.45">
      <c r="A538" s="5"/>
      <c r="B538" s="5"/>
      <c r="C538" s="5"/>
      <c r="D538" s="5"/>
      <c r="E538" s="5"/>
      <c r="F538" s="77"/>
      <c r="G538" s="77"/>
      <c r="H538" s="5"/>
      <c r="I538" s="5"/>
      <c r="J538" s="77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x14ac:dyDescent="0.45">
      <c r="A539" s="5"/>
      <c r="B539" s="5"/>
      <c r="C539" s="5"/>
      <c r="D539" s="5"/>
      <c r="E539" s="5"/>
      <c r="F539" s="77"/>
      <c r="G539" s="77"/>
      <c r="H539" s="5"/>
      <c r="I539" s="5"/>
      <c r="J539" s="77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x14ac:dyDescent="0.45">
      <c r="A540" s="5"/>
      <c r="B540" s="5"/>
      <c r="C540" s="5"/>
      <c r="D540" s="5"/>
      <c r="E540" s="5"/>
      <c r="F540" s="77"/>
      <c r="G540" s="77"/>
      <c r="H540" s="5"/>
      <c r="I540" s="5"/>
      <c r="J540" s="77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x14ac:dyDescent="0.45">
      <c r="A541" s="5"/>
      <c r="B541" s="5"/>
      <c r="C541" s="5"/>
      <c r="D541" s="5"/>
      <c r="E541" s="5"/>
      <c r="F541" s="77"/>
      <c r="G541" s="77"/>
      <c r="H541" s="5"/>
      <c r="I541" s="5"/>
      <c r="J541" s="77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x14ac:dyDescent="0.45">
      <c r="A542" s="5"/>
      <c r="B542" s="5"/>
      <c r="C542" s="5"/>
      <c r="D542" s="5"/>
      <c r="E542" s="5"/>
      <c r="F542" s="77"/>
      <c r="G542" s="77"/>
      <c r="H542" s="5"/>
      <c r="I542" s="5"/>
      <c r="J542" s="77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x14ac:dyDescent="0.45">
      <c r="A543" s="5"/>
      <c r="B543" s="5"/>
      <c r="C543" s="5"/>
      <c r="D543" s="5"/>
      <c r="E543" s="5"/>
      <c r="F543" s="77"/>
      <c r="G543" s="77"/>
      <c r="H543" s="5"/>
      <c r="I543" s="5"/>
      <c r="J543" s="77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x14ac:dyDescent="0.45">
      <c r="A544" s="5"/>
      <c r="B544" s="5"/>
      <c r="C544" s="5"/>
      <c r="D544" s="5"/>
      <c r="E544" s="5"/>
      <c r="F544" s="77"/>
      <c r="G544" s="77"/>
      <c r="H544" s="5"/>
      <c r="I544" s="5"/>
      <c r="J544" s="77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x14ac:dyDescent="0.45">
      <c r="A545" s="5"/>
      <c r="B545" s="5"/>
      <c r="C545" s="5"/>
      <c r="D545" s="5"/>
      <c r="E545" s="5"/>
      <c r="F545" s="77"/>
      <c r="G545" s="77"/>
      <c r="H545" s="5"/>
      <c r="I545" s="5"/>
      <c r="J545" s="77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x14ac:dyDescent="0.45">
      <c r="A546" s="5"/>
      <c r="B546" s="5"/>
      <c r="C546" s="5"/>
      <c r="D546" s="5"/>
      <c r="E546" s="5"/>
      <c r="F546" s="77"/>
      <c r="G546" s="77"/>
      <c r="H546" s="5"/>
      <c r="I546" s="5"/>
      <c r="J546" s="77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x14ac:dyDescent="0.45">
      <c r="A547" s="5"/>
      <c r="B547" s="5"/>
      <c r="C547" s="5"/>
      <c r="D547" s="5"/>
      <c r="E547" s="5"/>
      <c r="F547" s="77"/>
      <c r="G547" s="77"/>
      <c r="H547" s="5"/>
      <c r="I547" s="5"/>
      <c r="J547" s="77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x14ac:dyDescent="0.45">
      <c r="A548" s="5"/>
      <c r="B548" s="5"/>
      <c r="C548" s="5"/>
      <c r="D548" s="5"/>
      <c r="E548" s="5"/>
      <c r="F548" s="77"/>
      <c r="G548" s="77"/>
      <c r="H548" s="5"/>
      <c r="I548" s="5"/>
      <c r="J548" s="77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x14ac:dyDescent="0.45">
      <c r="A549" s="5"/>
      <c r="B549" s="5"/>
      <c r="C549" s="5"/>
      <c r="D549" s="5"/>
      <c r="E549" s="5"/>
      <c r="F549" s="77"/>
      <c r="G549" s="77"/>
      <c r="H549" s="5"/>
      <c r="I549" s="5"/>
      <c r="J549" s="77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x14ac:dyDescent="0.45">
      <c r="A550" s="5"/>
      <c r="B550" s="5"/>
      <c r="C550" s="5"/>
      <c r="D550" s="5"/>
      <c r="E550" s="5"/>
      <c r="F550" s="77"/>
      <c r="G550" s="77"/>
      <c r="H550" s="5"/>
      <c r="I550" s="5"/>
      <c r="J550" s="77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x14ac:dyDescent="0.45">
      <c r="A551" s="5"/>
      <c r="B551" s="5"/>
      <c r="C551" s="5"/>
      <c r="D551" s="5"/>
      <c r="E551" s="5"/>
      <c r="F551" s="77"/>
      <c r="G551" s="77"/>
      <c r="H551" s="5"/>
      <c r="I551" s="5"/>
      <c r="J551" s="77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x14ac:dyDescent="0.45">
      <c r="A552" s="5"/>
      <c r="B552" s="5"/>
      <c r="C552" s="5"/>
      <c r="D552" s="5"/>
      <c r="E552" s="5"/>
      <c r="F552" s="77"/>
      <c r="G552" s="77"/>
      <c r="H552" s="5"/>
      <c r="I552" s="5"/>
      <c r="J552" s="77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x14ac:dyDescent="0.45">
      <c r="A553" s="5"/>
      <c r="B553" s="5"/>
      <c r="C553" s="5"/>
      <c r="D553" s="5"/>
      <c r="E553" s="5"/>
      <c r="F553" s="77"/>
      <c r="G553" s="77"/>
      <c r="H553" s="5"/>
      <c r="I553" s="5"/>
      <c r="J553" s="77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x14ac:dyDescent="0.45">
      <c r="A554" s="5"/>
      <c r="B554" s="5"/>
      <c r="C554" s="5"/>
      <c r="D554" s="5"/>
      <c r="E554" s="5"/>
      <c r="F554" s="77"/>
      <c r="G554" s="77"/>
      <c r="H554" s="5"/>
      <c r="I554" s="5"/>
      <c r="J554" s="77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x14ac:dyDescent="0.45">
      <c r="A555" s="5"/>
      <c r="B555" s="5"/>
      <c r="C555" s="5"/>
      <c r="D555" s="5"/>
      <c r="E555" s="5"/>
      <c r="F555" s="77"/>
      <c r="G555" s="77"/>
      <c r="H555" s="5"/>
      <c r="I555" s="5"/>
      <c r="J555" s="77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x14ac:dyDescent="0.45">
      <c r="A556" s="5"/>
      <c r="B556" s="5"/>
      <c r="C556" s="5"/>
      <c r="D556" s="5"/>
      <c r="E556" s="5"/>
      <c r="F556" s="77"/>
      <c r="G556" s="77"/>
      <c r="H556" s="5"/>
      <c r="I556" s="5"/>
      <c r="J556" s="77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x14ac:dyDescent="0.45">
      <c r="A557" s="5"/>
      <c r="B557" s="5"/>
      <c r="C557" s="5"/>
      <c r="D557" s="5"/>
      <c r="E557" s="5"/>
      <c r="F557" s="77"/>
      <c r="G557" s="77"/>
      <c r="H557" s="5"/>
      <c r="I557" s="5"/>
      <c r="J557" s="77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x14ac:dyDescent="0.45">
      <c r="A558" s="5"/>
      <c r="B558" s="5"/>
      <c r="C558" s="5"/>
      <c r="D558" s="5"/>
      <c r="E558" s="5"/>
      <c r="F558" s="77"/>
      <c r="G558" s="77"/>
      <c r="H558" s="5"/>
      <c r="I558" s="5"/>
      <c r="J558" s="77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x14ac:dyDescent="0.45">
      <c r="A559" s="5"/>
      <c r="B559" s="5"/>
      <c r="C559" s="5"/>
      <c r="D559" s="5"/>
      <c r="E559" s="5"/>
      <c r="F559" s="77"/>
      <c r="G559" s="77"/>
      <c r="H559" s="5"/>
      <c r="I559" s="5"/>
      <c r="J559" s="77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x14ac:dyDescent="0.45">
      <c r="A560" s="5"/>
      <c r="B560" s="5"/>
      <c r="C560" s="5"/>
      <c r="D560" s="5"/>
      <c r="E560" s="5"/>
      <c r="F560" s="77"/>
      <c r="G560" s="77"/>
      <c r="H560" s="5"/>
      <c r="I560" s="5"/>
      <c r="J560" s="77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x14ac:dyDescent="0.45">
      <c r="A561" s="5"/>
      <c r="B561" s="5"/>
      <c r="C561" s="5"/>
      <c r="D561" s="5"/>
      <c r="E561" s="5"/>
      <c r="F561" s="77"/>
      <c r="G561" s="77"/>
      <c r="H561" s="5"/>
      <c r="I561" s="5"/>
      <c r="J561" s="77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x14ac:dyDescent="0.45">
      <c r="A562" s="5"/>
      <c r="B562" s="5"/>
      <c r="C562" s="5"/>
      <c r="D562" s="5"/>
      <c r="E562" s="5"/>
      <c r="F562" s="77"/>
      <c r="G562" s="77"/>
      <c r="H562" s="5"/>
      <c r="I562" s="5"/>
      <c r="J562" s="77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x14ac:dyDescent="0.45">
      <c r="A563" s="5"/>
      <c r="B563" s="5"/>
      <c r="C563" s="5"/>
      <c r="D563" s="5"/>
      <c r="E563" s="5"/>
      <c r="F563" s="77"/>
      <c r="G563" s="77"/>
      <c r="H563" s="5"/>
      <c r="I563" s="5"/>
      <c r="J563" s="77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x14ac:dyDescent="0.45">
      <c r="A564" s="5"/>
      <c r="B564" s="5"/>
      <c r="C564" s="5"/>
      <c r="D564" s="5"/>
      <c r="E564" s="5"/>
      <c r="F564" s="77"/>
      <c r="G564" s="77"/>
      <c r="H564" s="5"/>
      <c r="I564" s="5"/>
      <c r="J564" s="77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x14ac:dyDescent="0.45">
      <c r="A565" s="5"/>
      <c r="B565" s="5"/>
      <c r="C565" s="5"/>
      <c r="D565" s="5"/>
      <c r="E565" s="5"/>
      <c r="F565" s="77"/>
      <c r="G565" s="77"/>
      <c r="H565" s="5"/>
      <c r="I565" s="5"/>
      <c r="J565" s="77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x14ac:dyDescent="0.45">
      <c r="A566" s="5"/>
      <c r="B566" s="5"/>
      <c r="C566" s="5"/>
      <c r="D566" s="5"/>
      <c r="E566" s="5"/>
      <c r="F566" s="77"/>
      <c r="G566" s="77"/>
      <c r="H566" s="5"/>
      <c r="I566" s="5"/>
      <c r="J566" s="77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x14ac:dyDescent="0.45">
      <c r="A567" s="5"/>
      <c r="B567" s="5"/>
      <c r="C567" s="5"/>
      <c r="D567" s="5"/>
      <c r="E567" s="5"/>
      <c r="F567" s="77"/>
      <c r="G567" s="77"/>
      <c r="H567" s="5"/>
      <c r="I567" s="5"/>
      <c r="J567" s="77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x14ac:dyDescent="0.45">
      <c r="A568" s="5"/>
      <c r="B568" s="5"/>
      <c r="C568" s="5"/>
      <c r="D568" s="5"/>
      <c r="E568" s="5"/>
      <c r="F568" s="77"/>
      <c r="G568" s="77"/>
      <c r="H568" s="5"/>
      <c r="I568" s="5"/>
      <c r="J568" s="77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x14ac:dyDescent="0.45">
      <c r="A569" s="5"/>
      <c r="B569" s="5"/>
      <c r="C569" s="5"/>
      <c r="D569" s="5"/>
      <c r="E569" s="5"/>
      <c r="F569" s="77"/>
      <c r="G569" s="77"/>
      <c r="H569" s="5"/>
      <c r="I569" s="5"/>
      <c r="J569" s="77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x14ac:dyDescent="0.45">
      <c r="A570" s="5"/>
      <c r="B570" s="5"/>
      <c r="C570" s="5"/>
      <c r="D570" s="5"/>
      <c r="E570" s="5"/>
      <c r="F570" s="77"/>
      <c r="G570" s="77"/>
      <c r="H570" s="5"/>
      <c r="I570" s="5"/>
      <c r="J570" s="77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x14ac:dyDescent="0.45">
      <c r="A571" s="5"/>
      <c r="B571" s="5"/>
      <c r="C571" s="5"/>
      <c r="D571" s="5"/>
      <c r="E571" s="5"/>
      <c r="F571" s="77"/>
      <c r="G571" s="77"/>
      <c r="H571" s="5"/>
      <c r="I571" s="5"/>
      <c r="J571" s="77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x14ac:dyDescent="0.45">
      <c r="A572" s="5"/>
      <c r="B572" s="5"/>
      <c r="C572" s="5"/>
      <c r="D572" s="5"/>
      <c r="E572" s="5"/>
      <c r="F572" s="77"/>
      <c r="G572" s="77"/>
      <c r="H572" s="5"/>
      <c r="I572" s="5"/>
      <c r="J572" s="77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x14ac:dyDescent="0.45">
      <c r="A573" s="5"/>
      <c r="B573" s="5"/>
      <c r="C573" s="5"/>
      <c r="D573" s="5"/>
      <c r="E573" s="5"/>
      <c r="F573" s="77"/>
      <c r="G573" s="77"/>
      <c r="H573" s="5"/>
      <c r="I573" s="5"/>
      <c r="J573" s="77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x14ac:dyDescent="0.45">
      <c r="A574" s="5"/>
      <c r="B574" s="5"/>
      <c r="C574" s="5"/>
      <c r="D574" s="5"/>
      <c r="E574" s="5"/>
      <c r="F574" s="77"/>
      <c r="G574" s="77"/>
      <c r="H574" s="5"/>
      <c r="I574" s="5"/>
      <c r="J574" s="77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x14ac:dyDescent="0.45">
      <c r="A575" s="5"/>
      <c r="B575" s="5"/>
      <c r="C575" s="5"/>
      <c r="D575" s="5"/>
      <c r="E575" s="5"/>
      <c r="F575" s="77"/>
      <c r="G575" s="77"/>
      <c r="H575" s="5"/>
      <c r="I575" s="5"/>
      <c r="J575" s="77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x14ac:dyDescent="0.45">
      <c r="A576" s="5"/>
      <c r="B576" s="5"/>
      <c r="C576" s="5"/>
      <c r="D576" s="5"/>
      <c r="E576" s="5"/>
      <c r="F576" s="77"/>
      <c r="G576" s="77"/>
      <c r="H576" s="5"/>
      <c r="I576" s="5"/>
      <c r="J576" s="77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x14ac:dyDescent="0.45">
      <c r="A577" s="5"/>
      <c r="B577" s="5"/>
      <c r="C577" s="5"/>
      <c r="D577" s="5"/>
      <c r="E577" s="5"/>
      <c r="F577" s="77"/>
      <c r="G577" s="77"/>
      <c r="H577" s="5"/>
      <c r="I577" s="5"/>
      <c r="J577" s="77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x14ac:dyDescent="0.45">
      <c r="A578" s="5"/>
      <c r="B578" s="5"/>
      <c r="C578" s="5"/>
      <c r="D578" s="5"/>
      <c r="E578" s="5"/>
      <c r="F578" s="77"/>
      <c r="G578" s="77"/>
      <c r="H578" s="5"/>
      <c r="I578" s="5"/>
      <c r="J578" s="77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x14ac:dyDescent="0.45">
      <c r="A579" s="5"/>
      <c r="B579" s="5"/>
      <c r="C579" s="5"/>
      <c r="D579" s="5"/>
      <c r="E579" s="5"/>
      <c r="F579" s="77"/>
      <c r="G579" s="77"/>
      <c r="H579" s="5"/>
      <c r="I579" s="5"/>
      <c r="J579" s="77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x14ac:dyDescent="0.45">
      <c r="A580" s="5"/>
      <c r="B580" s="5"/>
      <c r="C580" s="5"/>
      <c r="D580" s="5"/>
      <c r="E580" s="5"/>
      <c r="F580" s="77"/>
      <c r="G580" s="77"/>
      <c r="H580" s="5"/>
      <c r="I580" s="5"/>
      <c r="J580" s="77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x14ac:dyDescent="0.45">
      <c r="A581" s="5"/>
      <c r="B581" s="5"/>
      <c r="C581" s="5"/>
      <c r="D581" s="5"/>
      <c r="E581" s="5"/>
      <c r="F581" s="77"/>
      <c r="G581" s="77"/>
      <c r="H581" s="5"/>
      <c r="I581" s="5"/>
      <c r="J581" s="77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x14ac:dyDescent="0.45">
      <c r="A582" s="5"/>
      <c r="B582" s="5"/>
      <c r="C582" s="5"/>
      <c r="D582" s="5"/>
      <c r="E582" s="5"/>
      <c r="F582" s="77"/>
      <c r="G582" s="77"/>
      <c r="H582" s="5"/>
      <c r="I582" s="5"/>
      <c r="J582" s="77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x14ac:dyDescent="0.45">
      <c r="A583" s="5"/>
      <c r="B583" s="5"/>
      <c r="C583" s="5"/>
      <c r="D583" s="5"/>
      <c r="E583" s="5"/>
      <c r="F583" s="77"/>
      <c r="G583" s="77"/>
      <c r="H583" s="5"/>
      <c r="I583" s="5"/>
      <c r="J583" s="77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x14ac:dyDescent="0.45">
      <c r="A584" s="5"/>
      <c r="B584" s="5"/>
      <c r="C584" s="5"/>
      <c r="D584" s="5"/>
      <c r="E584" s="5"/>
      <c r="F584" s="77"/>
      <c r="G584" s="77"/>
      <c r="H584" s="5"/>
      <c r="I584" s="5"/>
      <c r="J584" s="77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x14ac:dyDescent="0.45">
      <c r="A585" s="5"/>
      <c r="B585" s="5"/>
      <c r="C585" s="5"/>
      <c r="D585" s="5"/>
      <c r="E585" s="5"/>
      <c r="F585" s="77"/>
      <c r="G585" s="77"/>
      <c r="H585" s="5"/>
      <c r="I585" s="5"/>
      <c r="J585" s="77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x14ac:dyDescent="0.45">
      <c r="A586" s="5"/>
      <c r="B586" s="5"/>
      <c r="C586" s="5"/>
      <c r="D586" s="5"/>
      <c r="E586" s="5"/>
      <c r="F586" s="77"/>
      <c r="G586" s="77"/>
      <c r="H586" s="5"/>
      <c r="I586" s="5"/>
      <c r="J586" s="77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x14ac:dyDescent="0.45">
      <c r="A587" s="5"/>
      <c r="B587" s="5"/>
      <c r="C587" s="5"/>
      <c r="D587" s="5"/>
      <c r="E587" s="5"/>
      <c r="F587" s="77"/>
      <c r="G587" s="77"/>
      <c r="H587" s="5"/>
      <c r="I587" s="5"/>
      <c r="J587" s="77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x14ac:dyDescent="0.45">
      <c r="A588" s="5"/>
      <c r="B588" s="5"/>
      <c r="C588" s="5"/>
      <c r="D588" s="5"/>
      <c r="E588" s="5"/>
      <c r="F588" s="77"/>
      <c r="G588" s="77"/>
      <c r="H588" s="5"/>
      <c r="I588" s="5"/>
      <c r="J588" s="77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x14ac:dyDescent="0.45">
      <c r="A589" s="5"/>
      <c r="B589" s="5"/>
      <c r="C589" s="5"/>
      <c r="D589" s="5"/>
      <c r="E589" s="5"/>
      <c r="F589" s="77"/>
      <c r="G589" s="77"/>
      <c r="H589" s="5"/>
      <c r="I589" s="5"/>
      <c r="J589" s="77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x14ac:dyDescent="0.45">
      <c r="A590" s="5"/>
      <c r="B590" s="5"/>
      <c r="C590" s="5"/>
      <c r="D590" s="5"/>
      <c r="E590" s="5"/>
      <c r="F590" s="77"/>
      <c r="G590" s="77"/>
      <c r="H590" s="5"/>
      <c r="I590" s="5"/>
      <c r="J590" s="77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x14ac:dyDescent="0.45">
      <c r="A591" s="5"/>
      <c r="B591" s="5"/>
      <c r="C591" s="5"/>
      <c r="D591" s="5"/>
      <c r="E591" s="5"/>
      <c r="F591" s="77"/>
      <c r="G591" s="77"/>
      <c r="H591" s="5"/>
      <c r="I591" s="5"/>
      <c r="J591" s="77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x14ac:dyDescent="0.45">
      <c r="A592" s="5"/>
      <c r="B592" s="5"/>
      <c r="C592" s="5"/>
      <c r="D592" s="5"/>
      <c r="E592" s="5"/>
      <c r="F592" s="77"/>
      <c r="G592" s="77"/>
      <c r="H592" s="5"/>
      <c r="I592" s="5"/>
      <c r="J592" s="77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x14ac:dyDescent="0.45">
      <c r="A593" s="5"/>
      <c r="B593" s="5"/>
      <c r="C593" s="5"/>
      <c r="D593" s="5"/>
      <c r="E593" s="5"/>
      <c r="F593" s="77"/>
      <c r="G593" s="77"/>
      <c r="H593" s="5"/>
      <c r="I593" s="5"/>
      <c r="J593" s="77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x14ac:dyDescent="0.45">
      <c r="A594" s="5"/>
      <c r="B594" s="5"/>
      <c r="C594" s="5"/>
      <c r="D594" s="5"/>
      <c r="E594" s="5"/>
      <c r="F594" s="77"/>
      <c r="G594" s="77"/>
      <c r="H594" s="5"/>
      <c r="I594" s="5"/>
      <c r="J594" s="77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x14ac:dyDescent="0.45">
      <c r="A595" s="5"/>
      <c r="B595" s="5"/>
      <c r="C595" s="5"/>
      <c r="D595" s="5"/>
      <c r="E595" s="5"/>
      <c r="F595" s="77"/>
      <c r="G595" s="77"/>
      <c r="H595" s="5"/>
      <c r="I595" s="5"/>
      <c r="J595" s="77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x14ac:dyDescent="0.45">
      <c r="A596" s="5"/>
      <c r="B596" s="5"/>
      <c r="C596" s="5"/>
      <c r="D596" s="5"/>
      <c r="E596" s="5"/>
      <c r="F596" s="77"/>
      <c r="G596" s="77"/>
      <c r="H596" s="5"/>
      <c r="I596" s="5"/>
      <c r="J596" s="77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x14ac:dyDescent="0.45">
      <c r="A597" s="5"/>
      <c r="B597" s="5"/>
      <c r="C597" s="5"/>
      <c r="D597" s="5"/>
      <c r="E597" s="5"/>
      <c r="F597" s="77"/>
      <c r="G597" s="77"/>
      <c r="H597" s="5"/>
      <c r="I597" s="5"/>
      <c r="J597" s="77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x14ac:dyDescent="0.45">
      <c r="A598" s="5"/>
      <c r="B598" s="5"/>
      <c r="C598" s="5"/>
      <c r="D598" s="5"/>
      <c r="E598" s="5"/>
      <c r="F598" s="77"/>
      <c r="G598" s="77"/>
      <c r="H598" s="5"/>
      <c r="I598" s="5"/>
      <c r="J598" s="77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x14ac:dyDescent="0.45">
      <c r="A599" s="5"/>
      <c r="B599" s="5"/>
      <c r="C599" s="5"/>
      <c r="D599" s="5"/>
      <c r="E599" s="5"/>
      <c r="F599" s="77"/>
      <c r="G599" s="77"/>
      <c r="H599" s="5"/>
      <c r="I599" s="5"/>
      <c r="J599" s="77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x14ac:dyDescent="0.45">
      <c r="A600" s="5"/>
      <c r="B600" s="5"/>
      <c r="C600" s="5"/>
      <c r="D600" s="5"/>
      <c r="E600" s="5"/>
      <c r="F600" s="77"/>
      <c r="G600" s="77"/>
      <c r="H600" s="5"/>
      <c r="I600" s="5"/>
      <c r="J600" s="77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x14ac:dyDescent="0.45">
      <c r="A601" s="5"/>
      <c r="B601" s="5"/>
      <c r="C601" s="5"/>
      <c r="D601" s="5"/>
      <c r="E601" s="5"/>
      <c r="F601" s="77"/>
      <c r="G601" s="77"/>
      <c r="H601" s="5"/>
      <c r="I601" s="5"/>
      <c r="J601" s="77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x14ac:dyDescent="0.45">
      <c r="A602" s="5"/>
      <c r="B602" s="5"/>
      <c r="C602" s="5"/>
      <c r="D602" s="5"/>
      <c r="E602" s="5"/>
      <c r="F602" s="77"/>
      <c r="G602" s="77"/>
      <c r="H602" s="5"/>
      <c r="I602" s="5"/>
      <c r="J602" s="77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x14ac:dyDescent="0.45">
      <c r="A603" s="5"/>
      <c r="B603" s="5"/>
      <c r="C603" s="5"/>
      <c r="D603" s="5"/>
      <c r="E603" s="5"/>
      <c r="F603" s="77"/>
      <c r="G603" s="77"/>
      <c r="H603" s="5"/>
      <c r="I603" s="5"/>
      <c r="J603" s="77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x14ac:dyDescent="0.45">
      <c r="A604" s="5"/>
      <c r="B604" s="5"/>
      <c r="C604" s="5"/>
      <c r="D604" s="5"/>
      <c r="E604" s="5"/>
      <c r="F604" s="77"/>
      <c r="G604" s="77"/>
      <c r="H604" s="5"/>
      <c r="I604" s="5"/>
      <c r="J604" s="77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x14ac:dyDescent="0.45">
      <c r="A605" s="5"/>
      <c r="B605" s="5"/>
      <c r="C605" s="5"/>
      <c r="D605" s="5"/>
      <c r="E605" s="5"/>
      <c r="F605" s="77"/>
      <c r="G605" s="77"/>
      <c r="H605" s="5"/>
      <c r="I605" s="5"/>
      <c r="J605" s="77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x14ac:dyDescent="0.45">
      <c r="A606" s="5"/>
      <c r="B606" s="5"/>
      <c r="C606" s="5"/>
      <c r="D606" s="5"/>
      <c r="E606" s="5"/>
      <c r="F606" s="77"/>
      <c r="G606" s="77"/>
      <c r="H606" s="5"/>
      <c r="I606" s="5"/>
      <c r="J606" s="77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x14ac:dyDescent="0.45">
      <c r="A607" s="5"/>
      <c r="B607" s="5"/>
      <c r="C607" s="5"/>
      <c r="D607" s="5"/>
      <c r="E607" s="5"/>
      <c r="F607" s="77"/>
      <c r="G607" s="77"/>
      <c r="H607" s="5"/>
      <c r="I607" s="5"/>
      <c r="J607" s="77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x14ac:dyDescent="0.45">
      <c r="A608" s="5"/>
      <c r="B608" s="5"/>
      <c r="C608" s="5"/>
      <c r="D608" s="5"/>
      <c r="E608" s="5"/>
      <c r="F608" s="77"/>
      <c r="G608" s="77"/>
      <c r="H608" s="5"/>
      <c r="I608" s="5"/>
      <c r="J608" s="77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x14ac:dyDescent="0.45">
      <c r="A609" s="5"/>
      <c r="B609" s="5"/>
      <c r="C609" s="5"/>
      <c r="D609" s="5"/>
      <c r="E609" s="5"/>
      <c r="F609" s="77"/>
      <c r="G609" s="77"/>
      <c r="H609" s="5"/>
      <c r="I609" s="5"/>
      <c r="J609" s="77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x14ac:dyDescent="0.45">
      <c r="A610" s="5"/>
      <c r="B610" s="5"/>
      <c r="C610" s="5"/>
      <c r="D610" s="5"/>
      <c r="E610" s="5"/>
      <c r="F610" s="77"/>
      <c r="G610" s="77"/>
      <c r="H610" s="5"/>
      <c r="I610" s="5"/>
      <c r="J610" s="77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x14ac:dyDescent="0.45">
      <c r="A611" s="5"/>
      <c r="B611" s="5"/>
      <c r="C611" s="5"/>
      <c r="D611" s="5"/>
      <c r="E611" s="5"/>
      <c r="F611" s="77"/>
      <c r="G611" s="77"/>
      <c r="H611" s="5"/>
      <c r="I611" s="5"/>
      <c r="J611" s="77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x14ac:dyDescent="0.45">
      <c r="A612" s="5"/>
      <c r="B612" s="5"/>
      <c r="C612" s="5"/>
      <c r="D612" s="5"/>
      <c r="E612" s="5"/>
      <c r="F612" s="77"/>
      <c r="G612" s="77"/>
      <c r="H612" s="5"/>
      <c r="I612" s="5"/>
      <c r="J612" s="77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x14ac:dyDescent="0.45">
      <c r="A613" s="5"/>
      <c r="B613" s="5"/>
      <c r="C613" s="5"/>
      <c r="D613" s="5"/>
      <c r="E613" s="5"/>
      <c r="F613" s="77"/>
      <c r="G613" s="77"/>
      <c r="H613" s="5"/>
      <c r="I613" s="5"/>
      <c r="J613" s="77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x14ac:dyDescent="0.45">
      <c r="A614" s="5"/>
      <c r="B614" s="5"/>
      <c r="C614" s="5"/>
      <c r="D614" s="5"/>
      <c r="E614" s="5"/>
      <c r="F614" s="77"/>
      <c r="G614" s="77"/>
      <c r="H614" s="5"/>
      <c r="I614" s="5"/>
      <c r="J614" s="77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x14ac:dyDescent="0.45">
      <c r="A615" s="5"/>
      <c r="B615" s="5"/>
      <c r="C615" s="5"/>
      <c r="D615" s="5"/>
      <c r="E615" s="5"/>
      <c r="F615" s="77"/>
      <c r="G615" s="77"/>
      <c r="H615" s="5"/>
      <c r="I615" s="5"/>
      <c r="J615" s="77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x14ac:dyDescent="0.45">
      <c r="A616" s="5"/>
      <c r="B616" s="5"/>
      <c r="C616" s="5"/>
      <c r="D616" s="5"/>
      <c r="E616" s="5"/>
      <c r="F616" s="77"/>
      <c r="G616" s="77"/>
      <c r="H616" s="5"/>
      <c r="I616" s="5"/>
      <c r="J616" s="77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x14ac:dyDescent="0.45">
      <c r="A617" s="5"/>
      <c r="B617" s="5"/>
      <c r="C617" s="5"/>
      <c r="D617" s="5"/>
      <c r="E617" s="5"/>
      <c r="F617" s="77"/>
      <c r="G617" s="77"/>
      <c r="H617" s="5"/>
      <c r="I617" s="5"/>
      <c r="J617" s="77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x14ac:dyDescent="0.45">
      <c r="A618" s="5"/>
      <c r="B618" s="5"/>
      <c r="C618" s="5"/>
      <c r="D618" s="5"/>
      <c r="E618" s="5"/>
      <c r="F618" s="77"/>
      <c r="G618" s="77"/>
      <c r="H618" s="5"/>
      <c r="I618" s="5"/>
      <c r="J618" s="77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x14ac:dyDescent="0.45">
      <c r="A619" s="5"/>
      <c r="B619" s="5"/>
      <c r="C619" s="5"/>
      <c r="D619" s="5"/>
      <c r="E619" s="5"/>
      <c r="F619" s="77"/>
      <c r="G619" s="77"/>
      <c r="H619" s="5"/>
      <c r="I619" s="5"/>
      <c r="J619" s="77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x14ac:dyDescent="0.45">
      <c r="A620" s="5"/>
      <c r="B620" s="5"/>
      <c r="C620" s="5"/>
      <c r="D620" s="5"/>
      <c r="E620" s="5"/>
      <c r="F620" s="77"/>
      <c r="G620" s="77"/>
      <c r="H620" s="5"/>
      <c r="I620" s="5"/>
      <c r="J620" s="77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x14ac:dyDescent="0.45">
      <c r="A621" s="5"/>
      <c r="B621" s="5"/>
      <c r="C621" s="5"/>
      <c r="D621" s="5"/>
      <c r="E621" s="5"/>
      <c r="F621" s="77"/>
      <c r="G621" s="77"/>
      <c r="H621" s="5"/>
      <c r="I621" s="5"/>
      <c r="J621" s="77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x14ac:dyDescent="0.45">
      <c r="A622" s="5"/>
      <c r="B622" s="5"/>
      <c r="C622" s="5"/>
      <c r="D622" s="5"/>
      <c r="E622" s="5"/>
      <c r="F622" s="77"/>
      <c r="G622" s="77"/>
      <c r="H622" s="5"/>
      <c r="I622" s="5"/>
      <c r="J622" s="77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x14ac:dyDescent="0.45">
      <c r="A623" s="5"/>
      <c r="B623" s="5"/>
      <c r="C623" s="5"/>
      <c r="D623" s="5"/>
      <c r="E623" s="5"/>
      <c r="F623" s="77"/>
      <c r="G623" s="77"/>
      <c r="H623" s="5"/>
      <c r="I623" s="5"/>
      <c r="J623" s="77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x14ac:dyDescent="0.45">
      <c r="A624" s="5"/>
      <c r="B624" s="5"/>
      <c r="C624" s="5"/>
      <c r="D624" s="5"/>
      <c r="E624" s="5"/>
      <c r="F624" s="77"/>
      <c r="G624" s="77"/>
      <c r="H624" s="5"/>
      <c r="I624" s="5"/>
      <c r="J624" s="77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x14ac:dyDescent="0.45">
      <c r="A625" s="5"/>
      <c r="B625" s="5"/>
      <c r="C625" s="5"/>
      <c r="D625" s="5"/>
      <c r="E625" s="5"/>
      <c r="F625" s="77"/>
      <c r="G625" s="77"/>
      <c r="H625" s="5"/>
      <c r="I625" s="5"/>
      <c r="J625" s="77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x14ac:dyDescent="0.45">
      <c r="A626" s="5"/>
      <c r="B626" s="5"/>
      <c r="C626" s="5"/>
      <c r="D626" s="5"/>
      <c r="E626" s="5"/>
      <c r="F626" s="77"/>
      <c r="G626" s="77"/>
      <c r="H626" s="5"/>
      <c r="I626" s="5"/>
      <c r="J626" s="77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x14ac:dyDescent="0.45">
      <c r="A627" s="5"/>
      <c r="B627" s="5"/>
      <c r="C627" s="5"/>
      <c r="D627" s="5"/>
      <c r="E627" s="5"/>
      <c r="F627" s="77"/>
      <c r="G627" s="77"/>
      <c r="H627" s="5"/>
      <c r="I627" s="5"/>
      <c r="J627" s="77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x14ac:dyDescent="0.45">
      <c r="A628" s="5"/>
      <c r="B628" s="5"/>
      <c r="C628" s="5"/>
      <c r="D628" s="5"/>
      <c r="E628" s="5"/>
      <c r="F628" s="77"/>
      <c r="G628" s="77"/>
      <c r="H628" s="5"/>
      <c r="I628" s="5"/>
      <c r="J628" s="77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x14ac:dyDescent="0.45">
      <c r="A629" s="5"/>
      <c r="B629" s="5"/>
      <c r="C629" s="5"/>
      <c r="D629" s="5"/>
      <c r="E629" s="5"/>
      <c r="F629" s="77"/>
      <c r="G629" s="77"/>
      <c r="H629" s="5"/>
      <c r="I629" s="5"/>
      <c r="J629" s="77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x14ac:dyDescent="0.45">
      <c r="A630" s="5"/>
      <c r="B630" s="5"/>
      <c r="C630" s="5"/>
      <c r="D630" s="5"/>
      <c r="E630" s="5"/>
      <c r="F630" s="77"/>
      <c r="G630" s="77"/>
      <c r="H630" s="5"/>
      <c r="I630" s="5"/>
      <c r="J630" s="77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x14ac:dyDescent="0.45">
      <c r="A631" s="5"/>
      <c r="B631" s="5"/>
      <c r="C631" s="5"/>
      <c r="D631" s="5"/>
      <c r="E631" s="5"/>
      <c r="F631" s="77"/>
      <c r="G631" s="77"/>
      <c r="H631" s="5"/>
      <c r="I631" s="5"/>
      <c r="J631" s="77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x14ac:dyDescent="0.45">
      <c r="A632" s="5"/>
      <c r="B632" s="5"/>
      <c r="C632" s="5"/>
      <c r="D632" s="5"/>
      <c r="E632" s="5"/>
      <c r="F632" s="77"/>
      <c r="G632" s="77"/>
      <c r="H632" s="5"/>
      <c r="I632" s="5"/>
      <c r="J632" s="77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x14ac:dyDescent="0.45">
      <c r="A633" s="5"/>
      <c r="B633" s="5"/>
      <c r="C633" s="5"/>
      <c r="D633" s="5"/>
      <c r="E633" s="5"/>
      <c r="F633" s="77"/>
      <c r="G633" s="77"/>
      <c r="H633" s="5"/>
      <c r="I633" s="5"/>
      <c r="J633" s="77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x14ac:dyDescent="0.45">
      <c r="A634" s="5"/>
      <c r="B634" s="5"/>
      <c r="C634" s="5"/>
      <c r="D634" s="5"/>
      <c r="E634" s="5"/>
      <c r="F634" s="77"/>
      <c r="G634" s="77"/>
      <c r="H634" s="5"/>
      <c r="I634" s="5"/>
      <c r="J634" s="77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x14ac:dyDescent="0.45">
      <c r="A635" s="5"/>
      <c r="B635" s="5"/>
      <c r="C635" s="5"/>
      <c r="D635" s="5"/>
      <c r="E635" s="5"/>
      <c r="F635" s="77"/>
      <c r="G635" s="77"/>
      <c r="H635" s="5"/>
      <c r="I635" s="5"/>
      <c r="J635" s="77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x14ac:dyDescent="0.45">
      <c r="A636" s="5"/>
      <c r="B636" s="5"/>
      <c r="C636" s="5"/>
      <c r="D636" s="5"/>
      <c r="E636" s="5"/>
      <c r="F636" s="77"/>
      <c r="G636" s="77"/>
      <c r="H636" s="5"/>
      <c r="I636" s="5"/>
      <c r="J636" s="77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x14ac:dyDescent="0.45">
      <c r="A637" s="5"/>
      <c r="B637" s="5"/>
      <c r="C637" s="5"/>
      <c r="D637" s="5"/>
      <c r="E637" s="5"/>
      <c r="F637" s="77"/>
      <c r="G637" s="77"/>
      <c r="H637" s="5"/>
      <c r="I637" s="5"/>
      <c r="J637" s="77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x14ac:dyDescent="0.45">
      <c r="A638" s="5"/>
      <c r="B638" s="5"/>
      <c r="C638" s="5"/>
      <c r="D638" s="5"/>
      <c r="E638" s="5"/>
      <c r="F638" s="77"/>
      <c r="G638" s="77"/>
      <c r="H638" s="5"/>
      <c r="I638" s="5"/>
      <c r="J638" s="77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x14ac:dyDescent="0.45">
      <c r="A639" s="5"/>
      <c r="B639" s="5"/>
      <c r="C639" s="5"/>
      <c r="D639" s="5"/>
      <c r="E639" s="5"/>
      <c r="F639" s="77"/>
      <c r="G639" s="77"/>
      <c r="H639" s="5"/>
      <c r="I639" s="5"/>
      <c r="J639" s="77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x14ac:dyDescent="0.45">
      <c r="A640" s="5"/>
      <c r="B640" s="5"/>
      <c r="C640" s="5"/>
      <c r="D640" s="5"/>
      <c r="E640" s="5"/>
      <c r="F640" s="77"/>
      <c r="G640" s="77"/>
      <c r="H640" s="5"/>
      <c r="I640" s="5"/>
      <c r="J640" s="77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x14ac:dyDescent="0.45">
      <c r="A641" s="5"/>
      <c r="B641" s="5"/>
      <c r="C641" s="5"/>
      <c r="D641" s="5"/>
      <c r="E641" s="5"/>
      <c r="F641" s="77"/>
      <c r="G641" s="77"/>
      <c r="H641" s="5"/>
      <c r="I641" s="5"/>
      <c r="J641" s="77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x14ac:dyDescent="0.45">
      <c r="A642" s="5"/>
      <c r="B642" s="5"/>
      <c r="C642" s="5"/>
      <c r="D642" s="5"/>
      <c r="E642" s="5"/>
      <c r="F642" s="77"/>
      <c r="G642" s="77"/>
      <c r="H642" s="5"/>
      <c r="I642" s="5"/>
      <c r="J642" s="77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x14ac:dyDescent="0.45">
      <c r="A643" s="5"/>
      <c r="B643" s="5"/>
      <c r="C643" s="5"/>
      <c r="D643" s="5"/>
      <c r="E643" s="5"/>
      <c r="F643" s="77"/>
      <c r="G643" s="77"/>
      <c r="H643" s="5"/>
      <c r="I643" s="5"/>
      <c r="J643" s="77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x14ac:dyDescent="0.45">
      <c r="A644" s="5"/>
      <c r="B644" s="5"/>
      <c r="C644" s="5"/>
      <c r="D644" s="5"/>
      <c r="E644" s="5"/>
      <c r="F644" s="77"/>
      <c r="G644" s="77"/>
      <c r="H644" s="5"/>
      <c r="I644" s="5"/>
      <c r="J644" s="77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x14ac:dyDescent="0.45">
      <c r="A645" s="5"/>
      <c r="B645" s="5"/>
      <c r="C645" s="5"/>
      <c r="D645" s="5"/>
      <c r="E645" s="5"/>
      <c r="F645" s="77"/>
      <c r="G645" s="77"/>
      <c r="H645" s="5"/>
      <c r="I645" s="5"/>
      <c r="J645" s="77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x14ac:dyDescent="0.45">
      <c r="A646" s="5"/>
      <c r="B646" s="5"/>
      <c r="C646" s="5"/>
      <c r="D646" s="5"/>
      <c r="E646" s="5"/>
      <c r="F646" s="77"/>
      <c r="G646" s="77"/>
      <c r="H646" s="5"/>
      <c r="I646" s="5"/>
      <c r="J646" s="77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x14ac:dyDescent="0.45">
      <c r="A647" s="5"/>
      <c r="B647" s="5"/>
      <c r="C647" s="5"/>
      <c r="D647" s="5"/>
      <c r="E647" s="5"/>
      <c r="F647" s="77"/>
      <c r="G647" s="77"/>
      <c r="H647" s="5"/>
      <c r="I647" s="5"/>
      <c r="J647" s="77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x14ac:dyDescent="0.45">
      <c r="A648" s="5"/>
      <c r="B648" s="5"/>
      <c r="C648" s="5"/>
      <c r="D648" s="5"/>
      <c r="E648" s="5"/>
      <c r="F648" s="77"/>
      <c r="G648" s="77"/>
      <c r="H648" s="5"/>
      <c r="I648" s="5"/>
      <c r="J648" s="77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x14ac:dyDescent="0.45">
      <c r="A649" s="5"/>
      <c r="B649" s="5"/>
      <c r="C649" s="5"/>
      <c r="D649" s="5"/>
      <c r="E649" s="5"/>
      <c r="F649" s="77"/>
      <c r="G649" s="77"/>
      <c r="H649" s="5"/>
      <c r="I649" s="5"/>
      <c r="J649" s="77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x14ac:dyDescent="0.45">
      <c r="A650" s="5"/>
      <c r="B650" s="5"/>
      <c r="C650" s="5"/>
      <c r="D650" s="5"/>
      <c r="E650" s="5"/>
      <c r="F650" s="77"/>
      <c r="G650" s="77"/>
      <c r="H650" s="5"/>
      <c r="I650" s="5"/>
      <c r="J650" s="77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x14ac:dyDescent="0.45">
      <c r="A651" s="5"/>
      <c r="B651" s="5"/>
      <c r="C651" s="5"/>
      <c r="D651" s="5"/>
      <c r="E651" s="5"/>
      <c r="F651" s="77"/>
      <c r="G651" s="77"/>
      <c r="H651" s="5"/>
      <c r="I651" s="5"/>
      <c r="J651" s="77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x14ac:dyDescent="0.45">
      <c r="A652" s="5"/>
      <c r="B652" s="5"/>
      <c r="C652" s="5"/>
      <c r="D652" s="5"/>
      <c r="E652" s="5"/>
      <c r="F652" s="77"/>
      <c r="G652" s="77"/>
      <c r="H652" s="5"/>
      <c r="I652" s="5"/>
      <c r="J652" s="77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x14ac:dyDescent="0.45">
      <c r="A653" s="5"/>
      <c r="B653" s="5"/>
      <c r="C653" s="5"/>
      <c r="D653" s="5"/>
      <c r="E653" s="5"/>
      <c r="F653" s="77"/>
      <c r="G653" s="77"/>
      <c r="H653" s="5"/>
      <c r="I653" s="5"/>
      <c r="J653" s="77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x14ac:dyDescent="0.45">
      <c r="A654" s="5"/>
      <c r="B654" s="5"/>
      <c r="C654" s="5"/>
      <c r="D654" s="5"/>
      <c r="E654" s="5"/>
      <c r="F654" s="77"/>
      <c r="G654" s="77"/>
      <c r="H654" s="5"/>
      <c r="I654" s="5"/>
      <c r="J654" s="77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x14ac:dyDescent="0.45">
      <c r="A655" s="5"/>
      <c r="B655" s="5"/>
      <c r="C655" s="5"/>
      <c r="D655" s="5"/>
      <c r="E655" s="5"/>
      <c r="F655" s="77"/>
      <c r="G655" s="77"/>
      <c r="H655" s="5"/>
      <c r="I655" s="5"/>
      <c r="J655" s="77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x14ac:dyDescent="0.45">
      <c r="A656" s="5"/>
      <c r="B656" s="5"/>
      <c r="C656" s="5"/>
      <c r="D656" s="5"/>
      <c r="E656" s="5"/>
      <c r="F656" s="77"/>
      <c r="G656" s="77"/>
      <c r="H656" s="5"/>
      <c r="I656" s="5"/>
      <c r="J656" s="77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x14ac:dyDescent="0.45">
      <c r="A657" s="5"/>
      <c r="B657" s="5"/>
      <c r="C657" s="5"/>
      <c r="D657" s="5"/>
      <c r="E657" s="5"/>
      <c r="F657" s="77"/>
      <c r="G657" s="77"/>
      <c r="H657" s="5"/>
      <c r="I657" s="5"/>
      <c r="J657" s="77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x14ac:dyDescent="0.45">
      <c r="A658" s="5"/>
      <c r="B658" s="5"/>
      <c r="C658" s="5"/>
      <c r="D658" s="5"/>
      <c r="E658" s="5"/>
      <c r="F658" s="77"/>
      <c r="G658" s="77"/>
      <c r="H658" s="5"/>
      <c r="I658" s="5"/>
      <c r="J658" s="77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x14ac:dyDescent="0.45">
      <c r="A659" s="5"/>
      <c r="B659" s="5"/>
      <c r="C659" s="5"/>
      <c r="D659" s="5"/>
      <c r="E659" s="5"/>
      <c r="F659" s="77"/>
      <c r="G659" s="77"/>
      <c r="H659" s="5"/>
      <c r="I659" s="5"/>
      <c r="J659" s="77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x14ac:dyDescent="0.45">
      <c r="A660" s="5"/>
      <c r="B660" s="5"/>
      <c r="C660" s="5"/>
      <c r="D660" s="5"/>
      <c r="E660" s="5"/>
      <c r="F660" s="77"/>
      <c r="G660" s="77"/>
      <c r="H660" s="5"/>
      <c r="I660" s="5"/>
      <c r="J660" s="77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x14ac:dyDescent="0.45">
      <c r="A661" s="5"/>
      <c r="B661" s="5"/>
      <c r="C661" s="5"/>
      <c r="D661" s="5"/>
      <c r="E661" s="5"/>
      <c r="F661" s="77"/>
      <c r="G661" s="77"/>
      <c r="H661" s="5"/>
      <c r="I661" s="5"/>
      <c r="J661" s="77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x14ac:dyDescent="0.45">
      <c r="A662" s="5"/>
      <c r="B662" s="5"/>
      <c r="C662" s="5"/>
      <c r="D662" s="5"/>
      <c r="E662" s="5"/>
      <c r="F662" s="77"/>
      <c r="G662" s="77"/>
      <c r="H662" s="5"/>
      <c r="I662" s="5"/>
      <c r="J662" s="77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x14ac:dyDescent="0.45">
      <c r="A663" s="5"/>
      <c r="B663" s="5"/>
      <c r="C663" s="5"/>
      <c r="D663" s="5"/>
      <c r="E663" s="5"/>
      <c r="F663" s="77"/>
      <c r="G663" s="77"/>
      <c r="H663" s="5"/>
      <c r="I663" s="5"/>
      <c r="J663" s="77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x14ac:dyDescent="0.45">
      <c r="A664" s="5"/>
      <c r="B664" s="5"/>
      <c r="C664" s="5"/>
      <c r="D664" s="5"/>
      <c r="E664" s="5"/>
      <c r="F664" s="77"/>
      <c r="G664" s="77"/>
      <c r="H664" s="5"/>
      <c r="I664" s="5"/>
      <c r="J664" s="77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x14ac:dyDescent="0.45">
      <c r="A665" s="5"/>
      <c r="B665" s="5"/>
      <c r="C665" s="5"/>
      <c r="D665" s="5"/>
      <c r="E665" s="5"/>
      <c r="F665" s="77"/>
      <c r="G665" s="77"/>
      <c r="H665" s="5"/>
      <c r="I665" s="5"/>
      <c r="J665" s="77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x14ac:dyDescent="0.45">
      <c r="A666" s="5"/>
      <c r="B666" s="5"/>
      <c r="C666" s="5"/>
      <c r="D666" s="5"/>
      <c r="E666" s="5"/>
      <c r="F666" s="77"/>
      <c r="G666" s="77"/>
      <c r="H666" s="5"/>
      <c r="I666" s="5"/>
      <c r="J666" s="77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x14ac:dyDescent="0.45">
      <c r="A667" s="5"/>
      <c r="B667" s="5"/>
      <c r="C667" s="5"/>
      <c r="D667" s="5"/>
      <c r="E667" s="5"/>
      <c r="F667" s="77"/>
      <c r="G667" s="77"/>
      <c r="H667" s="5"/>
      <c r="I667" s="5"/>
      <c r="J667" s="77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x14ac:dyDescent="0.45">
      <c r="A668" s="5"/>
      <c r="B668" s="5"/>
      <c r="C668" s="5"/>
      <c r="D668" s="5"/>
      <c r="E668" s="5"/>
      <c r="F668" s="77"/>
      <c r="G668" s="77"/>
      <c r="H668" s="5"/>
      <c r="I668" s="5"/>
      <c r="J668" s="77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x14ac:dyDescent="0.45">
      <c r="A669" s="5"/>
      <c r="B669" s="5"/>
      <c r="C669" s="5"/>
      <c r="D669" s="5"/>
      <c r="E669" s="5"/>
      <c r="F669" s="77"/>
      <c r="G669" s="77"/>
      <c r="H669" s="5"/>
      <c r="I669" s="5"/>
      <c r="J669" s="77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x14ac:dyDescent="0.45">
      <c r="A670" s="5"/>
      <c r="B670" s="5"/>
      <c r="C670" s="5"/>
      <c r="D670" s="5"/>
      <c r="E670" s="5"/>
      <c r="F670" s="77"/>
      <c r="G670" s="77"/>
      <c r="H670" s="5"/>
      <c r="I670" s="5"/>
      <c r="J670" s="77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x14ac:dyDescent="0.45">
      <c r="A671" s="5"/>
      <c r="B671" s="5"/>
      <c r="C671" s="5"/>
      <c r="D671" s="5"/>
      <c r="E671" s="5"/>
      <c r="F671" s="77"/>
      <c r="G671" s="77"/>
      <c r="H671" s="5"/>
      <c r="I671" s="5"/>
      <c r="J671" s="77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x14ac:dyDescent="0.45">
      <c r="A672" s="5"/>
      <c r="B672" s="5"/>
      <c r="C672" s="5"/>
      <c r="D672" s="5"/>
      <c r="E672" s="5"/>
      <c r="F672" s="77"/>
      <c r="G672" s="77"/>
      <c r="H672" s="5"/>
      <c r="I672" s="5"/>
      <c r="J672" s="77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x14ac:dyDescent="0.45">
      <c r="A673" s="5"/>
      <c r="B673" s="5"/>
      <c r="C673" s="5"/>
      <c r="D673" s="5"/>
      <c r="E673" s="5"/>
      <c r="F673" s="77"/>
      <c r="G673" s="77"/>
      <c r="H673" s="5"/>
      <c r="I673" s="5"/>
      <c r="J673" s="77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x14ac:dyDescent="0.45">
      <c r="A674" s="5"/>
      <c r="B674" s="5"/>
      <c r="C674" s="5"/>
      <c r="D674" s="5"/>
      <c r="E674" s="5"/>
      <c r="F674" s="77"/>
      <c r="G674" s="77"/>
      <c r="H674" s="5"/>
      <c r="I674" s="5"/>
      <c r="J674" s="77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x14ac:dyDescent="0.45">
      <c r="A675" s="5"/>
      <c r="B675" s="5"/>
      <c r="C675" s="5"/>
      <c r="D675" s="5"/>
      <c r="E675" s="5"/>
      <c r="F675" s="77"/>
      <c r="G675" s="77"/>
      <c r="H675" s="5"/>
      <c r="I675" s="5"/>
      <c r="J675" s="77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x14ac:dyDescent="0.45">
      <c r="A676" s="5"/>
      <c r="B676" s="5"/>
      <c r="C676" s="5"/>
      <c r="D676" s="5"/>
      <c r="E676" s="5"/>
      <c r="F676" s="77"/>
      <c r="G676" s="77"/>
      <c r="H676" s="5"/>
      <c r="I676" s="5"/>
      <c r="J676" s="77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x14ac:dyDescent="0.45">
      <c r="A677" s="5"/>
      <c r="B677" s="5"/>
      <c r="C677" s="5"/>
      <c r="D677" s="5"/>
      <c r="E677" s="5"/>
      <c r="F677" s="77"/>
      <c r="G677" s="77"/>
      <c r="H677" s="5"/>
      <c r="I677" s="5"/>
      <c r="J677" s="77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x14ac:dyDescent="0.45">
      <c r="A678" s="5"/>
      <c r="B678" s="5"/>
      <c r="C678" s="5"/>
      <c r="D678" s="5"/>
      <c r="E678" s="5"/>
      <c r="F678" s="77"/>
      <c r="G678" s="77"/>
      <c r="H678" s="5"/>
      <c r="I678" s="5"/>
      <c r="J678" s="77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x14ac:dyDescent="0.45">
      <c r="A679" s="5"/>
      <c r="B679" s="5"/>
      <c r="C679" s="5"/>
      <c r="D679" s="5"/>
      <c r="E679" s="5"/>
      <c r="F679" s="77"/>
      <c r="G679" s="77"/>
      <c r="H679" s="5"/>
      <c r="I679" s="5"/>
      <c r="J679" s="77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x14ac:dyDescent="0.45">
      <c r="A680" s="5"/>
      <c r="B680" s="5"/>
      <c r="C680" s="5"/>
      <c r="D680" s="5"/>
      <c r="E680" s="5"/>
      <c r="F680" s="77"/>
      <c r="G680" s="77"/>
      <c r="H680" s="5"/>
      <c r="I680" s="5"/>
      <c r="J680" s="77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x14ac:dyDescent="0.45">
      <c r="A681" s="5"/>
      <c r="B681" s="5"/>
      <c r="C681" s="5"/>
      <c r="D681" s="5"/>
      <c r="E681" s="5"/>
      <c r="F681" s="77"/>
      <c r="G681" s="77"/>
      <c r="H681" s="5"/>
      <c r="I681" s="5"/>
      <c r="J681" s="77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x14ac:dyDescent="0.45">
      <c r="A682" s="5"/>
      <c r="B682" s="5"/>
      <c r="C682" s="5"/>
      <c r="D682" s="5"/>
      <c r="E682" s="5"/>
      <c r="F682" s="77"/>
      <c r="G682" s="77"/>
      <c r="H682" s="5"/>
      <c r="I682" s="5"/>
      <c r="J682" s="77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x14ac:dyDescent="0.45">
      <c r="A683" s="5"/>
      <c r="B683" s="5"/>
      <c r="C683" s="5"/>
      <c r="D683" s="5"/>
      <c r="E683" s="5"/>
      <c r="F683" s="77"/>
      <c r="G683" s="77"/>
      <c r="H683" s="5"/>
      <c r="I683" s="5"/>
      <c r="J683" s="77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x14ac:dyDescent="0.45">
      <c r="A684" s="5"/>
      <c r="B684" s="5"/>
      <c r="C684" s="5"/>
      <c r="D684" s="5"/>
      <c r="E684" s="5"/>
      <c r="F684" s="77"/>
      <c r="G684" s="77"/>
      <c r="H684" s="5"/>
      <c r="I684" s="5"/>
      <c r="J684" s="77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x14ac:dyDescent="0.45">
      <c r="A685" s="5"/>
      <c r="B685" s="5"/>
      <c r="C685" s="5"/>
      <c r="D685" s="5"/>
      <c r="E685" s="5"/>
      <c r="F685" s="77"/>
      <c r="G685" s="77"/>
      <c r="H685" s="5"/>
      <c r="I685" s="5"/>
      <c r="J685" s="77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x14ac:dyDescent="0.45">
      <c r="A686" s="5"/>
      <c r="B686" s="5"/>
      <c r="C686" s="5"/>
      <c r="D686" s="5"/>
      <c r="E686" s="5"/>
      <c r="F686" s="77"/>
      <c r="G686" s="77"/>
      <c r="H686" s="5"/>
      <c r="I686" s="5"/>
      <c r="J686" s="77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x14ac:dyDescent="0.45">
      <c r="A687" s="5"/>
      <c r="B687" s="5"/>
      <c r="C687" s="5"/>
      <c r="D687" s="5"/>
      <c r="E687" s="5"/>
      <c r="F687" s="77"/>
      <c r="G687" s="77"/>
      <c r="H687" s="5"/>
      <c r="I687" s="5"/>
      <c r="J687" s="77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x14ac:dyDescent="0.45">
      <c r="A688" s="5"/>
      <c r="B688" s="5"/>
      <c r="C688" s="5"/>
      <c r="D688" s="5"/>
      <c r="E688" s="5"/>
      <c r="F688" s="77"/>
      <c r="G688" s="77"/>
      <c r="H688" s="5"/>
      <c r="I688" s="5"/>
      <c r="J688" s="77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x14ac:dyDescent="0.45">
      <c r="A689" s="5"/>
      <c r="B689" s="5"/>
      <c r="C689" s="5"/>
      <c r="D689" s="5"/>
      <c r="E689" s="5"/>
      <c r="F689" s="77"/>
      <c r="G689" s="77"/>
      <c r="H689" s="5"/>
      <c r="I689" s="5"/>
      <c r="J689" s="77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x14ac:dyDescent="0.45">
      <c r="A690" s="5"/>
      <c r="B690" s="5"/>
      <c r="C690" s="5"/>
      <c r="D690" s="5"/>
      <c r="E690" s="5"/>
      <c r="F690" s="77"/>
      <c r="G690" s="77"/>
      <c r="H690" s="5"/>
      <c r="I690" s="5"/>
      <c r="J690" s="77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x14ac:dyDescent="0.45">
      <c r="A691" s="5"/>
      <c r="B691" s="5"/>
      <c r="C691" s="5"/>
      <c r="D691" s="5"/>
      <c r="E691" s="5"/>
      <c r="F691" s="77"/>
      <c r="G691" s="77"/>
      <c r="H691" s="5"/>
      <c r="I691" s="5"/>
      <c r="J691" s="77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x14ac:dyDescent="0.45">
      <c r="A692" s="5"/>
      <c r="B692" s="5"/>
      <c r="C692" s="5"/>
      <c r="D692" s="5"/>
      <c r="E692" s="5"/>
      <c r="F692" s="77"/>
      <c r="G692" s="77"/>
      <c r="H692" s="5"/>
      <c r="I692" s="5"/>
      <c r="J692" s="77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x14ac:dyDescent="0.45">
      <c r="A693" s="5"/>
      <c r="B693" s="5"/>
      <c r="C693" s="5"/>
      <c r="D693" s="5"/>
      <c r="E693" s="5"/>
      <c r="F693" s="77"/>
      <c r="G693" s="77"/>
      <c r="H693" s="5"/>
      <c r="I693" s="5"/>
      <c r="J693" s="77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x14ac:dyDescent="0.45">
      <c r="A694" s="5"/>
      <c r="B694" s="5"/>
      <c r="C694" s="5"/>
      <c r="D694" s="5"/>
      <c r="E694" s="5"/>
      <c r="F694" s="77"/>
      <c r="G694" s="77"/>
      <c r="H694" s="5"/>
      <c r="I694" s="5"/>
      <c r="J694" s="77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x14ac:dyDescent="0.45">
      <c r="A695" s="5"/>
      <c r="B695" s="5"/>
      <c r="C695" s="5"/>
      <c r="D695" s="5"/>
      <c r="E695" s="5"/>
      <c r="F695" s="77"/>
      <c r="G695" s="77"/>
      <c r="H695" s="5"/>
      <c r="I695" s="5"/>
      <c r="J695" s="77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x14ac:dyDescent="0.45">
      <c r="A696" s="5"/>
      <c r="B696" s="5"/>
      <c r="C696" s="5"/>
      <c r="D696" s="5"/>
      <c r="E696" s="5"/>
      <c r="F696" s="77"/>
      <c r="G696" s="77"/>
      <c r="H696" s="5"/>
      <c r="I696" s="5"/>
      <c r="J696" s="77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x14ac:dyDescent="0.45">
      <c r="A697" s="5"/>
      <c r="B697" s="5"/>
      <c r="C697" s="5"/>
      <c r="D697" s="5"/>
      <c r="E697" s="5"/>
      <c r="F697" s="77"/>
      <c r="G697" s="77"/>
      <c r="H697" s="5"/>
      <c r="I697" s="5"/>
      <c r="J697" s="77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x14ac:dyDescent="0.45">
      <c r="A698" s="5"/>
      <c r="B698" s="5"/>
      <c r="C698" s="5"/>
      <c r="D698" s="5"/>
      <c r="E698" s="5"/>
      <c r="F698" s="77"/>
      <c r="G698" s="77"/>
      <c r="H698" s="5"/>
      <c r="I698" s="5"/>
      <c r="J698" s="77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x14ac:dyDescent="0.45">
      <c r="A699" s="5"/>
      <c r="B699" s="5"/>
      <c r="C699" s="5"/>
      <c r="D699" s="5"/>
      <c r="E699" s="5"/>
      <c r="F699" s="77"/>
      <c r="G699" s="77"/>
      <c r="H699" s="5"/>
      <c r="I699" s="5"/>
      <c r="J699" s="77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x14ac:dyDescent="0.45">
      <c r="A700" s="5"/>
      <c r="B700" s="5"/>
      <c r="C700" s="5"/>
      <c r="D700" s="5"/>
      <c r="E700" s="5"/>
      <c r="F700" s="77"/>
      <c r="G700" s="77"/>
      <c r="H700" s="5"/>
      <c r="I700" s="5"/>
      <c r="J700" s="77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x14ac:dyDescent="0.45">
      <c r="A701" s="5"/>
      <c r="B701" s="5"/>
      <c r="C701" s="5"/>
      <c r="D701" s="5"/>
      <c r="E701" s="5"/>
      <c r="F701" s="77"/>
      <c r="G701" s="77"/>
      <c r="H701" s="5"/>
      <c r="I701" s="5"/>
      <c r="J701" s="77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x14ac:dyDescent="0.45">
      <c r="A702" s="5"/>
      <c r="B702" s="5"/>
      <c r="C702" s="5"/>
      <c r="D702" s="5"/>
      <c r="E702" s="5"/>
      <c r="F702" s="77"/>
      <c r="G702" s="77"/>
      <c r="H702" s="5"/>
      <c r="I702" s="5"/>
      <c r="J702" s="77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x14ac:dyDescent="0.45">
      <c r="A703" s="5"/>
      <c r="B703" s="5"/>
      <c r="C703" s="5"/>
      <c r="D703" s="5"/>
      <c r="E703" s="5"/>
      <c r="F703" s="77"/>
      <c r="G703" s="77"/>
      <c r="H703" s="5"/>
      <c r="I703" s="5"/>
      <c r="J703" s="77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x14ac:dyDescent="0.45">
      <c r="A704" s="5"/>
      <c r="B704" s="5"/>
      <c r="C704" s="5"/>
      <c r="D704" s="5"/>
      <c r="E704" s="5"/>
      <c r="F704" s="77"/>
      <c r="G704" s="77"/>
      <c r="H704" s="5"/>
      <c r="I704" s="5"/>
      <c r="J704" s="77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x14ac:dyDescent="0.45">
      <c r="A705" s="5"/>
      <c r="B705" s="5"/>
      <c r="C705" s="5"/>
      <c r="D705" s="5"/>
      <c r="E705" s="5"/>
      <c r="F705" s="77"/>
      <c r="G705" s="77"/>
      <c r="H705" s="5"/>
      <c r="I705" s="5"/>
      <c r="J705" s="77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x14ac:dyDescent="0.45">
      <c r="A706" s="5"/>
      <c r="B706" s="5"/>
      <c r="C706" s="5"/>
      <c r="D706" s="5"/>
      <c r="E706" s="5"/>
      <c r="F706" s="77"/>
      <c r="G706" s="77"/>
      <c r="H706" s="5"/>
      <c r="I706" s="5"/>
      <c r="J706" s="77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x14ac:dyDescent="0.45">
      <c r="A707" s="5"/>
      <c r="B707" s="5"/>
      <c r="C707" s="5"/>
      <c r="D707" s="5"/>
      <c r="E707" s="5"/>
      <c r="F707" s="77"/>
      <c r="G707" s="77"/>
      <c r="H707" s="5"/>
      <c r="I707" s="5"/>
      <c r="J707" s="77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x14ac:dyDescent="0.45">
      <c r="A708" s="5"/>
      <c r="B708" s="5"/>
      <c r="C708" s="5"/>
      <c r="D708" s="5"/>
      <c r="E708" s="5"/>
      <c r="F708" s="77"/>
      <c r="G708" s="77"/>
      <c r="H708" s="5"/>
      <c r="I708" s="5"/>
      <c r="J708" s="77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x14ac:dyDescent="0.45">
      <c r="A709" s="5"/>
      <c r="B709" s="5"/>
      <c r="C709" s="5"/>
      <c r="D709" s="5"/>
      <c r="E709" s="5"/>
      <c r="F709" s="77"/>
      <c r="G709" s="77"/>
      <c r="H709" s="5"/>
      <c r="I709" s="5"/>
      <c r="J709" s="77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x14ac:dyDescent="0.45">
      <c r="A710" s="5"/>
      <c r="B710" s="5"/>
      <c r="C710" s="5"/>
      <c r="D710" s="5"/>
      <c r="E710" s="5"/>
      <c r="F710" s="77"/>
      <c r="G710" s="77"/>
      <c r="H710" s="5"/>
      <c r="I710" s="5"/>
      <c r="J710" s="77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x14ac:dyDescent="0.45">
      <c r="A711" s="5"/>
      <c r="B711" s="5"/>
      <c r="C711" s="5"/>
      <c r="D711" s="5"/>
      <c r="E711" s="5"/>
      <c r="F711" s="77"/>
      <c r="G711" s="77"/>
      <c r="H711" s="5"/>
      <c r="I711" s="5"/>
      <c r="J711" s="77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x14ac:dyDescent="0.45">
      <c r="A712" s="5"/>
      <c r="B712" s="5"/>
      <c r="C712" s="5"/>
      <c r="D712" s="5"/>
      <c r="E712" s="5"/>
      <c r="F712" s="77"/>
      <c r="G712" s="77"/>
      <c r="H712" s="5"/>
      <c r="I712" s="5"/>
      <c r="J712" s="77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x14ac:dyDescent="0.45">
      <c r="A713" s="5"/>
      <c r="B713" s="5"/>
      <c r="C713" s="5"/>
      <c r="D713" s="5"/>
      <c r="E713" s="5"/>
      <c r="F713" s="77"/>
      <c r="G713" s="77"/>
      <c r="H713" s="5"/>
      <c r="I713" s="5"/>
      <c r="J713" s="77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x14ac:dyDescent="0.45">
      <c r="A714" s="5"/>
      <c r="B714" s="5"/>
      <c r="C714" s="5"/>
      <c r="D714" s="5"/>
      <c r="E714" s="5"/>
      <c r="F714" s="77"/>
      <c r="G714" s="77"/>
      <c r="H714" s="5"/>
      <c r="I714" s="5"/>
      <c r="J714" s="77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x14ac:dyDescent="0.45">
      <c r="A715" s="5"/>
      <c r="B715" s="5"/>
      <c r="C715" s="5"/>
      <c r="D715" s="5"/>
      <c r="E715" s="5"/>
      <c r="F715" s="77"/>
      <c r="G715" s="77"/>
      <c r="H715" s="5"/>
      <c r="I715" s="5"/>
      <c r="J715" s="77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x14ac:dyDescent="0.45">
      <c r="A716" s="5"/>
      <c r="B716" s="5"/>
      <c r="C716" s="5"/>
      <c r="D716" s="5"/>
      <c r="E716" s="5"/>
      <c r="F716" s="77"/>
      <c r="G716" s="77"/>
      <c r="H716" s="5"/>
      <c r="I716" s="5"/>
      <c r="J716" s="77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x14ac:dyDescent="0.45">
      <c r="A717" s="5"/>
      <c r="B717" s="5"/>
      <c r="C717" s="5"/>
      <c r="D717" s="5"/>
      <c r="E717" s="5"/>
      <c r="F717" s="77"/>
      <c r="G717" s="77"/>
      <c r="H717" s="5"/>
      <c r="I717" s="5"/>
      <c r="J717" s="77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x14ac:dyDescent="0.45">
      <c r="A718" s="5"/>
      <c r="B718" s="5"/>
      <c r="C718" s="5"/>
      <c r="D718" s="5"/>
      <c r="E718" s="5"/>
      <c r="F718" s="77"/>
      <c r="G718" s="77"/>
      <c r="H718" s="5"/>
      <c r="I718" s="5"/>
      <c r="J718" s="77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x14ac:dyDescent="0.45">
      <c r="A719" s="5"/>
      <c r="B719" s="5"/>
      <c r="C719" s="5"/>
      <c r="D719" s="5"/>
      <c r="E719" s="5"/>
      <c r="F719" s="77"/>
      <c r="G719" s="77"/>
      <c r="H719" s="5"/>
      <c r="I719" s="5"/>
      <c r="J719" s="77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x14ac:dyDescent="0.45">
      <c r="A720" s="5"/>
      <c r="B720" s="5"/>
      <c r="C720" s="5"/>
      <c r="D720" s="5"/>
      <c r="E720" s="5"/>
      <c r="F720" s="77"/>
      <c r="G720" s="77"/>
      <c r="H720" s="5"/>
      <c r="I720" s="5"/>
      <c r="J720" s="77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x14ac:dyDescent="0.45">
      <c r="A721" s="5"/>
      <c r="B721" s="5"/>
      <c r="C721" s="5"/>
      <c r="D721" s="5"/>
      <c r="E721" s="5"/>
      <c r="F721" s="77"/>
      <c r="G721" s="77"/>
      <c r="H721" s="5"/>
      <c r="I721" s="5"/>
      <c r="J721" s="77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x14ac:dyDescent="0.45">
      <c r="A722" s="5"/>
      <c r="B722" s="5"/>
      <c r="C722" s="5"/>
      <c r="D722" s="5"/>
      <c r="E722" s="5"/>
      <c r="F722" s="77"/>
      <c r="G722" s="77"/>
      <c r="H722" s="5"/>
      <c r="I722" s="5"/>
      <c r="J722" s="77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x14ac:dyDescent="0.45">
      <c r="A723" s="5"/>
      <c r="B723" s="5"/>
      <c r="C723" s="5"/>
      <c r="D723" s="5"/>
      <c r="E723" s="5"/>
      <c r="F723" s="77"/>
      <c r="G723" s="77"/>
      <c r="H723" s="5"/>
      <c r="I723" s="5"/>
      <c r="J723" s="77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x14ac:dyDescent="0.45">
      <c r="A724" s="5"/>
      <c r="B724" s="5"/>
      <c r="C724" s="5"/>
      <c r="D724" s="5"/>
      <c r="E724" s="5"/>
      <c r="F724" s="77"/>
      <c r="G724" s="77"/>
      <c r="H724" s="5"/>
      <c r="I724" s="5"/>
      <c r="J724" s="77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x14ac:dyDescent="0.45">
      <c r="A725" s="5"/>
      <c r="B725" s="5"/>
      <c r="C725" s="5"/>
      <c r="D725" s="5"/>
      <c r="E725" s="5"/>
      <c r="F725" s="77"/>
      <c r="G725" s="77"/>
      <c r="H725" s="5"/>
      <c r="I725" s="5"/>
      <c r="J725" s="77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x14ac:dyDescent="0.45">
      <c r="A726" s="5"/>
      <c r="B726" s="5"/>
      <c r="C726" s="5"/>
      <c r="D726" s="5"/>
      <c r="E726" s="5"/>
      <c r="F726" s="77"/>
      <c r="G726" s="77"/>
      <c r="H726" s="5"/>
      <c r="I726" s="5"/>
      <c r="J726" s="77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x14ac:dyDescent="0.45">
      <c r="A727" s="5"/>
      <c r="B727" s="5"/>
      <c r="C727" s="5"/>
      <c r="D727" s="5"/>
      <c r="E727" s="5"/>
      <c r="F727" s="77"/>
      <c r="G727" s="77"/>
      <c r="H727" s="5"/>
      <c r="I727" s="5"/>
      <c r="J727" s="77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x14ac:dyDescent="0.45">
      <c r="A728" s="5"/>
      <c r="B728" s="5"/>
      <c r="C728" s="5"/>
      <c r="D728" s="5"/>
      <c r="E728" s="5"/>
      <c r="F728" s="77"/>
      <c r="G728" s="77"/>
      <c r="H728" s="5"/>
      <c r="I728" s="5"/>
      <c r="J728" s="77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x14ac:dyDescent="0.45">
      <c r="A729" s="5"/>
      <c r="B729" s="5"/>
      <c r="C729" s="5"/>
      <c r="D729" s="5"/>
      <c r="E729" s="5"/>
      <c r="F729" s="77"/>
      <c r="G729" s="77"/>
      <c r="H729" s="5"/>
      <c r="I729" s="5"/>
      <c r="J729" s="77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x14ac:dyDescent="0.45">
      <c r="A730" s="5"/>
      <c r="B730" s="5"/>
      <c r="C730" s="5"/>
      <c r="D730" s="5"/>
      <c r="E730" s="5"/>
      <c r="F730" s="77"/>
      <c r="G730" s="77"/>
      <c r="H730" s="5"/>
      <c r="I730" s="5"/>
      <c r="J730" s="77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x14ac:dyDescent="0.45">
      <c r="A731" s="5"/>
      <c r="B731" s="5"/>
      <c r="C731" s="5"/>
      <c r="D731" s="5"/>
      <c r="E731" s="5"/>
      <c r="F731" s="77"/>
      <c r="G731" s="77"/>
      <c r="H731" s="5"/>
      <c r="I731" s="5"/>
      <c r="J731" s="77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x14ac:dyDescent="0.45">
      <c r="A732" s="5"/>
      <c r="B732" s="5"/>
      <c r="C732" s="5"/>
      <c r="D732" s="5"/>
      <c r="E732" s="5"/>
      <c r="F732" s="77"/>
      <c r="G732" s="77"/>
      <c r="H732" s="5"/>
      <c r="I732" s="5"/>
      <c r="J732" s="77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x14ac:dyDescent="0.45">
      <c r="A733" s="5"/>
      <c r="B733" s="5"/>
      <c r="C733" s="5"/>
      <c r="D733" s="5"/>
      <c r="E733" s="5"/>
      <c r="F733" s="77"/>
      <c r="G733" s="77"/>
      <c r="H733" s="5"/>
      <c r="I733" s="5"/>
      <c r="J733" s="77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x14ac:dyDescent="0.45">
      <c r="A734" s="5"/>
      <c r="B734" s="5"/>
      <c r="C734" s="5"/>
      <c r="D734" s="5"/>
      <c r="E734" s="5"/>
      <c r="F734" s="77"/>
      <c r="G734" s="77"/>
      <c r="H734" s="5"/>
      <c r="I734" s="5"/>
      <c r="J734" s="77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x14ac:dyDescent="0.45">
      <c r="A735" s="5"/>
      <c r="B735" s="5"/>
      <c r="C735" s="5"/>
      <c r="D735" s="5"/>
      <c r="E735" s="5"/>
      <c r="F735" s="77"/>
      <c r="G735" s="77"/>
      <c r="H735" s="5"/>
      <c r="I735" s="5"/>
      <c r="J735" s="77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x14ac:dyDescent="0.45">
      <c r="A736" s="5"/>
      <c r="B736" s="5"/>
      <c r="C736" s="5"/>
      <c r="D736" s="5"/>
      <c r="E736" s="5"/>
      <c r="F736" s="77"/>
      <c r="G736" s="77"/>
      <c r="H736" s="5"/>
      <c r="I736" s="5"/>
      <c r="J736" s="77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x14ac:dyDescent="0.45">
      <c r="A737" s="5"/>
      <c r="B737" s="5"/>
      <c r="C737" s="5"/>
      <c r="D737" s="5"/>
      <c r="E737" s="5"/>
      <c r="F737" s="77"/>
      <c r="G737" s="77"/>
      <c r="H737" s="5"/>
      <c r="I737" s="5"/>
      <c r="J737" s="77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x14ac:dyDescent="0.45">
      <c r="A738" s="5"/>
      <c r="B738" s="5"/>
      <c r="C738" s="5"/>
      <c r="D738" s="5"/>
      <c r="E738" s="5"/>
      <c r="F738" s="77"/>
      <c r="G738" s="77"/>
      <c r="H738" s="5"/>
      <c r="I738" s="5"/>
      <c r="J738" s="77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x14ac:dyDescent="0.45">
      <c r="A739" s="5"/>
      <c r="B739" s="5"/>
      <c r="C739" s="5"/>
      <c r="D739" s="5"/>
      <c r="E739" s="5"/>
      <c r="F739" s="77"/>
      <c r="G739" s="77"/>
      <c r="H739" s="5"/>
      <c r="I739" s="5"/>
      <c r="J739" s="77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x14ac:dyDescent="0.45">
      <c r="A740" s="5"/>
      <c r="B740" s="5"/>
      <c r="C740" s="5"/>
      <c r="D740" s="5"/>
      <c r="E740" s="5"/>
      <c r="F740" s="77"/>
      <c r="G740" s="77"/>
      <c r="H740" s="5"/>
      <c r="I740" s="5"/>
      <c r="J740" s="77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x14ac:dyDescent="0.45">
      <c r="A741" s="5"/>
      <c r="B741" s="5"/>
      <c r="C741" s="5"/>
      <c r="D741" s="5"/>
      <c r="E741" s="5"/>
      <c r="F741" s="77"/>
      <c r="G741" s="77"/>
      <c r="H741" s="5"/>
      <c r="I741" s="5"/>
      <c r="J741" s="77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x14ac:dyDescent="0.45">
      <c r="A742" s="5"/>
      <c r="B742" s="5"/>
      <c r="C742" s="5"/>
      <c r="D742" s="5"/>
      <c r="E742" s="5"/>
      <c r="F742" s="77"/>
      <c r="G742" s="77"/>
      <c r="H742" s="5"/>
      <c r="I742" s="5"/>
      <c r="J742" s="77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x14ac:dyDescent="0.45">
      <c r="A743" s="5"/>
      <c r="B743" s="5"/>
      <c r="C743" s="5"/>
      <c r="D743" s="5"/>
      <c r="E743" s="5"/>
      <c r="F743" s="77"/>
      <c r="G743" s="77"/>
      <c r="H743" s="5"/>
      <c r="I743" s="5"/>
      <c r="J743" s="77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x14ac:dyDescent="0.45">
      <c r="A744" s="5"/>
      <c r="B744" s="5"/>
      <c r="C744" s="5"/>
      <c r="D744" s="5"/>
      <c r="E744" s="5"/>
      <c r="F744" s="77"/>
      <c r="G744" s="77"/>
      <c r="H744" s="5"/>
      <c r="I744" s="5"/>
      <c r="J744" s="77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x14ac:dyDescent="0.45">
      <c r="A745" s="5"/>
      <c r="B745" s="5"/>
      <c r="C745" s="5"/>
      <c r="D745" s="5"/>
      <c r="E745" s="5"/>
      <c r="F745" s="77"/>
      <c r="G745" s="77"/>
      <c r="H745" s="5"/>
      <c r="I745" s="5"/>
      <c r="J745" s="77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x14ac:dyDescent="0.45">
      <c r="A746" s="5"/>
      <c r="B746" s="5"/>
      <c r="C746" s="5"/>
      <c r="D746" s="5"/>
      <c r="E746" s="5"/>
      <c r="F746" s="77"/>
      <c r="G746" s="77"/>
      <c r="H746" s="5"/>
      <c r="I746" s="5"/>
      <c r="J746" s="77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x14ac:dyDescent="0.45">
      <c r="A747" s="5"/>
      <c r="B747" s="5"/>
      <c r="C747" s="5"/>
      <c r="D747" s="5"/>
      <c r="E747" s="5"/>
      <c r="F747" s="77"/>
      <c r="G747" s="77"/>
      <c r="H747" s="5"/>
      <c r="I747" s="5"/>
      <c r="J747" s="77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x14ac:dyDescent="0.45">
      <c r="A748" s="5"/>
      <c r="B748" s="5"/>
      <c r="C748" s="5"/>
      <c r="D748" s="5"/>
      <c r="E748" s="5"/>
      <c r="F748" s="77"/>
      <c r="G748" s="77"/>
      <c r="H748" s="5"/>
      <c r="I748" s="5"/>
      <c r="J748" s="77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x14ac:dyDescent="0.45">
      <c r="A749" s="5"/>
      <c r="B749" s="5"/>
      <c r="C749" s="5"/>
      <c r="D749" s="5"/>
      <c r="E749" s="5"/>
      <c r="F749" s="77"/>
      <c r="G749" s="77"/>
      <c r="H749" s="5"/>
      <c r="I749" s="5"/>
      <c r="J749" s="77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x14ac:dyDescent="0.45">
      <c r="A750" s="5"/>
      <c r="B750" s="5"/>
      <c r="C750" s="5"/>
      <c r="D750" s="5"/>
      <c r="E750" s="5"/>
      <c r="F750" s="77"/>
      <c r="G750" s="77"/>
      <c r="H750" s="5"/>
      <c r="I750" s="5"/>
      <c r="J750" s="77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x14ac:dyDescent="0.45">
      <c r="A751" s="5"/>
      <c r="B751" s="5"/>
      <c r="C751" s="5"/>
      <c r="D751" s="5"/>
      <c r="E751" s="5"/>
      <c r="F751" s="77"/>
      <c r="G751" s="77"/>
      <c r="H751" s="5"/>
      <c r="I751" s="5"/>
      <c r="J751" s="77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x14ac:dyDescent="0.45">
      <c r="A752" s="5"/>
      <c r="B752" s="5"/>
      <c r="C752" s="5"/>
      <c r="D752" s="5"/>
      <c r="E752" s="5"/>
      <c r="F752" s="77"/>
      <c r="G752" s="77"/>
      <c r="H752" s="5"/>
      <c r="I752" s="5"/>
      <c r="J752" s="77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x14ac:dyDescent="0.45">
      <c r="A753" s="5"/>
      <c r="B753" s="5"/>
      <c r="C753" s="5"/>
      <c r="D753" s="5"/>
      <c r="E753" s="5"/>
      <c r="F753" s="77"/>
      <c r="G753" s="77"/>
      <c r="H753" s="5"/>
      <c r="I753" s="5"/>
      <c r="J753" s="77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x14ac:dyDescent="0.45">
      <c r="A754" s="5"/>
      <c r="B754" s="5"/>
      <c r="C754" s="5"/>
      <c r="D754" s="5"/>
      <c r="E754" s="5"/>
      <c r="F754" s="77"/>
      <c r="G754" s="77"/>
      <c r="H754" s="5"/>
      <c r="I754" s="5"/>
      <c r="J754" s="77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x14ac:dyDescent="0.45">
      <c r="A755" s="5"/>
      <c r="B755" s="5"/>
      <c r="C755" s="5"/>
      <c r="D755" s="5"/>
      <c r="E755" s="5"/>
      <c r="F755" s="77"/>
      <c r="G755" s="77"/>
      <c r="H755" s="5"/>
      <c r="I755" s="5"/>
      <c r="J755" s="77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x14ac:dyDescent="0.45">
      <c r="A756" s="5"/>
      <c r="B756" s="5"/>
      <c r="C756" s="5"/>
      <c r="D756" s="5"/>
      <c r="E756" s="5"/>
      <c r="F756" s="77"/>
      <c r="G756" s="77"/>
      <c r="H756" s="5"/>
      <c r="I756" s="5"/>
      <c r="J756" s="77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x14ac:dyDescent="0.45">
      <c r="A757" s="5"/>
      <c r="B757" s="5"/>
      <c r="C757" s="5"/>
      <c r="D757" s="5"/>
      <c r="E757" s="5"/>
      <c r="F757" s="77"/>
      <c r="G757" s="77"/>
      <c r="H757" s="5"/>
      <c r="I757" s="5"/>
      <c r="J757" s="77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x14ac:dyDescent="0.45">
      <c r="A758" s="5"/>
      <c r="B758" s="5"/>
      <c r="C758" s="5"/>
      <c r="D758" s="5"/>
      <c r="E758" s="5"/>
      <c r="F758" s="77"/>
      <c r="G758" s="77"/>
      <c r="H758" s="5"/>
      <c r="I758" s="5"/>
      <c r="J758" s="77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x14ac:dyDescent="0.45">
      <c r="A759" s="5"/>
      <c r="B759" s="5"/>
      <c r="C759" s="5"/>
      <c r="D759" s="5"/>
      <c r="E759" s="5"/>
      <c r="F759" s="77"/>
      <c r="G759" s="77"/>
      <c r="H759" s="5"/>
      <c r="I759" s="5"/>
      <c r="J759" s="77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x14ac:dyDescent="0.45">
      <c r="A760" s="5"/>
      <c r="B760" s="5"/>
      <c r="C760" s="5"/>
      <c r="D760" s="5"/>
      <c r="E760" s="5"/>
      <c r="F760" s="77"/>
      <c r="G760" s="77"/>
      <c r="H760" s="5"/>
      <c r="I760" s="5"/>
      <c r="J760" s="77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x14ac:dyDescent="0.45">
      <c r="A761" s="5"/>
      <c r="B761" s="5"/>
      <c r="C761" s="5"/>
      <c r="D761" s="5"/>
      <c r="E761" s="5"/>
      <c r="F761" s="77"/>
      <c r="G761" s="77"/>
      <c r="H761" s="5"/>
      <c r="I761" s="5"/>
      <c r="J761" s="77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x14ac:dyDescent="0.45">
      <c r="A762" s="5"/>
      <c r="B762" s="5"/>
      <c r="C762" s="5"/>
      <c r="D762" s="5"/>
      <c r="E762" s="5"/>
      <c r="F762" s="77"/>
      <c r="G762" s="77"/>
      <c r="H762" s="5"/>
      <c r="I762" s="5"/>
      <c r="J762" s="77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x14ac:dyDescent="0.45">
      <c r="A763" s="5"/>
      <c r="B763" s="5"/>
      <c r="C763" s="5"/>
      <c r="D763" s="5"/>
      <c r="E763" s="5"/>
      <c r="F763" s="77"/>
      <c r="G763" s="77"/>
      <c r="H763" s="5"/>
      <c r="I763" s="5"/>
      <c r="J763" s="77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x14ac:dyDescent="0.45">
      <c r="A764" s="5"/>
      <c r="B764" s="5"/>
      <c r="C764" s="5"/>
      <c r="D764" s="5"/>
      <c r="E764" s="5"/>
      <c r="F764" s="77"/>
      <c r="G764" s="77"/>
      <c r="H764" s="5"/>
      <c r="I764" s="5"/>
      <c r="J764" s="77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x14ac:dyDescent="0.45">
      <c r="A765" s="5"/>
      <c r="B765" s="5"/>
      <c r="C765" s="5"/>
      <c r="D765" s="5"/>
      <c r="E765" s="5"/>
      <c r="F765" s="77"/>
      <c r="G765" s="77"/>
      <c r="H765" s="5"/>
      <c r="I765" s="5"/>
      <c r="J765" s="77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x14ac:dyDescent="0.45">
      <c r="A766" s="5"/>
      <c r="B766" s="5"/>
      <c r="C766" s="5"/>
      <c r="D766" s="5"/>
      <c r="E766" s="5"/>
      <c r="F766" s="77"/>
      <c r="G766" s="77"/>
      <c r="H766" s="5"/>
      <c r="I766" s="5"/>
      <c r="J766" s="77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x14ac:dyDescent="0.45">
      <c r="A767" s="5"/>
      <c r="B767" s="5"/>
      <c r="C767" s="5"/>
      <c r="D767" s="5"/>
      <c r="E767" s="5"/>
      <c r="F767" s="77"/>
      <c r="G767" s="77"/>
      <c r="H767" s="5"/>
      <c r="I767" s="5"/>
      <c r="J767" s="77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x14ac:dyDescent="0.45">
      <c r="A768" s="5"/>
      <c r="B768" s="5"/>
      <c r="C768" s="5"/>
      <c r="D768" s="5"/>
      <c r="E768" s="5"/>
      <c r="F768" s="77"/>
      <c r="G768" s="77"/>
      <c r="H768" s="5"/>
      <c r="I768" s="5"/>
      <c r="J768" s="77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x14ac:dyDescent="0.45">
      <c r="A769" s="5"/>
      <c r="B769" s="5"/>
      <c r="C769" s="5"/>
      <c r="D769" s="5"/>
      <c r="E769" s="5"/>
      <c r="F769" s="77"/>
      <c r="G769" s="77"/>
      <c r="H769" s="5"/>
      <c r="I769" s="5"/>
      <c r="J769" s="77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x14ac:dyDescent="0.45">
      <c r="A770" s="5"/>
      <c r="B770" s="5"/>
      <c r="C770" s="5"/>
      <c r="D770" s="5"/>
      <c r="E770" s="5"/>
      <c r="F770" s="77"/>
      <c r="G770" s="77"/>
      <c r="H770" s="5"/>
      <c r="I770" s="5"/>
      <c r="J770" s="77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x14ac:dyDescent="0.45">
      <c r="A771" s="5"/>
      <c r="B771" s="5"/>
      <c r="C771" s="5"/>
      <c r="D771" s="5"/>
      <c r="E771" s="5"/>
      <c r="F771" s="77"/>
      <c r="G771" s="77"/>
      <c r="H771" s="5"/>
      <c r="I771" s="5"/>
      <c r="J771" s="77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x14ac:dyDescent="0.45">
      <c r="A772" s="5"/>
      <c r="B772" s="5"/>
      <c r="C772" s="5"/>
      <c r="D772" s="5"/>
      <c r="E772" s="5"/>
      <c r="F772" s="77"/>
      <c r="G772" s="77"/>
      <c r="H772" s="5"/>
      <c r="I772" s="5"/>
      <c r="J772" s="77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x14ac:dyDescent="0.45">
      <c r="A773" s="5"/>
      <c r="B773" s="5"/>
      <c r="C773" s="5"/>
      <c r="D773" s="5"/>
      <c r="E773" s="5"/>
      <c r="F773" s="77"/>
      <c r="G773" s="77"/>
      <c r="H773" s="5"/>
      <c r="I773" s="5"/>
      <c r="J773" s="77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x14ac:dyDescent="0.45">
      <c r="A774" s="5"/>
      <c r="B774" s="5"/>
      <c r="C774" s="5"/>
      <c r="D774" s="5"/>
      <c r="E774" s="5"/>
      <c r="F774" s="77"/>
      <c r="G774" s="77"/>
      <c r="H774" s="5"/>
      <c r="I774" s="5"/>
      <c r="J774" s="77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x14ac:dyDescent="0.45">
      <c r="A775" s="5"/>
      <c r="B775" s="5"/>
      <c r="C775" s="5"/>
      <c r="D775" s="5"/>
      <c r="E775" s="5"/>
      <c r="F775" s="77"/>
      <c r="G775" s="77"/>
      <c r="H775" s="5"/>
      <c r="I775" s="5"/>
      <c r="J775" s="77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x14ac:dyDescent="0.45">
      <c r="A776" s="5"/>
      <c r="B776" s="5"/>
      <c r="C776" s="5"/>
      <c r="D776" s="5"/>
      <c r="E776" s="5"/>
      <c r="F776" s="77"/>
      <c r="G776" s="77"/>
      <c r="H776" s="5"/>
      <c r="I776" s="5"/>
      <c r="J776" s="77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x14ac:dyDescent="0.45">
      <c r="A777" s="5"/>
      <c r="B777" s="5"/>
      <c r="C777" s="5"/>
      <c r="D777" s="5"/>
      <c r="E777" s="5"/>
      <c r="F777" s="77"/>
      <c r="G777" s="77"/>
      <c r="H777" s="5"/>
      <c r="I777" s="5"/>
      <c r="J777" s="77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x14ac:dyDescent="0.45">
      <c r="A778" s="5"/>
      <c r="B778" s="5"/>
      <c r="C778" s="5"/>
      <c r="D778" s="5"/>
      <c r="E778" s="5"/>
      <c r="F778" s="77"/>
      <c r="G778" s="77"/>
      <c r="H778" s="5"/>
      <c r="I778" s="5"/>
      <c r="J778" s="77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x14ac:dyDescent="0.45">
      <c r="A779" s="5"/>
      <c r="B779" s="5"/>
      <c r="C779" s="5"/>
      <c r="D779" s="5"/>
      <c r="E779" s="5"/>
      <c r="F779" s="77"/>
      <c r="G779" s="77"/>
      <c r="H779" s="5"/>
      <c r="I779" s="5"/>
      <c r="J779" s="77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x14ac:dyDescent="0.45">
      <c r="A780" s="5"/>
      <c r="B780" s="5"/>
      <c r="C780" s="5"/>
      <c r="D780" s="5"/>
      <c r="E780" s="5"/>
      <c r="F780" s="77"/>
      <c r="G780" s="77"/>
      <c r="H780" s="5"/>
      <c r="I780" s="5"/>
      <c r="J780" s="77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x14ac:dyDescent="0.45">
      <c r="A781" s="5"/>
      <c r="B781" s="5"/>
      <c r="C781" s="5"/>
      <c r="D781" s="5"/>
      <c r="E781" s="5"/>
      <c r="F781" s="77"/>
      <c r="G781" s="77"/>
      <c r="H781" s="5"/>
      <c r="I781" s="5"/>
      <c r="J781" s="77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x14ac:dyDescent="0.45">
      <c r="A782" s="5"/>
      <c r="B782" s="5"/>
      <c r="C782" s="5"/>
      <c r="D782" s="5"/>
      <c r="E782" s="5"/>
      <c r="F782" s="77"/>
      <c r="G782" s="77"/>
      <c r="H782" s="5"/>
      <c r="I782" s="5"/>
      <c r="J782" s="77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x14ac:dyDescent="0.45">
      <c r="A783" s="5"/>
      <c r="B783" s="5"/>
      <c r="C783" s="5"/>
      <c r="D783" s="5"/>
      <c r="E783" s="5"/>
      <c r="F783" s="77"/>
      <c r="G783" s="77"/>
      <c r="H783" s="5"/>
      <c r="I783" s="5"/>
      <c r="J783" s="77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x14ac:dyDescent="0.45">
      <c r="A784" s="5"/>
      <c r="B784" s="5"/>
      <c r="C784" s="5"/>
      <c r="D784" s="5"/>
      <c r="E784" s="5"/>
      <c r="F784" s="77"/>
      <c r="G784" s="77"/>
      <c r="H784" s="5"/>
      <c r="I784" s="5"/>
      <c r="J784" s="77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x14ac:dyDescent="0.45">
      <c r="A785" s="5"/>
      <c r="B785" s="5"/>
      <c r="C785" s="5"/>
      <c r="D785" s="5"/>
      <c r="E785" s="5"/>
      <c r="F785" s="77"/>
      <c r="G785" s="77"/>
      <c r="H785" s="5"/>
      <c r="I785" s="5"/>
      <c r="J785" s="77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x14ac:dyDescent="0.45">
      <c r="A786" s="5"/>
      <c r="B786" s="5"/>
      <c r="C786" s="5"/>
      <c r="D786" s="5"/>
      <c r="E786" s="5"/>
      <c r="F786" s="77"/>
      <c r="G786" s="77"/>
      <c r="H786" s="5"/>
      <c r="I786" s="5"/>
      <c r="J786" s="77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x14ac:dyDescent="0.45">
      <c r="A787" s="5"/>
      <c r="B787" s="5"/>
      <c r="C787" s="5"/>
      <c r="D787" s="5"/>
      <c r="E787" s="5"/>
      <c r="F787" s="77"/>
      <c r="G787" s="77"/>
      <c r="H787" s="5"/>
      <c r="I787" s="5"/>
      <c r="J787" s="77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x14ac:dyDescent="0.45">
      <c r="A788" s="5"/>
      <c r="B788" s="5"/>
      <c r="C788" s="5"/>
      <c r="D788" s="5"/>
      <c r="E788" s="5"/>
      <c r="F788" s="77"/>
      <c r="G788" s="77"/>
      <c r="H788" s="5"/>
      <c r="I788" s="5"/>
      <c r="J788" s="77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x14ac:dyDescent="0.45">
      <c r="A789" s="5"/>
      <c r="B789" s="5"/>
      <c r="C789" s="5"/>
      <c r="D789" s="5"/>
      <c r="E789" s="5"/>
      <c r="F789" s="77"/>
      <c r="G789" s="77"/>
      <c r="H789" s="5"/>
      <c r="I789" s="5"/>
      <c r="J789" s="77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x14ac:dyDescent="0.45">
      <c r="A790" s="5"/>
      <c r="B790" s="5"/>
      <c r="C790" s="5"/>
      <c r="D790" s="5"/>
      <c r="E790" s="5"/>
      <c r="F790" s="77"/>
      <c r="G790" s="77"/>
      <c r="H790" s="5"/>
      <c r="I790" s="5"/>
      <c r="J790" s="77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x14ac:dyDescent="0.45">
      <c r="A791" s="5"/>
      <c r="B791" s="5"/>
      <c r="C791" s="5"/>
      <c r="D791" s="5"/>
      <c r="E791" s="5"/>
      <c r="F791" s="77"/>
      <c r="G791" s="77"/>
      <c r="H791" s="5"/>
      <c r="I791" s="5"/>
      <c r="J791" s="77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x14ac:dyDescent="0.45">
      <c r="A792" s="5"/>
      <c r="B792" s="5"/>
      <c r="C792" s="5"/>
      <c r="D792" s="5"/>
      <c r="E792" s="5"/>
      <c r="F792" s="77"/>
      <c r="G792" s="77"/>
      <c r="H792" s="5"/>
      <c r="I792" s="5"/>
      <c r="J792" s="77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x14ac:dyDescent="0.45">
      <c r="A793" s="5"/>
      <c r="B793" s="5"/>
      <c r="C793" s="5"/>
      <c r="D793" s="5"/>
      <c r="E793" s="5"/>
      <c r="F793" s="77"/>
      <c r="G793" s="77"/>
      <c r="H793" s="5"/>
      <c r="I793" s="5"/>
      <c r="J793" s="77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x14ac:dyDescent="0.45">
      <c r="A794" s="5"/>
      <c r="B794" s="5"/>
      <c r="C794" s="5"/>
      <c r="D794" s="5"/>
      <c r="E794" s="5"/>
      <c r="F794" s="77"/>
      <c r="G794" s="77"/>
      <c r="H794" s="5"/>
      <c r="I794" s="5"/>
      <c r="J794" s="77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x14ac:dyDescent="0.45">
      <c r="A795" s="5"/>
      <c r="B795" s="5"/>
      <c r="C795" s="5"/>
      <c r="D795" s="5"/>
      <c r="E795" s="5"/>
      <c r="F795" s="77"/>
      <c r="G795" s="77"/>
      <c r="H795" s="5"/>
      <c r="I795" s="5"/>
      <c r="J795" s="77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x14ac:dyDescent="0.45">
      <c r="A796" s="5"/>
      <c r="B796" s="5"/>
      <c r="C796" s="5"/>
      <c r="D796" s="5"/>
      <c r="E796" s="5"/>
      <c r="F796" s="77"/>
      <c r="G796" s="77"/>
      <c r="H796" s="5"/>
      <c r="I796" s="5"/>
      <c r="J796" s="77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x14ac:dyDescent="0.45">
      <c r="A797" s="5"/>
      <c r="B797" s="5"/>
      <c r="C797" s="5"/>
      <c r="D797" s="5"/>
      <c r="E797" s="5"/>
      <c r="F797" s="77"/>
      <c r="G797" s="77"/>
      <c r="H797" s="5"/>
      <c r="I797" s="5"/>
      <c r="J797" s="77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x14ac:dyDescent="0.45">
      <c r="A798" s="5"/>
      <c r="B798" s="5"/>
      <c r="C798" s="5"/>
      <c r="D798" s="5"/>
      <c r="E798" s="5"/>
      <c r="F798" s="77"/>
      <c r="G798" s="77"/>
      <c r="H798" s="5"/>
      <c r="I798" s="5"/>
      <c r="J798" s="77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x14ac:dyDescent="0.45">
      <c r="A799" s="5"/>
      <c r="B799" s="5"/>
      <c r="C799" s="5"/>
      <c r="D799" s="5"/>
      <c r="E799" s="5"/>
      <c r="F799" s="77"/>
      <c r="G799" s="77"/>
      <c r="H799" s="5"/>
      <c r="I799" s="5"/>
      <c r="J799" s="77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x14ac:dyDescent="0.45">
      <c r="A800" s="5"/>
      <c r="B800" s="5"/>
      <c r="C800" s="5"/>
      <c r="D800" s="5"/>
      <c r="E800" s="5"/>
      <c r="F800" s="77"/>
      <c r="G800" s="77"/>
      <c r="H800" s="5"/>
      <c r="I800" s="5"/>
      <c r="J800" s="77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x14ac:dyDescent="0.45">
      <c r="A801" s="5"/>
      <c r="B801" s="5"/>
      <c r="C801" s="5"/>
      <c r="D801" s="5"/>
      <c r="E801" s="5"/>
      <c r="F801" s="77"/>
      <c r="G801" s="77"/>
      <c r="H801" s="5"/>
      <c r="I801" s="5"/>
      <c r="J801" s="77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x14ac:dyDescent="0.45">
      <c r="A802" s="5"/>
      <c r="B802" s="5"/>
      <c r="C802" s="5"/>
      <c r="D802" s="5"/>
      <c r="E802" s="5"/>
      <c r="F802" s="77"/>
      <c r="G802" s="77"/>
      <c r="H802" s="5"/>
      <c r="I802" s="5"/>
      <c r="J802" s="77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x14ac:dyDescent="0.45">
      <c r="A803" s="5"/>
      <c r="B803" s="5"/>
      <c r="C803" s="5"/>
      <c r="D803" s="5"/>
      <c r="E803" s="5"/>
      <c r="F803" s="77"/>
      <c r="G803" s="77"/>
      <c r="H803" s="5"/>
      <c r="I803" s="5"/>
      <c r="J803" s="77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x14ac:dyDescent="0.45">
      <c r="A804" s="5"/>
      <c r="B804" s="5"/>
      <c r="C804" s="5"/>
      <c r="D804" s="5"/>
      <c r="E804" s="5"/>
      <c r="F804" s="77"/>
      <c r="G804" s="77"/>
      <c r="H804" s="5"/>
      <c r="I804" s="5"/>
      <c r="J804" s="77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x14ac:dyDescent="0.45">
      <c r="A805" s="5"/>
      <c r="B805" s="5"/>
      <c r="C805" s="5"/>
      <c r="D805" s="5"/>
      <c r="E805" s="5"/>
      <c r="F805" s="77"/>
      <c r="G805" s="77"/>
      <c r="H805" s="5"/>
      <c r="I805" s="5"/>
      <c r="J805" s="77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x14ac:dyDescent="0.45">
      <c r="A806" s="5"/>
      <c r="B806" s="5"/>
      <c r="C806" s="5"/>
      <c r="D806" s="5"/>
      <c r="E806" s="5"/>
      <c r="F806" s="77"/>
      <c r="G806" s="77"/>
      <c r="H806" s="5"/>
      <c r="I806" s="5"/>
      <c r="J806" s="77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x14ac:dyDescent="0.45">
      <c r="A807" s="5"/>
      <c r="B807" s="5"/>
      <c r="C807" s="5"/>
      <c r="D807" s="5"/>
      <c r="E807" s="5"/>
      <c r="F807" s="77"/>
      <c r="G807" s="77"/>
      <c r="H807" s="5"/>
      <c r="I807" s="5"/>
      <c r="J807" s="77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x14ac:dyDescent="0.45">
      <c r="A808" s="5"/>
      <c r="B808" s="5"/>
      <c r="C808" s="5"/>
      <c r="D808" s="5"/>
      <c r="E808" s="5"/>
      <c r="F808" s="77"/>
      <c r="G808" s="77"/>
      <c r="H808" s="5"/>
      <c r="I808" s="5"/>
      <c r="J808" s="77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x14ac:dyDescent="0.45">
      <c r="A809" s="5"/>
      <c r="B809" s="5"/>
      <c r="C809" s="5"/>
      <c r="D809" s="5"/>
      <c r="E809" s="5"/>
      <c r="F809" s="77"/>
      <c r="G809" s="77"/>
      <c r="H809" s="5"/>
      <c r="I809" s="5"/>
      <c r="J809" s="77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x14ac:dyDescent="0.45">
      <c r="A810" s="5"/>
      <c r="B810" s="5"/>
      <c r="C810" s="5"/>
      <c r="D810" s="5"/>
      <c r="E810" s="5"/>
      <c r="F810" s="77"/>
      <c r="G810" s="77"/>
      <c r="H810" s="5"/>
      <c r="I810" s="5"/>
      <c r="J810" s="77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x14ac:dyDescent="0.45">
      <c r="A811" s="5"/>
      <c r="B811" s="5"/>
      <c r="C811" s="5"/>
      <c r="D811" s="5"/>
      <c r="E811" s="5"/>
      <c r="F811" s="77"/>
      <c r="G811" s="77"/>
      <c r="H811" s="5"/>
      <c r="I811" s="5"/>
      <c r="J811" s="77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x14ac:dyDescent="0.45">
      <c r="A812" s="5"/>
      <c r="B812" s="5"/>
      <c r="C812" s="5"/>
      <c r="D812" s="5"/>
      <c r="E812" s="5"/>
      <c r="F812" s="77"/>
      <c r="G812" s="77"/>
      <c r="H812" s="5"/>
      <c r="I812" s="5"/>
      <c r="J812" s="77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x14ac:dyDescent="0.45">
      <c r="A813" s="5"/>
      <c r="B813" s="5"/>
      <c r="C813" s="5"/>
      <c r="D813" s="5"/>
      <c r="E813" s="5"/>
      <c r="F813" s="77"/>
      <c r="G813" s="77"/>
      <c r="H813" s="5"/>
      <c r="I813" s="5"/>
      <c r="J813" s="77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x14ac:dyDescent="0.45">
      <c r="A814" s="5"/>
      <c r="B814" s="5"/>
      <c r="C814" s="5"/>
      <c r="D814" s="5"/>
      <c r="E814" s="5"/>
      <c r="F814" s="77"/>
      <c r="G814" s="77"/>
      <c r="H814" s="5"/>
      <c r="I814" s="5"/>
      <c r="J814" s="77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x14ac:dyDescent="0.45">
      <c r="A815" s="5"/>
      <c r="B815" s="5"/>
      <c r="C815" s="5"/>
      <c r="D815" s="5"/>
      <c r="E815" s="5"/>
      <c r="F815" s="77"/>
      <c r="G815" s="77"/>
      <c r="H815" s="5"/>
      <c r="I815" s="5"/>
      <c r="J815" s="77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x14ac:dyDescent="0.45">
      <c r="A816" s="5"/>
      <c r="B816" s="5"/>
      <c r="C816" s="5"/>
      <c r="D816" s="5"/>
      <c r="E816" s="5"/>
      <c r="F816" s="77"/>
      <c r="G816" s="77"/>
      <c r="H816" s="5"/>
      <c r="I816" s="5"/>
      <c r="J816" s="77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x14ac:dyDescent="0.45">
      <c r="A817" s="5"/>
      <c r="B817" s="5"/>
      <c r="C817" s="5"/>
      <c r="D817" s="5"/>
      <c r="E817" s="5"/>
      <c r="F817" s="77"/>
      <c r="G817" s="77"/>
      <c r="H817" s="5"/>
      <c r="I817" s="5"/>
      <c r="J817" s="77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x14ac:dyDescent="0.45">
      <c r="A818" s="5"/>
      <c r="B818" s="5"/>
      <c r="C818" s="5"/>
      <c r="D818" s="5"/>
      <c r="E818" s="5"/>
      <c r="F818" s="77"/>
      <c r="G818" s="77"/>
      <c r="H818" s="5"/>
      <c r="I818" s="5"/>
      <c r="J818" s="77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x14ac:dyDescent="0.45">
      <c r="A819" s="5"/>
      <c r="B819" s="5"/>
      <c r="C819" s="5"/>
      <c r="D819" s="5"/>
      <c r="E819" s="5"/>
      <c r="F819" s="77"/>
      <c r="G819" s="77"/>
      <c r="H819" s="5"/>
      <c r="I819" s="5"/>
      <c r="J819" s="77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x14ac:dyDescent="0.45">
      <c r="A820" s="5"/>
      <c r="B820" s="5"/>
      <c r="C820" s="5"/>
      <c r="D820" s="5"/>
      <c r="E820" s="5"/>
      <c r="F820" s="77"/>
      <c r="G820" s="77"/>
      <c r="H820" s="5"/>
      <c r="I820" s="5"/>
      <c r="J820" s="77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x14ac:dyDescent="0.45">
      <c r="A821" s="5"/>
      <c r="B821" s="5"/>
      <c r="C821" s="5"/>
      <c r="D821" s="5"/>
      <c r="E821" s="5"/>
      <c r="F821" s="77"/>
      <c r="G821" s="77"/>
      <c r="H821" s="5"/>
      <c r="I821" s="5"/>
      <c r="J821" s="77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x14ac:dyDescent="0.45">
      <c r="A822" s="5"/>
      <c r="B822" s="5"/>
      <c r="C822" s="5"/>
      <c r="D822" s="5"/>
      <c r="E822" s="5"/>
      <c r="F822" s="77"/>
      <c r="G822" s="77"/>
      <c r="H822" s="5"/>
      <c r="I822" s="5"/>
      <c r="J822" s="77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x14ac:dyDescent="0.45">
      <c r="A823" s="5"/>
      <c r="B823" s="5"/>
      <c r="C823" s="5"/>
      <c r="D823" s="5"/>
      <c r="E823" s="5"/>
      <c r="F823" s="77"/>
      <c r="G823" s="77"/>
      <c r="H823" s="5"/>
      <c r="I823" s="5"/>
      <c r="J823" s="77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x14ac:dyDescent="0.45">
      <c r="A824" s="5"/>
      <c r="B824" s="5"/>
      <c r="C824" s="5"/>
      <c r="D824" s="5"/>
      <c r="E824" s="5"/>
      <c r="F824" s="77"/>
      <c r="G824" s="77"/>
      <c r="H824" s="5"/>
      <c r="I824" s="5"/>
      <c r="J824" s="77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x14ac:dyDescent="0.45">
      <c r="A825" s="5"/>
      <c r="B825" s="5"/>
      <c r="C825" s="5"/>
      <c r="D825" s="5"/>
      <c r="E825" s="5"/>
      <c r="F825" s="77"/>
      <c r="G825" s="77"/>
      <c r="H825" s="5"/>
      <c r="I825" s="5"/>
      <c r="J825" s="77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x14ac:dyDescent="0.45">
      <c r="A826" s="5"/>
      <c r="B826" s="5"/>
      <c r="C826" s="5"/>
      <c r="D826" s="5"/>
      <c r="E826" s="5"/>
      <c r="F826" s="77"/>
      <c r="G826" s="77"/>
      <c r="H826" s="5"/>
      <c r="I826" s="5"/>
      <c r="J826" s="77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x14ac:dyDescent="0.45">
      <c r="A827" s="5"/>
      <c r="B827" s="5"/>
      <c r="C827" s="5"/>
      <c r="D827" s="5"/>
      <c r="E827" s="5"/>
      <c r="F827" s="77"/>
      <c r="G827" s="77"/>
      <c r="H827" s="5"/>
      <c r="I827" s="5"/>
      <c r="J827" s="77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x14ac:dyDescent="0.45">
      <c r="A828" s="5"/>
      <c r="B828" s="5"/>
      <c r="C828" s="5"/>
      <c r="D828" s="5"/>
      <c r="E828" s="5"/>
      <c r="F828" s="77"/>
      <c r="G828" s="77"/>
      <c r="H828" s="5"/>
      <c r="I828" s="5"/>
      <c r="J828" s="77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x14ac:dyDescent="0.45">
      <c r="A829" s="5"/>
      <c r="B829" s="5"/>
      <c r="C829" s="5"/>
      <c r="D829" s="5"/>
      <c r="E829" s="5"/>
      <c r="F829" s="77"/>
      <c r="G829" s="77"/>
      <c r="H829" s="5"/>
      <c r="I829" s="5"/>
      <c r="J829" s="77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x14ac:dyDescent="0.45">
      <c r="A830" s="5"/>
      <c r="B830" s="5"/>
      <c r="C830" s="5"/>
      <c r="D830" s="5"/>
      <c r="E830" s="5"/>
      <c r="F830" s="77"/>
      <c r="G830" s="77"/>
      <c r="H830" s="5"/>
      <c r="I830" s="5"/>
      <c r="J830" s="77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x14ac:dyDescent="0.45">
      <c r="A831" s="5"/>
      <c r="B831" s="5"/>
      <c r="C831" s="5"/>
      <c r="D831" s="5"/>
      <c r="E831" s="5"/>
      <c r="F831" s="77"/>
      <c r="G831" s="77"/>
      <c r="H831" s="5"/>
      <c r="I831" s="5"/>
      <c r="J831" s="77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x14ac:dyDescent="0.45">
      <c r="A832" s="5"/>
      <c r="B832" s="5"/>
      <c r="C832" s="5"/>
      <c r="D832" s="5"/>
      <c r="E832" s="5"/>
      <c r="F832" s="77"/>
      <c r="G832" s="77"/>
      <c r="H832" s="5"/>
      <c r="I832" s="5"/>
      <c r="J832" s="77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x14ac:dyDescent="0.45">
      <c r="A833" s="5"/>
      <c r="B833" s="5"/>
      <c r="C833" s="5"/>
      <c r="D833" s="5"/>
      <c r="E833" s="5"/>
      <c r="F833" s="77"/>
      <c r="G833" s="77"/>
      <c r="H833" s="5"/>
      <c r="I833" s="5"/>
      <c r="J833" s="77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x14ac:dyDescent="0.45">
      <c r="A834" s="5"/>
      <c r="B834" s="5"/>
      <c r="C834" s="5"/>
      <c r="D834" s="5"/>
      <c r="E834" s="5"/>
      <c r="F834" s="77"/>
      <c r="G834" s="77"/>
      <c r="H834" s="5"/>
      <c r="I834" s="5"/>
      <c r="J834" s="77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x14ac:dyDescent="0.45">
      <c r="A835" s="5"/>
      <c r="B835" s="5"/>
      <c r="C835" s="5"/>
      <c r="D835" s="5"/>
      <c r="E835" s="5"/>
      <c r="F835" s="77"/>
      <c r="G835" s="77"/>
      <c r="H835" s="5"/>
      <c r="I835" s="5"/>
      <c r="J835" s="77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x14ac:dyDescent="0.45">
      <c r="A836" s="5"/>
      <c r="B836" s="5"/>
      <c r="C836" s="5"/>
      <c r="D836" s="5"/>
      <c r="E836" s="5"/>
      <c r="F836" s="77"/>
      <c r="G836" s="77"/>
      <c r="H836" s="5"/>
      <c r="I836" s="5"/>
      <c r="J836" s="77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x14ac:dyDescent="0.45">
      <c r="A837" s="5"/>
      <c r="B837" s="5"/>
      <c r="C837" s="5"/>
      <c r="D837" s="5"/>
      <c r="E837" s="5"/>
      <c r="F837" s="77"/>
      <c r="G837" s="77"/>
      <c r="H837" s="5"/>
      <c r="I837" s="5"/>
      <c r="J837" s="77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x14ac:dyDescent="0.45">
      <c r="A838" s="5"/>
      <c r="B838" s="5"/>
      <c r="C838" s="5"/>
      <c r="D838" s="5"/>
      <c r="E838" s="5"/>
      <c r="F838" s="77"/>
      <c r="G838" s="77"/>
      <c r="H838" s="5"/>
      <c r="I838" s="5"/>
      <c r="J838" s="77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x14ac:dyDescent="0.45">
      <c r="A839" s="5"/>
      <c r="B839" s="5"/>
      <c r="C839" s="5"/>
      <c r="D839" s="5"/>
      <c r="E839" s="5"/>
      <c r="F839" s="77"/>
      <c r="G839" s="77"/>
      <c r="H839" s="5"/>
      <c r="I839" s="5"/>
      <c r="J839" s="77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x14ac:dyDescent="0.45">
      <c r="A840" s="5"/>
      <c r="B840" s="5"/>
      <c r="C840" s="5"/>
      <c r="D840" s="5"/>
      <c r="E840" s="5"/>
      <c r="F840" s="77"/>
      <c r="G840" s="77"/>
      <c r="H840" s="5"/>
      <c r="I840" s="5"/>
      <c r="J840" s="77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x14ac:dyDescent="0.45">
      <c r="A841" s="5"/>
      <c r="B841" s="5"/>
      <c r="C841" s="5"/>
      <c r="D841" s="5"/>
      <c r="E841" s="5"/>
      <c r="F841" s="77"/>
      <c r="G841" s="77"/>
      <c r="H841" s="5"/>
      <c r="I841" s="5"/>
      <c r="J841" s="77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x14ac:dyDescent="0.45">
      <c r="A842" s="5"/>
      <c r="B842" s="5"/>
      <c r="C842" s="5"/>
      <c r="D842" s="5"/>
      <c r="E842" s="5"/>
      <c r="F842" s="77"/>
      <c r="G842" s="77"/>
      <c r="H842" s="5"/>
      <c r="I842" s="5"/>
      <c r="J842" s="77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x14ac:dyDescent="0.45">
      <c r="A843" s="5"/>
      <c r="B843" s="5"/>
      <c r="C843" s="5"/>
      <c r="D843" s="5"/>
      <c r="E843" s="5"/>
      <c r="F843" s="77"/>
      <c r="G843" s="77"/>
      <c r="H843" s="5"/>
      <c r="I843" s="5"/>
      <c r="J843" s="77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x14ac:dyDescent="0.45">
      <c r="A844" s="5"/>
      <c r="B844" s="5"/>
      <c r="C844" s="5"/>
      <c r="D844" s="5"/>
      <c r="E844" s="5"/>
      <c r="F844" s="77"/>
      <c r="G844" s="77"/>
      <c r="H844" s="5"/>
      <c r="I844" s="5"/>
      <c r="J844" s="77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x14ac:dyDescent="0.45">
      <c r="A845" s="5"/>
      <c r="B845" s="5"/>
      <c r="C845" s="5"/>
      <c r="D845" s="5"/>
      <c r="E845" s="5"/>
      <c r="F845" s="77"/>
      <c r="G845" s="77"/>
      <c r="H845" s="5"/>
      <c r="I845" s="5"/>
      <c r="J845" s="77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x14ac:dyDescent="0.45">
      <c r="A846" s="5"/>
      <c r="B846" s="5"/>
      <c r="C846" s="5"/>
      <c r="D846" s="5"/>
      <c r="E846" s="5"/>
      <c r="F846" s="77"/>
      <c r="G846" s="77"/>
      <c r="H846" s="5"/>
      <c r="I846" s="5"/>
      <c r="J846" s="77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x14ac:dyDescent="0.45">
      <c r="A847" s="5"/>
      <c r="B847" s="5"/>
      <c r="C847" s="5"/>
      <c r="D847" s="5"/>
      <c r="E847" s="5"/>
      <c r="F847" s="77"/>
      <c r="G847" s="77"/>
      <c r="H847" s="5"/>
      <c r="I847" s="5"/>
      <c r="J847" s="77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x14ac:dyDescent="0.45">
      <c r="A848" s="5"/>
      <c r="B848" s="5"/>
      <c r="C848" s="5"/>
      <c r="D848" s="5"/>
      <c r="E848" s="5"/>
      <c r="F848" s="77"/>
      <c r="G848" s="77"/>
      <c r="H848" s="5"/>
      <c r="I848" s="5"/>
      <c r="J848" s="77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x14ac:dyDescent="0.45">
      <c r="A849" s="5"/>
      <c r="B849" s="5"/>
      <c r="C849" s="5"/>
      <c r="D849" s="5"/>
      <c r="E849" s="5"/>
      <c r="F849" s="77"/>
      <c r="G849" s="77"/>
      <c r="H849" s="5"/>
      <c r="I849" s="5"/>
      <c r="J849" s="77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x14ac:dyDescent="0.45">
      <c r="A850" s="5"/>
      <c r="B850" s="5"/>
      <c r="C850" s="5"/>
      <c r="D850" s="5"/>
      <c r="E850" s="5"/>
      <c r="F850" s="77"/>
      <c r="G850" s="77"/>
      <c r="H850" s="5"/>
      <c r="I850" s="5"/>
      <c r="J850" s="77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x14ac:dyDescent="0.45">
      <c r="A851" s="5"/>
      <c r="B851" s="5"/>
      <c r="C851" s="5"/>
      <c r="D851" s="5"/>
      <c r="E851" s="5"/>
      <c r="F851" s="77"/>
      <c r="G851" s="77"/>
      <c r="H851" s="5"/>
      <c r="I851" s="5"/>
      <c r="J851" s="77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x14ac:dyDescent="0.45">
      <c r="A852" s="5"/>
      <c r="B852" s="5"/>
      <c r="C852" s="5"/>
      <c r="D852" s="5"/>
      <c r="E852" s="5"/>
      <c r="F852" s="77"/>
      <c r="G852" s="77"/>
      <c r="H852" s="5"/>
      <c r="I852" s="5"/>
      <c r="J852" s="77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x14ac:dyDescent="0.45">
      <c r="A853" s="5"/>
      <c r="B853" s="5"/>
      <c r="C853" s="5"/>
      <c r="D853" s="5"/>
      <c r="E853" s="5"/>
      <c r="F853" s="77"/>
      <c r="G853" s="77"/>
      <c r="H853" s="5"/>
      <c r="I853" s="5"/>
      <c r="J853" s="77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x14ac:dyDescent="0.45">
      <c r="A854" s="5"/>
      <c r="B854" s="5"/>
      <c r="C854" s="5"/>
      <c r="D854" s="5"/>
      <c r="E854" s="5"/>
      <c r="F854" s="77"/>
      <c r="G854" s="77"/>
      <c r="H854" s="5"/>
      <c r="I854" s="5"/>
      <c r="J854" s="77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x14ac:dyDescent="0.45">
      <c r="A855" s="5"/>
      <c r="B855" s="5"/>
      <c r="C855" s="5"/>
      <c r="D855" s="5"/>
      <c r="E855" s="5"/>
      <c r="F855" s="77"/>
      <c r="G855" s="77"/>
      <c r="H855" s="5"/>
      <c r="I855" s="5"/>
      <c r="J855" s="77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x14ac:dyDescent="0.45">
      <c r="A856" s="5"/>
      <c r="B856" s="5"/>
      <c r="C856" s="5"/>
      <c r="D856" s="5"/>
      <c r="E856" s="5"/>
      <c r="F856" s="77"/>
      <c r="G856" s="77"/>
      <c r="H856" s="5"/>
      <c r="I856" s="5"/>
      <c r="J856" s="77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x14ac:dyDescent="0.45">
      <c r="A857" s="5"/>
      <c r="B857" s="5"/>
      <c r="C857" s="5"/>
      <c r="D857" s="5"/>
      <c r="E857" s="5"/>
      <c r="F857" s="77"/>
      <c r="G857" s="77"/>
      <c r="H857" s="5"/>
      <c r="I857" s="5"/>
      <c r="J857" s="77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x14ac:dyDescent="0.45">
      <c r="A858" s="5"/>
      <c r="B858" s="5"/>
      <c r="C858" s="5"/>
      <c r="D858" s="5"/>
      <c r="E858" s="5"/>
      <c r="F858" s="77"/>
      <c r="G858" s="77"/>
      <c r="H858" s="5"/>
      <c r="I858" s="5"/>
      <c r="J858" s="77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x14ac:dyDescent="0.45">
      <c r="A859" s="5"/>
      <c r="B859" s="5"/>
      <c r="C859" s="5"/>
      <c r="D859" s="5"/>
      <c r="E859" s="5"/>
      <c r="F859" s="77"/>
      <c r="G859" s="77"/>
      <c r="H859" s="5"/>
      <c r="I859" s="5"/>
      <c r="J859" s="77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x14ac:dyDescent="0.45">
      <c r="A860" s="5"/>
      <c r="B860" s="5"/>
      <c r="C860" s="5"/>
      <c r="D860" s="5"/>
      <c r="E860" s="5"/>
      <c r="F860" s="77"/>
      <c r="G860" s="77"/>
      <c r="H860" s="5"/>
      <c r="I860" s="5"/>
      <c r="J860" s="77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x14ac:dyDescent="0.45">
      <c r="A861" s="5"/>
      <c r="B861" s="5"/>
      <c r="C861" s="5"/>
      <c r="D861" s="5"/>
      <c r="E861" s="5"/>
      <c r="F861" s="77"/>
      <c r="G861" s="77"/>
      <c r="H861" s="5"/>
      <c r="I861" s="5"/>
      <c r="J861" s="77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x14ac:dyDescent="0.45">
      <c r="A862" s="5"/>
      <c r="B862" s="5"/>
      <c r="C862" s="5"/>
      <c r="D862" s="5"/>
      <c r="E862" s="5"/>
      <c r="F862" s="77"/>
      <c r="G862" s="77"/>
      <c r="H862" s="5"/>
      <c r="I862" s="5"/>
      <c r="J862" s="77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x14ac:dyDescent="0.45">
      <c r="A863" s="5"/>
      <c r="B863" s="5"/>
      <c r="C863" s="5"/>
      <c r="D863" s="5"/>
      <c r="E863" s="5"/>
      <c r="F863" s="77"/>
      <c r="G863" s="77"/>
      <c r="H863" s="5"/>
      <c r="I863" s="5"/>
      <c r="J863" s="77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x14ac:dyDescent="0.45">
      <c r="A864" s="5"/>
      <c r="B864" s="5"/>
      <c r="C864" s="5"/>
      <c r="D864" s="5"/>
      <c r="E864" s="5"/>
      <c r="F864" s="77"/>
      <c r="G864" s="77"/>
      <c r="H864" s="5"/>
      <c r="I864" s="5"/>
      <c r="J864" s="77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x14ac:dyDescent="0.45">
      <c r="A865" s="5"/>
      <c r="B865" s="5"/>
      <c r="C865" s="5"/>
      <c r="D865" s="5"/>
      <c r="E865" s="5"/>
      <c r="F865" s="77"/>
      <c r="G865" s="77"/>
      <c r="H865" s="5"/>
      <c r="I865" s="5"/>
      <c r="J865" s="77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x14ac:dyDescent="0.45">
      <c r="A866" s="5"/>
      <c r="B866" s="5"/>
      <c r="C866" s="5"/>
      <c r="D866" s="5"/>
      <c r="E866" s="5"/>
      <c r="F866" s="77"/>
      <c r="G866" s="77"/>
      <c r="H866" s="5"/>
      <c r="I866" s="5"/>
      <c r="J866" s="77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x14ac:dyDescent="0.45">
      <c r="A867" s="5"/>
      <c r="B867" s="5"/>
      <c r="C867" s="5"/>
      <c r="D867" s="5"/>
      <c r="E867" s="5"/>
      <c r="F867" s="77"/>
      <c r="G867" s="77"/>
      <c r="H867" s="5"/>
      <c r="I867" s="5"/>
      <c r="J867" s="77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x14ac:dyDescent="0.45">
      <c r="A868" s="5"/>
      <c r="B868" s="5"/>
      <c r="C868" s="5"/>
      <c r="D868" s="5"/>
      <c r="E868" s="5"/>
      <c r="F868" s="77"/>
      <c r="G868" s="77"/>
      <c r="H868" s="5"/>
      <c r="I868" s="5"/>
      <c r="J868" s="77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x14ac:dyDescent="0.45">
      <c r="A869" s="5"/>
      <c r="B869" s="5"/>
      <c r="C869" s="5"/>
      <c r="D869" s="5"/>
      <c r="E869" s="5"/>
      <c r="F869" s="77"/>
      <c r="G869" s="77"/>
      <c r="H869" s="5"/>
      <c r="I869" s="5"/>
      <c r="J869" s="77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x14ac:dyDescent="0.45">
      <c r="A870" s="5"/>
      <c r="B870" s="5"/>
      <c r="C870" s="5"/>
      <c r="D870" s="5"/>
      <c r="E870" s="5"/>
      <c r="F870" s="77"/>
      <c r="G870" s="77"/>
      <c r="H870" s="5"/>
      <c r="I870" s="5"/>
      <c r="J870" s="77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x14ac:dyDescent="0.45">
      <c r="A871" s="5"/>
      <c r="B871" s="5"/>
      <c r="C871" s="5"/>
      <c r="D871" s="5"/>
      <c r="E871" s="5"/>
      <c r="F871" s="77"/>
      <c r="G871" s="77"/>
      <c r="H871" s="5"/>
      <c r="I871" s="5"/>
      <c r="J871" s="77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x14ac:dyDescent="0.45">
      <c r="A872" s="5"/>
      <c r="B872" s="5"/>
      <c r="C872" s="5"/>
      <c r="D872" s="5"/>
      <c r="E872" s="5"/>
      <c r="F872" s="77"/>
      <c r="G872" s="77"/>
      <c r="H872" s="5"/>
      <c r="I872" s="5"/>
      <c r="J872" s="77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x14ac:dyDescent="0.45">
      <c r="A873" s="5"/>
      <c r="B873" s="5"/>
      <c r="C873" s="5"/>
      <c r="D873" s="5"/>
      <c r="E873" s="5"/>
      <c r="F873" s="77"/>
      <c r="G873" s="77"/>
      <c r="H873" s="5"/>
      <c r="I873" s="5"/>
      <c r="J873" s="77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x14ac:dyDescent="0.45">
      <c r="A874" s="5"/>
      <c r="B874" s="5"/>
      <c r="C874" s="5"/>
      <c r="D874" s="5"/>
      <c r="E874" s="5"/>
      <c r="F874" s="77"/>
      <c r="G874" s="77"/>
      <c r="H874" s="5"/>
      <c r="I874" s="5"/>
      <c r="J874" s="77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x14ac:dyDescent="0.45">
      <c r="A875" s="5"/>
      <c r="B875" s="5"/>
      <c r="C875" s="5"/>
      <c r="D875" s="5"/>
      <c r="E875" s="5"/>
      <c r="F875" s="77"/>
      <c r="G875" s="77"/>
      <c r="H875" s="5"/>
      <c r="I875" s="5"/>
      <c r="J875" s="77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x14ac:dyDescent="0.45">
      <c r="A876" s="5"/>
      <c r="B876" s="5"/>
      <c r="C876" s="5"/>
      <c r="D876" s="5"/>
      <c r="E876" s="5"/>
      <c r="F876" s="77"/>
      <c r="G876" s="77"/>
      <c r="H876" s="5"/>
      <c r="I876" s="5"/>
      <c r="J876" s="77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x14ac:dyDescent="0.45">
      <c r="A877" s="5"/>
      <c r="B877" s="5"/>
      <c r="C877" s="5"/>
      <c r="D877" s="5"/>
      <c r="E877" s="5"/>
      <c r="F877" s="77"/>
      <c r="G877" s="77"/>
      <c r="H877" s="5"/>
      <c r="I877" s="5"/>
      <c r="J877" s="77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x14ac:dyDescent="0.45">
      <c r="A878" s="5"/>
      <c r="B878" s="5"/>
      <c r="C878" s="5"/>
      <c r="D878" s="5"/>
      <c r="E878" s="5"/>
      <c r="F878" s="77"/>
      <c r="G878" s="77"/>
      <c r="H878" s="5"/>
      <c r="I878" s="5"/>
      <c r="J878" s="77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x14ac:dyDescent="0.45">
      <c r="A879" s="5"/>
      <c r="B879" s="5"/>
      <c r="C879" s="5"/>
      <c r="D879" s="5"/>
      <c r="E879" s="5"/>
      <c r="F879" s="77"/>
      <c r="G879" s="77"/>
      <c r="H879" s="5"/>
      <c r="I879" s="5"/>
      <c r="J879" s="77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x14ac:dyDescent="0.45">
      <c r="A880" s="5"/>
      <c r="B880" s="5"/>
      <c r="C880" s="5"/>
      <c r="D880" s="5"/>
      <c r="E880" s="5"/>
      <c r="F880" s="77"/>
      <c r="G880" s="77"/>
      <c r="H880" s="5"/>
      <c r="I880" s="5"/>
      <c r="J880" s="77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x14ac:dyDescent="0.45">
      <c r="A881" s="5"/>
      <c r="B881" s="5"/>
      <c r="C881" s="5"/>
      <c r="D881" s="5"/>
      <c r="E881" s="5"/>
      <c r="F881" s="77"/>
      <c r="G881" s="77"/>
      <c r="H881" s="5"/>
      <c r="I881" s="5"/>
      <c r="J881" s="77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x14ac:dyDescent="0.45">
      <c r="A882" s="5"/>
      <c r="B882" s="5"/>
      <c r="C882" s="5"/>
      <c r="D882" s="5"/>
      <c r="E882" s="5"/>
      <c r="F882" s="77"/>
      <c r="G882" s="77"/>
      <c r="H882" s="5"/>
      <c r="I882" s="5"/>
      <c r="J882" s="77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x14ac:dyDescent="0.45">
      <c r="A883" s="5"/>
      <c r="B883" s="5"/>
      <c r="C883" s="5"/>
      <c r="D883" s="5"/>
      <c r="E883" s="5"/>
      <c r="F883" s="77"/>
      <c r="G883" s="77"/>
      <c r="H883" s="5"/>
      <c r="I883" s="5"/>
      <c r="J883" s="77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x14ac:dyDescent="0.45">
      <c r="A884" s="5"/>
      <c r="B884" s="5"/>
      <c r="C884" s="5"/>
      <c r="D884" s="5"/>
      <c r="E884" s="5"/>
      <c r="F884" s="77"/>
      <c r="G884" s="77"/>
      <c r="H884" s="5"/>
      <c r="I884" s="5"/>
      <c r="J884" s="77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x14ac:dyDescent="0.45">
      <c r="A885" s="5"/>
      <c r="B885" s="5"/>
      <c r="C885" s="5"/>
      <c r="D885" s="5"/>
      <c r="E885" s="5"/>
      <c r="F885" s="77"/>
      <c r="G885" s="77"/>
      <c r="H885" s="5"/>
      <c r="I885" s="5"/>
      <c r="J885" s="77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x14ac:dyDescent="0.45">
      <c r="A886" s="5"/>
      <c r="B886" s="5"/>
      <c r="C886" s="5"/>
      <c r="D886" s="5"/>
      <c r="E886" s="5"/>
      <c r="F886" s="77"/>
      <c r="G886" s="77"/>
      <c r="H886" s="5"/>
      <c r="I886" s="5"/>
      <c r="J886" s="77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x14ac:dyDescent="0.45">
      <c r="A887" s="5"/>
      <c r="B887" s="5"/>
      <c r="C887" s="5"/>
      <c r="D887" s="5"/>
      <c r="E887" s="5"/>
      <c r="F887" s="77"/>
      <c r="G887" s="77"/>
      <c r="H887" s="5"/>
      <c r="I887" s="5"/>
      <c r="J887" s="77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x14ac:dyDescent="0.45">
      <c r="A888" s="5"/>
      <c r="B888" s="5"/>
      <c r="C888" s="5"/>
      <c r="D888" s="5"/>
      <c r="E888" s="5"/>
      <c r="F888" s="77"/>
      <c r="G888" s="77"/>
      <c r="H888" s="5"/>
      <c r="I888" s="5"/>
      <c r="J888" s="77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x14ac:dyDescent="0.45">
      <c r="A889" s="5"/>
      <c r="B889" s="5"/>
      <c r="C889" s="5"/>
      <c r="D889" s="5"/>
      <c r="E889" s="5"/>
      <c r="F889" s="77"/>
      <c r="G889" s="77"/>
      <c r="H889" s="5"/>
      <c r="I889" s="5"/>
      <c r="J889" s="77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x14ac:dyDescent="0.45">
      <c r="A890" s="5"/>
      <c r="B890" s="5"/>
      <c r="C890" s="5"/>
      <c r="D890" s="5"/>
      <c r="E890" s="5"/>
      <c r="F890" s="77"/>
      <c r="G890" s="77"/>
      <c r="H890" s="5"/>
      <c r="I890" s="5"/>
      <c r="J890" s="77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x14ac:dyDescent="0.45">
      <c r="A891" s="5"/>
      <c r="B891" s="5"/>
      <c r="C891" s="5"/>
      <c r="D891" s="5"/>
      <c r="E891" s="5"/>
      <c r="F891" s="77"/>
      <c r="G891" s="77"/>
      <c r="H891" s="5"/>
      <c r="I891" s="5"/>
      <c r="J891" s="77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x14ac:dyDescent="0.45">
      <c r="A892" s="5"/>
      <c r="B892" s="5"/>
      <c r="C892" s="5"/>
      <c r="D892" s="5"/>
      <c r="E892" s="5"/>
      <c r="F892" s="77"/>
      <c r="G892" s="77"/>
      <c r="H892" s="5"/>
      <c r="I892" s="5"/>
      <c r="J892" s="77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x14ac:dyDescent="0.45">
      <c r="A893" s="5"/>
      <c r="B893" s="5"/>
      <c r="C893" s="5"/>
      <c r="D893" s="5"/>
      <c r="E893" s="5"/>
      <c r="F893" s="77"/>
      <c r="G893" s="77"/>
      <c r="H893" s="5"/>
      <c r="I893" s="5"/>
      <c r="J893" s="77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x14ac:dyDescent="0.45">
      <c r="A894" s="5"/>
      <c r="B894" s="5"/>
      <c r="C894" s="5"/>
      <c r="D894" s="5"/>
      <c r="E894" s="5"/>
      <c r="F894" s="77"/>
      <c r="G894" s="77"/>
      <c r="H894" s="5"/>
      <c r="I894" s="5"/>
      <c r="J894" s="77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x14ac:dyDescent="0.45">
      <c r="A895" s="5"/>
      <c r="B895" s="5"/>
      <c r="C895" s="5"/>
      <c r="D895" s="5"/>
      <c r="E895" s="5"/>
      <c r="F895" s="77"/>
      <c r="G895" s="77"/>
      <c r="H895" s="5"/>
      <c r="I895" s="5"/>
      <c r="J895" s="77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x14ac:dyDescent="0.45">
      <c r="A896" s="5"/>
      <c r="B896" s="5"/>
      <c r="C896" s="5"/>
      <c r="D896" s="5"/>
      <c r="E896" s="5"/>
      <c r="F896" s="77"/>
      <c r="G896" s="77"/>
      <c r="H896" s="5"/>
      <c r="I896" s="5"/>
      <c r="J896" s="77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x14ac:dyDescent="0.45">
      <c r="A897" s="5"/>
      <c r="B897" s="5"/>
      <c r="C897" s="5"/>
      <c r="D897" s="5"/>
      <c r="E897" s="5"/>
      <c r="F897" s="77"/>
      <c r="G897" s="77"/>
      <c r="H897" s="5"/>
      <c r="I897" s="5"/>
      <c r="J897" s="77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x14ac:dyDescent="0.45">
      <c r="A898" s="5"/>
      <c r="B898" s="5"/>
      <c r="C898" s="5"/>
      <c r="D898" s="5"/>
      <c r="E898" s="5"/>
      <c r="F898" s="77"/>
      <c r="G898" s="77"/>
      <c r="H898" s="5"/>
      <c r="I898" s="5"/>
      <c r="J898" s="77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x14ac:dyDescent="0.45">
      <c r="A899" s="5"/>
      <c r="B899" s="5"/>
      <c r="C899" s="5"/>
      <c r="D899" s="5"/>
      <c r="E899" s="5"/>
      <c r="F899" s="77"/>
      <c r="G899" s="77"/>
      <c r="H899" s="5"/>
      <c r="I899" s="5"/>
      <c r="J899" s="77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x14ac:dyDescent="0.45">
      <c r="A900" s="5"/>
      <c r="B900" s="5"/>
      <c r="C900" s="5"/>
      <c r="D900" s="5"/>
      <c r="E900" s="5"/>
      <c r="F900" s="77"/>
      <c r="G900" s="77"/>
      <c r="H900" s="5"/>
      <c r="I900" s="5"/>
      <c r="J900" s="77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x14ac:dyDescent="0.45">
      <c r="A901" s="5"/>
      <c r="B901" s="5"/>
      <c r="C901" s="5"/>
      <c r="D901" s="5"/>
      <c r="E901" s="5"/>
      <c r="F901" s="77"/>
      <c r="G901" s="77"/>
      <c r="H901" s="5"/>
      <c r="I901" s="5"/>
      <c r="J901" s="77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x14ac:dyDescent="0.45">
      <c r="A902" s="5"/>
      <c r="B902" s="5"/>
      <c r="C902" s="5"/>
      <c r="D902" s="5"/>
      <c r="E902" s="5"/>
      <c r="F902" s="77"/>
      <c r="G902" s="77"/>
      <c r="H902" s="5"/>
      <c r="I902" s="5"/>
      <c r="J902" s="77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x14ac:dyDescent="0.45">
      <c r="A903" s="5"/>
      <c r="B903" s="5"/>
      <c r="C903" s="5"/>
      <c r="D903" s="5"/>
      <c r="E903" s="5"/>
      <c r="F903" s="77"/>
      <c r="G903" s="77"/>
      <c r="H903" s="5"/>
      <c r="I903" s="5"/>
      <c r="J903" s="77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x14ac:dyDescent="0.45">
      <c r="A904" s="5"/>
      <c r="B904" s="5"/>
      <c r="C904" s="5"/>
      <c r="D904" s="5"/>
      <c r="E904" s="5"/>
      <c r="F904" s="77"/>
      <c r="G904" s="77"/>
      <c r="H904" s="5"/>
      <c r="I904" s="5"/>
      <c r="J904" s="77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x14ac:dyDescent="0.45">
      <c r="A905" s="5"/>
      <c r="B905" s="5"/>
      <c r="C905" s="5"/>
      <c r="D905" s="5"/>
      <c r="E905" s="5"/>
      <c r="F905" s="77"/>
      <c r="G905" s="77"/>
      <c r="H905" s="5"/>
      <c r="I905" s="5"/>
      <c r="J905" s="77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x14ac:dyDescent="0.45">
      <c r="A906" s="5"/>
      <c r="B906" s="5"/>
      <c r="C906" s="5"/>
      <c r="D906" s="5"/>
      <c r="E906" s="5"/>
      <c r="F906" s="77"/>
      <c r="G906" s="77"/>
      <c r="H906" s="5"/>
      <c r="I906" s="5"/>
      <c r="J906" s="77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x14ac:dyDescent="0.45">
      <c r="A907" s="5"/>
      <c r="B907" s="5"/>
      <c r="C907" s="5"/>
      <c r="D907" s="5"/>
      <c r="E907" s="5"/>
      <c r="F907" s="77"/>
      <c r="G907" s="77"/>
      <c r="H907" s="5"/>
      <c r="I907" s="5"/>
      <c r="J907" s="77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x14ac:dyDescent="0.45">
      <c r="A908" s="5"/>
      <c r="B908" s="5"/>
      <c r="C908" s="5"/>
      <c r="D908" s="5"/>
      <c r="E908" s="5"/>
      <c r="F908" s="77"/>
      <c r="G908" s="77"/>
      <c r="H908" s="5"/>
      <c r="I908" s="5"/>
      <c r="J908" s="77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x14ac:dyDescent="0.45">
      <c r="A909" s="5"/>
      <c r="B909" s="5"/>
      <c r="C909" s="5"/>
      <c r="D909" s="5"/>
      <c r="E909" s="5"/>
      <c r="F909" s="77"/>
      <c r="G909" s="77"/>
      <c r="H909" s="5"/>
      <c r="I909" s="5"/>
      <c r="J909" s="77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x14ac:dyDescent="0.45">
      <c r="A910" s="5"/>
      <c r="B910" s="5"/>
      <c r="C910" s="5"/>
      <c r="D910" s="5"/>
      <c r="E910" s="5"/>
      <c r="F910" s="77"/>
      <c r="G910" s="77"/>
      <c r="H910" s="5"/>
      <c r="I910" s="5"/>
      <c r="J910" s="77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x14ac:dyDescent="0.45">
      <c r="A911" s="5"/>
      <c r="B911" s="5"/>
      <c r="C911" s="5"/>
      <c r="D911" s="5"/>
      <c r="E911" s="5"/>
      <c r="F911" s="77"/>
      <c r="G911" s="77"/>
      <c r="H911" s="5"/>
      <c r="I911" s="5"/>
      <c r="J911" s="77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x14ac:dyDescent="0.45">
      <c r="A912" s="5"/>
      <c r="B912" s="5"/>
      <c r="C912" s="5"/>
      <c r="D912" s="5"/>
      <c r="E912" s="5"/>
      <c r="F912" s="77"/>
      <c r="G912" s="77"/>
      <c r="H912" s="5"/>
      <c r="I912" s="5"/>
      <c r="J912" s="77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x14ac:dyDescent="0.45">
      <c r="A913" s="5"/>
      <c r="B913" s="5"/>
      <c r="C913" s="5"/>
      <c r="D913" s="5"/>
      <c r="E913" s="5"/>
      <c r="F913" s="77"/>
      <c r="G913" s="77"/>
      <c r="H913" s="5"/>
      <c r="I913" s="5"/>
      <c r="J913" s="77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x14ac:dyDescent="0.45">
      <c r="A914" s="5"/>
      <c r="B914" s="5"/>
      <c r="C914" s="5"/>
      <c r="D914" s="5"/>
      <c r="E914" s="5"/>
      <c r="F914" s="77"/>
      <c r="G914" s="77"/>
      <c r="H914" s="5"/>
      <c r="I914" s="5"/>
      <c r="J914" s="77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x14ac:dyDescent="0.45">
      <c r="A915" s="5"/>
      <c r="B915" s="5"/>
      <c r="C915" s="5"/>
      <c r="D915" s="5"/>
      <c r="E915" s="5"/>
      <c r="F915" s="77"/>
      <c r="G915" s="77"/>
      <c r="H915" s="5"/>
      <c r="I915" s="5"/>
      <c r="J915" s="77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x14ac:dyDescent="0.45">
      <c r="A916" s="5"/>
      <c r="B916" s="5"/>
      <c r="C916" s="5"/>
      <c r="D916" s="5"/>
      <c r="E916" s="5"/>
      <c r="F916" s="77"/>
      <c r="G916" s="77"/>
      <c r="H916" s="5"/>
      <c r="I916" s="5"/>
      <c r="J916" s="77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x14ac:dyDescent="0.45">
      <c r="A917" s="5"/>
      <c r="B917" s="5"/>
      <c r="C917" s="5"/>
      <c r="D917" s="5"/>
      <c r="E917" s="5"/>
      <c r="F917" s="77"/>
      <c r="G917" s="77"/>
      <c r="H917" s="5"/>
      <c r="I917" s="5"/>
      <c r="J917" s="77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x14ac:dyDescent="0.45">
      <c r="A918" s="5"/>
      <c r="B918" s="5"/>
      <c r="C918" s="5"/>
      <c r="D918" s="5"/>
      <c r="E918" s="5"/>
      <c r="F918" s="77"/>
      <c r="G918" s="77"/>
      <c r="H918" s="5"/>
      <c r="I918" s="5"/>
      <c r="J918" s="77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x14ac:dyDescent="0.45">
      <c r="A919" s="5"/>
      <c r="B919" s="5"/>
      <c r="C919" s="5"/>
      <c r="D919" s="5"/>
      <c r="E919" s="5"/>
      <c r="F919" s="77"/>
      <c r="G919" s="77"/>
      <c r="H919" s="5"/>
      <c r="I919" s="5"/>
      <c r="J919" s="77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x14ac:dyDescent="0.45">
      <c r="A920" s="5"/>
      <c r="B920" s="5"/>
      <c r="C920" s="5"/>
      <c r="D920" s="5"/>
      <c r="E920" s="5"/>
      <c r="F920" s="77"/>
      <c r="G920" s="77"/>
      <c r="H920" s="5"/>
      <c r="I920" s="5"/>
      <c r="J920" s="77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x14ac:dyDescent="0.45">
      <c r="A921" s="5"/>
      <c r="B921" s="5"/>
      <c r="C921" s="5"/>
      <c r="D921" s="5"/>
      <c r="E921" s="5"/>
      <c r="F921" s="77"/>
      <c r="G921" s="77"/>
      <c r="H921" s="5"/>
      <c r="I921" s="5"/>
      <c r="J921" s="77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x14ac:dyDescent="0.45">
      <c r="A922" s="5"/>
      <c r="B922" s="5"/>
      <c r="C922" s="5"/>
      <c r="D922" s="5"/>
      <c r="E922" s="5"/>
      <c r="F922" s="77"/>
      <c r="G922" s="77"/>
      <c r="H922" s="5"/>
      <c r="I922" s="5"/>
      <c r="J922" s="77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x14ac:dyDescent="0.45">
      <c r="A923" s="5"/>
      <c r="B923" s="5"/>
      <c r="C923" s="5"/>
      <c r="D923" s="5"/>
      <c r="E923" s="5"/>
      <c r="F923" s="77"/>
      <c r="G923" s="77"/>
      <c r="H923" s="5"/>
      <c r="I923" s="5"/>
      <c r="J923" s="77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x14ac:dyDescent="0.45">
      <c r="A924" s="5"/>
      <c r="B924" s="5"/>
      <c r="C924" s="5"/>
      <c r="D924" s="5"/>
      <c r="E924" s="5"/>
      <c r="F924" s="77"/>
      <c r="G924" s="77"/>
      <c r="H924" s="5"/>
      <c r="I924" s="5"/>
      <c r="J924" s="77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x14ac:dyDescent="0.45">
      <c r="A925" s="5"/>
      <c r="B925" s="5"/>
      <c r="C925" s="5"/>
      <c r="D925" s="5"/>
      <c r="E925" s="5"/>
      <c r="F925" s="77"/>
      <c r="G925" s="77"/>
      <c r="H925" s="5"/>
      <c r="I925" s="5"/>
      <c r="J925" s="77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x14ac:dyDescent="0.45">
      <c r="A926" s="5"/>
      <c r="B926" s="5"/>
      <c r="C926" s="5"/>
      <c r="D926" s="5"/>
      <c r="E926" s="5"/>
      <c r="F926" s="77"/>
      <c r="G926" s="77"/>
      <c r="H926" s="5"/>
      <c r="I926" s="5"/>
      <c r="J926" s="77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x14ac:dyDescent="0.45">
      <c r="A927" s="5"/>
      <c r="B927" s="5"/>
      <c r="C927" s="5"/>
      <c r="D927" s="5"/>
      <c r="E927" s="5"/>
      <c r="F927" s="77"/>
      <c r="G927" s="77"/>
      <c r="H927" s="5"/>
      <c r="I927" s="5"/>
      <c r="J927" s="77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x14ac:dyDescent="0.45">
      <c r="A928" s="5"/>
      <c r="B928" s="5"/>
      <c r="C928" s="5"/>
      <c r="D928" s="5"/>
      <c r="E928" s="5"/>
      <c r="F928" s="77"/>
      <c r="G928" s="77"/>
      <c r="H928" s="5"/>
      <c r="I928" s="5"/>
      <c r="J928" s="77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x14ac:dyDescent="0.45">
      <c r="A929" s="5"/>
      <c r="B929" s="5"/>
      <c r="C929" s="5"/>
      <c r="D929" s="5"/>
      <c r="E929" s="5"/>
      <c r="F929" s="77"/>
      <c r="G929" s="77"/>
      <c r="H929" s="5"/>
      <c r="I929" s="5"/>
      <c r="J929" s="77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x14ac:dyDescent="0.45">
      <c r="A930" s="5"/>
      <c r="B930" s="5"/>
      <c r="C930" s="5"/>
      <c r="D930" s="5"/>
      <c r="E930" s="5"/>
      <c r="F930" s="77"/>
      <c r="G930" s="77"/>
      <c r="H930" s="5"/>
      <c r="I930" s="5"/>
      <c r="J930" s="77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x14ac:dyDescent="0.45">
      <c r="A931" s="5"/>
      <c r="B931" s="5"/>
      <c r="C931" s="5"/>
      <c r="D931" s="5"/>
      <c r="E931" s="5"/>
      <c r="F931" s="77"/>
      <c r="G931" s="77"/>
      <c r="H931" s="5"/>
      <c r="I931" s="5"/>
      <c r="J931" s="77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x14ac:dyDescent="0.45">
      <c r="A932" s="5"/>
      <c r="B932" s="5"/>
      <c r="C932" s="5"/>
      <c r="D932" s="5"/>
      <c r="E932" s="5"/>
      <c r="F932" s="77"/>
      <c r="G932" s="77"/>
      <c r="H932" s="5"/>
      <c r="I932" s="5"/>
      <c r="J932" s="77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x14ac:dyDescent="0.45">
      <c r="A933" s="5"/>
      <c r="B933" s="5"/>
      <c r="C933" s="5"/>
      <c r="D933" s="5"/>
      <c r="E933" s="5"/>
      <c r="F933" s="77"/>
      <c r="G933" s="77"/>
      <c r="H933" s="5"/>
      <c r="I933" s="5"/>
      <c r="J933" s="77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x14ac:dyDescent="0.45">
      <c r="A934" s="5"/>
      <c r="B934" s="5"/>
      <c r="C934" s="5"/>
      <c r="D934" s="5"/>
      <c r="E934" s="5"/>
      <c r="F934" s="77"/>
      <c r="G934" s="77"/>
      <c r="H934" s="5"/>
      <c r="I934" s="5"/>
      <c r="J934" s="77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x14ac:dyDescent="0.45">
      <c r="A935" s="5"/>
      <c r="B935" s="5"/>
      <c r="C935" s="5"/>
      <c r="D935" s="5"/>
      <c r="E935" s="5"/>
      <c r="F935" s="77"/>
      <c r="G935" s="77"/>
      <c r="H935" s="5"/>
      <c r="I935" s="5"/>
      <c r="J935" s="77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x14ac:dyDescent="0.45">
      <c r="A936" s="5"/>
      <c r="B936" s="5"/>
      <c r="C936" s="5"/>
      <c r="D936" s="5"/>
      <c r="E936" s="5"/>
      <c r="F936" s="77"/>
      <c r="G936" s="77"/>
      <c r="H936" s="5"/>
      <c r="I936" s="5"/>
      <c r="J936" s="77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x14ac:dyDescent="0.45">
      <c r="A937" s="5"/>
      <c r="B937" s="5"/>
      <c r="C937" s="5"/>
      <c r="D937" s="5"/>
      <c r="E937" s="5"/>
      <c r="F937" s="77"/>
      <c r="G937" s="77"/>
      <c r="H937" s="5"/>
      <c r="I937" s="5"/>
      <c r="J937" s="77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x14ac:dyDescent="0.45">
      <c r="A938" s="5"/>
      <c r="B938" s="5"/>
      <c r="C938" s="5"/>
      <c r="D938" s="5"/>
      <c r="E938" s="5"/>
      <c r="F938" s="77"/>
      <c r="G938" s="77"/>
      <c r="H938" s="5"/>
      <c r="I938" s="5"/>
      <c r="J938" s="77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x14ac:dyDescent="0.45">
      <c r="A939" s="5"/>
      <c r="B939" s="5"/>
      <c r="C939" s="5"/>
      <c r="D939" s="5"/>
      <c r="E939" s="5"/>
      <c r="F939" s="77"/>
      <c r="G939" s="77"/>
      <c r="H939" s="5"/>
      <c r="I939" s="5"/>
      <c r="J939" s="77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x14ac:dyDescent="0.45">
      <c r="A940" s="5"/>
      <c r="B940" s="5"/>
      <c r="C940" s="5"/>
      <c r="D940" s="5"/>
      <c r="E940" s="5"/>
      <c r="F940" s="77"/>
      <c r="G940" s="77"/>
      <c r="H940" s="5"/>
      <c r="I940" s="5"/>
      <c r="J940" s="77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x14ac:dyDescent="0.45">
      <c r="A941" s="5"/>
      <c r="B941" s="5"/>
      <c r="C941" s="5"/>
      <c r="D941" s="5"/>
      <c r="E941" s="5"/>
      <c r="F941" s="77"/>
      <c r="G941" s="77"/>
      <c r="H941" s="5"/>
      <c r="I941" s="5"/>
      <c r="J941" s="77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x14ac:dyDescent="0.45">
      <c r="A942" s="5"/>
      <c r="B942" s="5"/>
      <c r="C942" s="5"/>
      <c r="D942" s="5"/>
      <c r="E942" s="5"/>
      <c r="F942" s="77"/>
      <c r="G942" s="77"/>
      <c r="H942" s="5"/>
      <c r="I942" s="5"/>
      <c r="J942" s="77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x14ac:dyDescent="0.45">
      <c r="A943" s="5"/>
      <c r="B943" s="5"/>
      <c r="C943" s="5"/>
      <c r="D943" s="5"/>
      <c r="E943" s="5"/>
      <c r="F943" s="77"/>
      <c r="G943" s="77"/>
      <c r="H943" s="5"/>
      <c r="I943" s="5"/>
      <c r="J943" s="77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x14ac:dyDescent="0.45">
      <c r="A944" s="5"/>
      <c r="B944" s="5"/>
      <c r="C944" s="5"/>
      <c r="D944" s="5"/>
      <c r="E944" s="5"/>
      <c r="F944" s="77"/>
      <c r="G944" s="77"/>
      <c r="H944" s="5"/>
      <c r="I944" s="5"/>
      <c r="J944" s="77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x14ac:dyDescent="0.45">
      <c r="A945" s="5"/>
      <c r="B945" s="5"/>
      <c r="C945" s="5"/>
      <c r="D945" s="5"/>
      <c r="E945" s="5"/>
      <c r="F945" s="77"/>
      <c r="G945" s="77"/>
      <c r="H945" s="5"/>
      <c r="I945" s="5"/>
      <c r="J945" s="77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x14ac:dyDescent="0.45">
      <c r="A946" s="5"/>
      <c r="B946" s="5"/>
      <c r="C946" s="5"/>
      <c r="D946" s="5"/>
      <c r="E946" s="5"/>
      <c r="F946" s="77"/>
      <c r="G946" s="77"/>
      <c r="H946" s="5"/>
      <c r="I946" s="5"/>
      <c r="J946" s="77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x14ac:dyDescent="0.45">
      <c r="A947" s="5"/>
      <c r="B947" s="5"/>
      <c r="C947" s="5"/>
      <c r="D947" s="5"/>
      <c r="E947" s="5"/>
      <c r="F947" s="77"/>
      <c r="G947" s="77"/>
      <c r="H947" s="5"/>
      <c r="I947" s="5"/>
      <c r="J947" s="77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x14ac:dyDescent="0.45">
      <c r="A948" s="5"/>
      <c r="B948" s="5"/>
      <c r="C948" s="5"/>
      <c r="D948" s="5"/>
      <c r="E948" s="5"/>
      <c r="F948" s="77"/>
      <c r="G948" s="77"/>
      <c r="H948" s="5"/>
      <c r="I948" s="5"/>
      <c r="J948" s="77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x14ac:dyDescent="0.45">
      <c r="A949" s="5"/>
      <c r="B949" s="5"/>
      <c r="C949" s="5"/>
      <c r="D949" s="5"/>
      <c r="E949" s="5"/>
      <c r="F949" s="77"/>
      <c r="G949" s="77"/>
      <c r="H949" s="5"/>
      <c r="I949" s="5"/>
      <c r="J949" s="77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x14ac:dyDescent="0.45">
      <c r="A950" s="5"/>
      <c r="B950" s="5"/>
      <c r="C950" s="5"/>
      <c r="D950" s="5"/>
      <c r="E950" s="5"/>
      <c r="F950" s="77"/>
      <c r="G950" s="77"/>
      <c r="H950" s="5"/>
      <c r="I950" s="5"/>
      <c r="J950" s="77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x14ac:dyDescent="0.45">
      <c r="A951" s="5"/>
      <c r="B951" s="5"/>
      <c r="C951" s="5"/>
      <c r="D951" s="5"/>
      <c r="E951" s="5"/>
      <c r="F951" s="77"/>
      <c r="G951" s="77"/>
      <c r="H951" s="5"/>
      <c r="I951" s="5"/>
      <c r="J951" s="77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x14ac:dyDescent="0.45">
      <c r="A952" s="5"/>
      <c r="B952" s="5"/>
      <c r="C952" s="5"/>
      <c r="D952" s="5"/>
      <c r="E952" s="5"/>
      <c r="F952" s="77"/>
      <c r="G952" s="77"/>
      <c r="H952" s="5"/>
      <c r="I952" s="5"/>
      <c r="J952" s="77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x14ac:dyDescent="0.45">
      <c r="A953" s="5"/>
      <c r="B953" s="5"/>
      <c r="C953" s="5"/>
      <c r="D953" s="5"/>
      <c r="E953" s="5"/>
      <c r="F953" s="77"/>
      <c r="G953" s="77"/>
      <c r="H953" s="5"/>
      <c r="I953" s="5"/>
      <c r="J953" s="77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x14ac:dyDescent="0.45">
      <c r="A954" s="5"/>
      <c r="B954" s="5"/>
      <c r="C954" s="5"/>
      <c r="D954" s="5"/>
      <c r="E954" s="5"/>
      <c r="F954" s="77"/>
      <c r="G954" s="77"/>
      <c r="H954" s="5"/>
      <c r="I954" s="5"/>
      <c r="J954" s="77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x14ac:dyDescent="0.45">
      <c r="A955" s="5"/>
      <c r="B955" s="5"/>
      <c r="C955" s="5"/>
      <c r="D955" s="5"/>
      <c r="E955" s="5"/>
      <c r="F955" s="77"/>
      <c r="G955" s="77"/>
      <c r="H955" s="5"/>
      <c r="I955" s="5"/>
      <c r="J955" s="77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x14ac:dyDescent="0.45">
      <c r="A956" s="5"/>
      <c r="B956" s="5"/>
      <c r="C956" s="5"/>
      <c r="D956" s="5"/>
      <c r="E956" s="5"/>
      <c r="F956" s="77"/>
      <c r="G956" s="77"/>
      <c r="H956" s="5"/>
      <c r="I956" s="5"/>
      <c r="J956" s="77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x14ac:dyDescent="0.45">
      <c r="A957" s="5"/>
      <c r="B957" s="5"/>
      <c r="C957" s="5"/>
      <c r="D957" s="5"/>
      <c r="E957" s="5"/>
      <c r="F957" s="77"/>
      <c r="G957" s="77"/>
      <c r="H957" s="5"/>
      <c r="I957" s="5"/>
      <c r="J957" s="77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x14ac:dyDescent="0.45">
      <c r="A958" s="5"/>
      <c r="B958" s="5"/>
      <c r="C958" s="5"/>
      <c r="D958" s="5"/>
      <c r="E958" s="5"/>
      <c r="F958" s="77"/>
      <c r="G958" s="77"/>
      <c r="H958" s="5"/>
      <c r="I958" s="5"/>
      <c r="J958" s="77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x14ac:dyDescent="0.45">
      <c r="A959" s="5"/>
      <c r="B959" s="5"/>
      <c r="C959" s="5"/>
      <c r="D959" s="5"/>
      <c r="E959" s="5"/>
      <c r="F959" s="77"/>
      <c r="G959" s="77"/>
      <c r="H959" s="5"/>
      <c r="I959" s="5"/>
      <c r="J959" s="77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x14ac:dyDescent="0.45">
      <c r="A960" s="5"/>
      <c r="B960" s="5"/>
      <c r="C960" s="5"/>
      <c r="D960" s="5"/>
      <c r="E960" s="5"/>
      <c r="F960" s="77"/>
      <c r="G960" s="77"/>
      <c r="H960" s="5"/>
      <c r="I960" s="5"/>
      <c r="J960" s="77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x14ac:dyDescent="0.45">
      <c r="A961" s="5"/>
      <c r="B961" s="5"/>
      <c r="C961" s="5"/>
      <c r="D961" s="5"/>
      <c r="E961" s="5"/>
      <c r="F961" s="77"/>
      <c r="G961" s="77"/>
      <c r="H961" s="5"/>
      <c r="I961" s="5"/>
      <c r="J961" s="77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x14ac:dyDescent="0.45">
      <c r="A962" s="5"/>
      <c r="B962" s="5"/>
      <c r="C962" s="5"/>
      <c r="D962" s="5"/>
      <c r="E962" s="5"/>
      <c r="F962" s="77"/>
      <c r="G962" s="77"/>
      <c r="H962" s="5"/>
      <c r="I962" s="5"/>
      <c r="J962" s="77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x14ac:dyDescent="0.45">
      <c r="A963" s="5"/>
      <c r="B963" s="5"/>
      <c r="C963" s="5"/>
      <c r="D963" s="5"/>
      <c r="E963" s="5"/>
      <c r="F963" s="77"/>
      <c r="G963" s="77"/>
      <c r="H963" s="5"/>
      <c r="I963" s="5"/>
      <c r="J963" s="77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x14ac:dyDescent="0.45">
      <c r="A964" s="5"/>
      <c r="B964" s="5"/>
      <c r="C964" s="5"/>
      <c r="D964" s="5"/>
      <c r="E964" s="5"/>
      <c r="F964" s="77"/>
      <c r="G964" s="77"/>
      <c r="H964" s="5"/>
      <c r="I964" s="5"/>
      <c r="J964" s="77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x14ac:dyDescent="0.45">
      <c r="A965" s="5"/>
      <c r="B965" s="5"/>
      <c r="C965" s="5"/>
      <c r="D965" s="5"/>
      <c r="E965" s="5"/>
      <c r="F965" s="77"/>
      <c r="G965" s="77"/>
      <c r="H965" s="5"/>
      <c r="I965" s="5"/>
      <c r="J965" s="77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x14ac:dyDescent="0.45">
      <c r="A966" s="5"/>
      <c r="B966" s="5"/>
      <c r="C966" s="5"/>
      <c r="D966" s="5"/>
      <c r="E966" s="5"/>
      <c r="F966" s="77"/>
      <c r="G966" s="77"/>
      <c r="H966" s="5"/>
      <c r="I966" s="5"/>
      <c r="J966" s="77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x14ac:dyDescent="0.45">
      <c r="A967" s="5"/>
      <c r="B967" s="5"/>
      <c r="C967" s="5"/>
      <c r="D967" s="5"/>
      <c r="E967" s="5"/>
      <c r="F967" s="77"/>
      <c r="G967" s="77"/>
      <c r="H967" s="5"/>
      <c r="I967" s="5"/>
      <c r="J967" s="77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x14ac:dyDescent="0.45">
      <c r="A968" s="5"/>
      <c r="B968" s="5"/>
      <c r="C968" s="5"/>
      <c r="D968" s="5"/>
      <c r="E968" s="5"/>
      <c r="F968" s="77"/>
      <c r="G968" s="77"/>
      <c r="H968" s="5"/>
      <c r="I968" s="5"/>
      <c r="J968" s="77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x14ac:dyDescent="0.45">
      <c r="A969" s="5"/>
      <c r="B969" s="5"/>
      <c r="C969" s="5"/>
      <c r="D969" s="5"/>
      <c r="E969" s="5"/>
      <c r="F969" s="77"/>
      <c r="G969" s="77"/>
      <c r="H969" s="5"/>
      <c r="I969" s="5"/>
      <c r="J969" s="77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x14ac:dyDescent="0.45">
      <c r="A970" s="5"/>
      <c r="B970" s="5"/>
      <c r="C970" s="5"/>
      <c r="D970" s="5"/>
      <c r="E970" s="5"/>
      <c r="F970" s="77"/>
      <c r="G970" s="77"/>
      <c r="H970" s="5"/>
      <c r="I970" s="5"/>
      <c r="J970" s="77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x14ac:dyDescent="0.45">
      <c r="A971" s="5"/>
      <c r="B971" s="5"/>
      <c r="C971" s="5"/>
      <c r="D971" s="5"/>
      <c r="E971" s="5"/>
      <c r="F971" s="77"/>
      <c r="G971" s="77"/>
      <c r="H971" s="5"/>
      <c r="I971" s="5"/>
      <c r="J971" s="77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x14ac:dyDescent="0.45">
      <c r="A972" s="5"/>
      <c r="B972" s="5"/>
      <c r="C972" s="5"/>
      <c r="D972" s="5"/>
      <c r="E972" s="5"/>
      <c r="F972" s="77"/>
      <c r="G972" s="77"/>
      <c r="H972" s="5"/>
      <c r="I972" s="5"/>
      <c r="J972" s="77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x14ac:dyDescent="0.45">
      <c r="A973" s="5"/>
      <c r="B973" s="5"/>
      <c r="C973" s="5"/>
      <c r="D973" s="5"/>
      <c r="E973" s="5"/>
      <c r="F973" s="77"/>
      <c r="G973" s="77"/>
      <c r="H973" s="5"/>
      <c r="I973" s="5"/>
      <c r="J973" s="77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x14ac:dyDescent="0.45">
      <c r="A974" s="5"/>
      <c r="B974" s="5"/>
      <c r="C974" s="5"/>
      <c r="D974" s="5"/>
      <c r="E974" s="5"/>
      <c r="F974" s="77"/>
      <c r="G974" s="77"/>
      <c r="H974" s="5"/>
      <c r="I974" s="5"/>
      <c r="J974" s="77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x14ac:dyDescent="0.45">
      <c r="A975" s="5"/>
      <c r="B975" s="5"/>
      <c r="C975" s="5"/>
      <c r="D975" s="5"/>
      <c r="E975" s="5"/>
      <c r="F975" s="77"/>
      <c r="G975" s="77"/>
      <c r="H975" s="5"/>
      <c r="I975" s="5"/>
      <c r="J975" s="77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x14ac:dyDescent="0.45">
      <c r="A976" s="5"/>
      <c r="B976" s="5"/>
      <c r="C976" s="5"/>
      <c r="D976" s="5"/>
      <c r="E976" s="5"/>
      <c r="F976" s="77"/>
      <c r="G976" s="77"/>
      <c r="H976" s="5"/>
      <c r="I976" s="5"/>
      <c r="J976" s="77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x14ac:dyDescent="0.45">
      <c r="A977" s="5"/>
      <c r="B977" s="5"/>
      <c r="C977" s="5"/>
      <c r="D977" s="5"/>
      <c r="E977" s="5"/>
      <c r="F977" s="77"/>
      <c r="G977" s="77"/>
      <c r="H977" s="5"/>
      <c r="I977" s="5"/>
      <c r="J977" s="77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x14ac:dyDescent="0.45">
      <c r="A978" s="5"/>
      <c r="B978" s="5"/>
      <c r="C978" s="5"/>
      <c r="D978" s="5"/>
      <c r="E978" s="5"/>
      <c r="F978" s="77"/>
      <c r="G978" s="77"/>
      <c r="H978" s="5"/>
      <c r="I978" s="5"/>
      <c r="J978" s="77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x14ac:dyDescent="0.45">
      <c r="A979" s="5"/>
      <c r="B979" s="5"/>
      <c r="C979" s="5"/>
      <c r="D979" s="5"/>
      <c r="E979" s="5"/>
      <c r="F979" s="77"/>
      <c r="G979" s="77"/>
      <c r="H979" s="5"/>
      <c r="I979" s="5"/>
      <c r="J979" s="77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x14ac:dyDescent="0.45">
      <c r="A980" s="5"/>
      <c r="B980" s="5"/>
      <c r="C980" s="5"/>
      <c r="D980" s="5"/>
      <c r="E980" s="5"/>
      <c r="F980" s="77"/>
      <c r="G980" s="77"/>
      <c r="H980" s="5"/>
      <c r="I980" s="5"/>
      <c r="J980" s="77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x14ac:dyDescent="0.45">
      <c r="A981" s="5"/>
      <c r="B981" s="5"/>
      <c r="C981" s="5"/>
      <c r="D981" s="5"/>
      <c r="E981" s="5"/>
      <c r="F981" s="77"/>
      <c r="G981" s="77"/>
      <c r="H981" s="5"/>
      <c r="I981" s="5"/>
      <c r="J981" s="77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x14ac:dyDescent="0.45">
      <c r="A982" s="5"/>
      <c r="B982" s="5"/>
      <c r="C982" s="5"/>
      <c r="D982" s="5"/>
      <c r="E982" s="5"/>
      <c r="F982" s="77"/>
      <c r="G982" s="77"/>
      <c r="H982" s="5"/>
      <c r="I982" s="5"/>
      <c r="J982" s="77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x14ac:dyDescent="0.45">
      <c r="A983" s="5"/>
      <c r="B983" s="5"/>
      <c r="C983" s="5"/>
      <c r="D983" s="5"/>
      <c r="E983" s="5"/>
      <c r="F983" s="77"/>
      <c r="G983" s="77"/>
      <c r="H983" s="5"/>
      <c r="I983" s="5"/>
      <c r="J983" s="77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x14ac:dyDescent="0.45">
      <c r="A984" s="5"/>
      <c r="B984" s="5"/>
      <c r="C984" s="5"/>
      <c r="D984" s="5"/>
      <c r="E984" s="5"/>
      <c r="F984" s="77"/>
      <c r="G984" s="77"/>
      <c r="H984" s="5"/>
      <c r="I984" s="5"/>
      <c r="J984" s="77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x14ac:dyDescent="0.45">
      <c r="A985" s="5"/>
      <c r="B985" s="5"/>
      <c r="C985" s="5"/>
      <c r="D985" s="5"/>
      <c r="E985" s="5"/>
      <c r="F985" s="77"/>
      <c r="G985" s="77"/>
      <c r="H985" s="5"/>
      <c r="I985" s="5"/>
      <c r="J985" s="77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x14ac:dyDescent="0.45">
      <c r="A986" s="5"/>
      <c r="B986" s="5"/>
      <c r="C986" s="5"/>
      <c r="D986" s="5"/>
      <c r="E986" s="5"/>
      <c r="F986" s="77"/>
      <c r="G986" s="77"/>
      <c r="H986" s="5"/>
      <c r="I986" s="5"/>
      <c r="J986" s="77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x14ac:dyDescent="0.45">
      <c r="A987" s="5"/>
      <c r="B987" s="5"/>
      <c r="C987" s="5"/>
      <c r="D987" s="5"/>
      <c r="E987" s="5"/>
      <c r="F987" s="77"/>
      <c r="G987" s="77"/>
      <c r="H987" s="5"/>
      <c r="I987" s="5"/>
      <c r="J987" s="77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x14ac:dyDescent="0.45">
      <c r="A988" s="5"/>
      <c r="B988" s="5"/>
      <c r="C988" s="5"/>
      <c r="D988" s="5"/>
      <c r="E988" s="5"/>
      <c r="F988" s="77"/>
      <c r="G988" s="77"/>
      <c r="H988" s="5"/>
      <c r="I988" s="5"/>
      <c r="J988" s="77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x14ac:dyDescent="0.45">
      <c r="A989" s="5"/>
      <c r="B989" s="5"/>
      <c r="C989" s="5"/>
      <c r="D989" s="5"/>
      <c r="E989" s="5"/>
      <c r="F989" s="77"/>
      <c r="G989" s="77"/>
      <c r="H989" s="5"/>
      <c r="I989" s="5"/>
      <c r="J989" s="77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x14ac:dyDescent="0.45">
      <c r="A990" s="5"/>
      <c r="B990" s="5"/>
      <c r="C990" s="5"/>
      <c r="D990" s="5"/>
      <c r="E990" s="5"/>
      <c r="F990" s="77"/>
      <c r="G990" s="77"/>
      <c r="H990" s="5"/>
      <c r="I990" s="5"/>
      <c r="J990" s="77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x14ac:dyDescent="0.45">
      <c r="A991" s="5"/>
      <c r="B991" s="5"/>
      <c r="C991" s="5"/>
      <c r="D991" s="5"/>
      <c r="E991" s="5"/>
      <c r="F991" s="77"/>
      <c r="G991" s="77"/>
      <c r="H991" s="5"/>
      <c r="I991" s="5"/>
      <c r="J991" s="77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x14ac:dyDescent="0.45">
      <c r="A992" s="5"/>
      <c r="B992" s="5"/>
      <c r="C992" s="5"/>
      <c r="D992" s="5"/>
      <c r="E992" s="5"/>
      <c r="F992" s="77"/>
      <c r="G992" s="77"/>
      <c r="H992" s="5"/>
      <c r="I992" s="5"/>
      <c r="J992" s="77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x14ac:dyDescent="0.45">
      <c r="A993" s="5"/>
      <c r="B993" s="5"/>
      <c r="C993" s="5"/>
      <c r="D993" s="5"/>
      <c r="E993" s="5"/>
      <c r="F993" s="77"/>
      <c r="G993" s="77"/>
      <c r="H993" s="5"/>
      <c r="I993" s="5"/>
      <c r="J993" s="77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x14ac:dyDescent="0.45">
      <c r="A994" s="5"/>
      <c r="B994" s="5"/>
      <c r="C994" s="5"/>
      <c r="D994" s="5"/>
      <c r="E994" s="5"/>
      <c r="F994" s="77"/>
      <c r="G994" s="77"/>
      <c r="H994" s="5"/>
      <c r="I994" s="5"/>
      <c r="J994" s="77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x14ac:dyDescent="0.45">
      <c r="A995" s="5"/>
      <c r="B995" s="5"/>
      <c r="C995" s="5"/>
      <c r="D995" s="5"/>
      <c r="E995" s="5"/>
      <c r="F995" s="77"/>
      <c r="G995" s="77"/>
      <c r="H995" s="5"/>
      <c r="I995" s="5"/>
      <c r="J995" s="77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x14ac:dyDescent="0.45">
      <c r="A996" s="5"/>
      <c r="B996" s="5"/>
      <c r="C996" s="5"/>
      <c r="D996" s="5"/>
      <c r="E996" s="5"/>
      <c r="F996" s="77"/>
      <c r="G996" s="77"/>
      <c r="H996" s="5"/>
      <c r="I996" s="5"/>
      <c r="J996" s="77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x14ac:dyDescent="0.45">
      <c r="A997" s="5"/>
      <c r="B997" s="5"/>
      <c r="C997" s="5"/>
      <c r="D997" s="5"/>
      <c r="E997" s="5"/>
      <c r="F997" s="77"/>
      <c r="G997" s="77"/>
      <c r="H997" s="5"/>
      <c r="I997" s="5"/>
      <c r="J997" s="77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x14ac:dyDescent="0.45">
      <c r="A998" s="5"/>
      <c r="B998" s="5"/>
      <c r="C998" s="5"/>
      <c r="D998" s="5"/>
      <c r="E998" s="5"/>
      <c r="F998" s="77"/>
      <c r="G998" s="77"/>
      <c r="H998" s="5"/>
      <c r="I998" s="5"/>
      <c r="J998" s="77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x14ac:dyDescent="0.45">
      <c r="A999" s="5"/>
      <c r="B999" s="5"/>
      <c r="C999" s="5"/>
      <c r="D999" s="5"/>
      <c r="E999" s="5"/>
      <c r="F999" s="77"/>
      <c r="G999" s="77"/>
      <c r="H999" s="5"/>
      <c r="I999" s="5"/>
      <c r="J999" s="77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x14ac:dyDescent="0.45">
      <c r="A1000" s="5"/>
      <c r="B1000" s="5"/>
      <c r="C1000" s="5"/>
      <c r="D1000" s="5"/>
      <c r="E1000" s="5"/>
      <c r="F1000" s="77"/>
      <c r="G1000" s="77"/>
      <c r="H1000" s="5"/>
      <c r="I1000" s="5"/>
      <c r="J1000" s="77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">
    <mergeCell ref="A3:B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>
      <selection activeCell="K27" sqref="K27"/>
    </sheetView>
  </sheetViews>
  <sheetFormatPr defaultColWidth="12.59765625" defaultRowHeight="15.75" customHeight="1" x14ac:dyDescent="0.35"/>
  <cols>
    <col min="11" max="11" width="14" customWidth="1"/>
    <col min="12" max="12" width="6.86328125" customWidth="1"/>
    <col min="13" max="13" width="7.73046875" customWidth="1"/>
  </cols>
  <sheetData>
    <row r="1" spans="1:26" ht="15.75" customHeight="1" x14ac:dyDescent="0.4">
      <c r="A1" s="198" t="s">
        <v>253</v>
      </c>
      <c r="B1" s="199" t="s">
        <v>254</v>
      </c>
      <c r="C1" s="199" t="s">
        <v>255</v>
      </c>
      <c r="D1" s="199" t="s">
        <v>256</v>
      </c>
      <c r="E1" s="199" t="s">
        <v>257</v>
      </c>
      <c r="F1" s="199" t="s">
        <v>258</v>
      </c>
      <c r="G1" s="199" t="s">
        <v>259</v>
      </c>
      <c r="H1" s="199" t="s">
        <v>260</v>
      </c>
      <c r="I1" s="200" t="s">
        <v>261</v>
      </c>
      <c r="J1" s="8"/>
      <c r="K1" s="8"/>
      <c r="L1" s="8"/>
      <c r="M1" s="8"/>
      <c r="N1" s="8"/>
      <c r="O1" s="8"/>
      <c r="P1" s="12" t="s">
        <v>262</v>
      </c>
      <c r="Q1" s="198" t="s">
        <v>253</v>
      </c>
      <c r="R1" s="201" t="s">
        <v>254</v>
      </c>
      <c r="S1" s="199" t="s">
        <v>255</v>
      </c>
      <c r="T1" s="194" t="s">
        <v>263</v>
      </c>
      <c r="U1" s="199" t="s">
        <v>258</v>
      </c>
      <c r="V1" s="199" t="s">
        <v>259</v>
      </c>
      <c r="W1" s="200" t="s">
        <v>261</v>
      </c>
      <c r="X1" s="202"/>
      <c r="Y1" s="202"/>
      <c r="Z1" s="202"/>
    </row>
    <row r="2" spans="1:26" ht="15.75" customHeight="1" x14ac:dyDescent="0.4">
      <c r="A2" s="203">
        <v>0</v>
      </c>
      <c r="B2" s="204">
        <v>0</v>
      </c>
      <c r="C2" s="204">
        <f>B2*(PI()*((Parameters!$B$37/1000)/2)^2)</f>
        <v>0</v>
      </c>
      <c r="D2" s="204">
        <f>Parameters!$B$32*C2^2+Parameters!$B$33*C2+Parameters!$B$34</f>
        <v>150.9</v>
      </c>
      <c r="E2" s="8">
        <f>Parameters!$B$29*Parameters!$B$30*Parameters!$B$28</f>
        <v>63765</v>
      </c>
      <c r="F2" s="204">
        <f>Parameters!$B$38*Parameters!$B$25/(Parameters!$B$37/1000)*(Parameters!$B$29*B2^2)/2</f>
        <v>0</v>
      </c>
      <c r="G2" s="8">
        <f>Parameters!$B$39*(Parameters!$B$29*B2^2)/2</f>
        <v>0</v>
      </c>
      <c r="H2" s="204">
        <f>Parameters!$B$42*B2</f>
        <v>0</v>
      </c>
      <c r="I2" s="205">
        <f t="shared" ref="I2:I32" si="0">SUM(E2:H2)/1000</f>
        <v>63.765000000000001</v>
      </c>
      <c r="J2" s="8"/>
      <c r="K2" s="8"/>
      <c r="L2" s="8"/>
      <c r="M2" s="8"/>
      <c r="N2" s="8"/>
      <c r="O2" s="8"/>
      <c r="P2" s="8"/>
      <c r="Q2" s="8">
        <v>0</v>
      </c>
      <c r="R2" s="204">
        <v>0</v>
      </c>
      <c r="S2" s="8">
        <f>R2*(PI()*((Parameters!$B$37/1000)/2)^2)*(1000*60)</f>
        <v>0</v>
      </c>
      <c r="T2" s="8">
        <f>Parameters!$B$29*Parameters!$B$30*(Parameters!$B$26+Parameters!$B$27)/1000</f>
        <v>49.05</v>
      </c>
      <c r="U2" s="204">
        <f>Parameters!$B$38*Parameters!$B$25/(Parameters!$B$37/1000)*(Parameters!$B$29*R2^2)/2</f>
        <v>0</v>
      </c>
      <c r="V2" s="8">
        <f>Parameters!$B$40*(Parameters!$B$29*R2^2)/2</f>
        <v>0</v>
      </c>
      <c r="W2" s="204">
        <f t="shared" ref="W2:W32" si="1">SUM(U2:V2)/1000</f>
        <v>0</v>
      </c>
      <c r="X2" s="8"/>
      <c r="Y2" s="8"/>
      <c r="Z2" s="8"/>
    </row>
    <row r="3" spans="1:26" ht="15.75" customHeight="1" x14ac:dyDescent="0.4">
      <c r="A3" s="203">
        <f t="shared" ref="A3:A32" si="2">A2+1</f>
        <v>1</v>
      </c>
      <c r="B3" s="204">
        <f t="shared" ref="B3:B32" si="3">(3*A3)/30</f>
        <v>0.1</v>
      </c>
      <c r="C3" s="204">
        <f>B3*(PI()*((Parameters!$B$37/1000)/2)^2)*(1000*60)</f>
        <v>1.8849555921538761</v>
      </c>
      <c r="D3" s="204">
        <f>Parameters!$B$32*C3^2+Parameters!$B$33*C3+Parameters!$B$34</f>
        <v>150.15936091857699</v>
      </c>
      <c r="E3" s="8">
        <f>Parameters!$B$29*Parameters!$B$30*Parameters!$B$28</f>
        <v>63765</v>
      </c>
      <c r="F3" s="204">
        <f>Parameters!$B$38*Parameters!$B$25/(Parameters!$B$37/1000)*(Parameters!$B$29*B3^2)/2</f>
        <v>397.2562145517677</v>
      </c>
      <c r="G3" s="8">
        <f>Parameters!$B$39*(Parameters!$B$29*B3^2)/2</f>
        <v>40.000000000000007</v>
      </c>
      <c r="H3" s="204">
        <f>Parameters!$B$42*B3</f>
        <v>431.96282500000007</v>
      </c>
      <c r="I3" s="205">
        <f t="shared" si="0"/>
        <v>64.634219039551766</v>
      </c>
      <c r="J3" s="8"/>
      <c r="K3" s="8"/>
      <c r="L3" s="8"/>
      <c r="M3" s="8"/>
      <c r="N3" s="8"/>
      <c r="O3" s="8"/>
      <c r="P3" s="8"/>
      <c r="Q3" s="8">
        <f t="shared" ref="Q3:Q32" si="4">Q2+1</f>
        <v>1</v>
      </c>
      <c r="R3" s="204">
        <f t="shared" ref="R3:R32" si="5">(3*A3)/30</f>
        <v>0.1</v>
      </c>
      <c r="S3" s="204">
        <f>R3*(PI()*((Parameters!$B$37/1000)/2)^2)*(1000*60)</f>
        <v>1.8849555921538761</v>
      </c>
      <c r="T3" s="8">
        <f>Parameters!$B$29*Parameters!$B$30*(Parameters!$B$26+Parameters!$B$27)/1000</f>
        <v>49.05</v>
      </c>
      <c r="U3" s="204">
        <f>Parameters!$B$38*Parameters!$B$25/(Parameters!$B$37/1000)*(Parameters!$B$29*R3^2)/2</f>
        <v>397.2562145517677</v>
      </c>
      <c r="V3" s="8">
        <f>Parameters!$B$40*(Parameters!$B$29*R3^2)/2</f>
        <v>60.000000000000014</v>
      </c>
      <c r="W3" s="204">
        <f t="shared" si="1"/>
        <v>0.45725621455176768</v>
      </c>
      <c r="X3" s="8"/>
      <c r="Y3" s="8"/>
      <c r="Z3" s="8"/>
    </row>
    <row r="4" spans="1:26" ht="15.75" customHeight="1" x14ac:dyDescent="0.4">
      <c r="A4" s="203">
        <f t="shared" si="2"/>
        <v>2</v>
      </c>
      <c r="B4" s="204">
        <f t="shared" si="3"/>
        <v>0.2</v>
      </c>
      <c r="C4" s="204">
        <f>B4*(PI()*((Parameters!$B$37/1000)/2)^2)*(1000*60)</f>
        <v>3.7699111843077522</v>
      </c>
      <c r="D4" s="204">
        <f>Parameters!$B$32*C4^2+Parameters!$B$33*C4+Parameters!$B$34</f>
        <v>149.29649665625087</v>
      </c>
      <c r="E4" s="8">
        <f>Parameters!$B$29*Parameters!$B$30*Parameters!$B$28</f>
        <v>63765</v>
      </c>
      <c r="F4" s="204">
        <f>Parameters!$B$38*Parameters!$B$25/(Parameters!$B$37/1000)*(Parameters!$B$29*B4^2)/2</f>
        <v>1589.0248582070708</v>
      </c>
      <c r="G4" s="8">
        <f>Parameters!$B$39*(Parameters!$B$29*B4^2)/2</f>
        <v>160.00000000000003</v>
      </c>
      <c r="H4" s="204">
        <f>Parameters!$B$42*B4</f>
        <v>863.92565000000013</v>
      </c>
      <c r="I4" s="205">
        <f t="shared" si="0"/>
        <v>66.377950508207064</v>
      </c>
      <c r="J4" s="8"/>
      <c r="K4" s="8"/>
      <c r="L4" s="8"/>
      <c r="M4" s="8"/>
      <c r="N4" s="8"/>
      <c r="O4" s="8"/>
      <c r="P4" s="8"/>
      <c r="Q4" s="8">
        <f t="shared" si="4"/>
        <v>2</v>
      </c>
      <c r="R4" s="204">
        <f t="shared" si="5"/>
        <v>0.2</v>
      </c>
      <c r="S4" s="204">
        <f>R4*(PI()*((Parameters!$B$37/1000)/2)^2)*(1000*60)</f>
        <v>3.7699111843077522</v>
      </c>
      <c r="T4" s="8">
        <f>Parameters!$B$29*Parameters!$B$30*(Parameters!$B$26+Parameters!$B$27)/1000</f>
        <v>49.05</v>
      </c>
      <c r="U4" s="204">
        <f>Parameters!$B$38*Parameters!$B$25/(Parameters!$B$37/1000)*(Parameters!$B$29*R4^2)/2</f>
        <v>1589.0248582070708</v>
      </c>
      <c r="V4" s="8">
        <f>Parameters!$B$40*(Parameters!$B$29*R4^2)/2</f>
        <v>240.00000000000006</v>
      </c>
      <c r="W4" s="204">
        <f t="shared" si="1"/>
        <v>1.8290248582070707</v>
      </c>
      <c r="X4" s="8"/>
      <c r="Y4" s="8"/>
      <c r="Z4" s="8"/>
    </row>
    <row r="5" spans="1:26" ht="15.75" customHeight="1" x14ac:dyDescent="0.4">
      <c r="A5" s="203">
        <f t="shared" si="2"/>
        <v>3</v>
      </c>
      <c r="B5" s="204">
        <f t="shared" si="3"/>
        <v>0.3</v>
      </c>
      <c r="C5" s="204">
        <f>B5*(PI()*((Parameters!$B$37/1000)/2)^2)*(1000*60)</f>
        <v>5.6548667764616267</v>
      </c>
      <c r="D5" s="204">
        <f>Parameters!$B$32*C5^2+Parameters!$B$33*C5+Parameters!$B$34</f>
        <v>148.31140721302168</v>
      </c>
      <c r="E5" s="8">
        <f>Parameters!$B$29*Parameters!$B$30*Parameters!$B$28</f>
        <v>63765</v>
      </c>
      <c r="F5" s="204">
        <f>Parameters!$B$38*Parameters!$B$25/(Parameters!$B$37/1000)*(Parameters!$B$29*B5^2)/2</f>
        <v>3575.3059309659088</v>
      </c>
      <c r="G5" s="8">
        <f>Parameters!$B$39*(Parameters!$B$29*B5^2)/2</f>
        <v>360</v>
      </c>
      <c r="H5" s="204">
        <f>Parameters!$B$42*B5</f>
        <v>1295.8884750000002</v>
      </c>
      <c r="I5" s="205">
        <f t="shared" si="0"/>
        <v>68.996194405965909</v>
      </c>
      <c r="J5" s="8"/>
      <c r="K5" s="8"/>
      <c r="L5" s="8"/>
      <c r="M5" s="8"/>
      <c r="N5" s="8"/>
      <c r="O5" s="8"/>
      <c r="P5" s="8"/>
      <c r="Q5" s="8">
        <f t="shared" si="4"/>
        <v>3</v>
      </c>
      <c r="R5" s="204">
        <f t="shared" si="5"/>
        <v>0.3</v>
      </c>
      <c r="S5" s="204">
        <f>R5*(PI()*((Parameters!$B$37/1000)/2)^2)*(1000*60)</f>
        <v>5.6548667764616267</v>
      </c>
      <c r="T5" s="8">
        <f>Parameters!$B$29*Parameters!$B$30*(Parameters!$B$26+Parameters!$B$27)/1000</f>
        <v>49.05</v>
      </c>
      <c r="U5" s="204">
        <f>Parameters!$B$38*Parameters!$B$25/(Parameters!$B$37/1000)*(Parameters!$B$29*R5^2)/2</f>
        <v>3575.3059309659088</v>
      </c>
      <c r="V5" s="8">
        <f>Parameters!$B$40*(Parameters!$B$29*R5^2)/2</f>
        <v>540</v>
      </c>
      <c r="W5" s="204">
        <f t="shared" si="1"/>
        <v>4.115305930965909</v>
      </c>
      <c r="X5" s="8"/>
      <c r="Y5" s="8"/>
      <c r="Z5" s="8"/>
    </row>
    <row r="6" spans="1:26" ht="15.75" customHeight="1" x14ac:dyDescent="0.4">
      <c r="A6" s="203">
        <f t="shared" si="2"/>
        <v>4</v>
      </c>
      <c r="B6" s="204">
        <f t="shared" si="3"/>
        <v>0.4</v>
      </c>
      <c r="C6" s="204">
        <f>B6*(PI()*((Parameters!$B$37/1000)/2)^2)*(1000*60)</f>
        <v>7.5398223686155044</v>
      </c>
      <c r="D6" s="204">
        <f>Parameters!$B$32*C6^2+Parameters!$B$33*C6+Parameters!$B$34</f>
        <v>147.20409258888938</v>
      </c>
      <c r="E6" s="8">
        <f>Parameters!$B$29*Parameters!$B$30*Parameters!$B$28</f>
        <v>63765</v>
      </c>
      <c r="F6" s="204">
        <f>Parameters!$B$38*Parameters!$B$25/(Parameters!$B$37/1000)*(Parameters!$B$29*B6^2)/2</f>
        <v>6356.0994328282832</v>
      </c>
      <c r="G6" s="8">
        <f>Parameters!$B$39*(Parameters!$B$29*B6^2)/2</f>
        <v>640.00000000000011</v>
      </c>
      <c r="H6" s="204">
        <f>Parameters!$B$42*B6</f>
        <v>1727.8513000000003</v>
      </c>
      <c r="I6" s="205">
        <f t="shared" si="0"/>
        <v>72.488950732828272</v>
      </c>
      <c r="J6" s="8"/>
      <c r="K6" s="8"/>
      <c r="L6" s="8"/>
      <c r="M6" s="8"/>
      <c r="N6" s="8"/>
      <c r="O6" s="8"/>
      <c r="P6" s="8"/>
      <c r="Q6" s="8">
        <f t="shared" si="4"/>
        <v>4</v>
      </c>
      <c r="R6" s="204">
        <f t="shared" si="5"/>
        <v>0.4</v>
      </c>
      <c r="S6" s="204">
        <f>R6*(PI()*((Parameters!$B$37/1000)/2)^2)*(1000*60)</f>
        <v>7.5398223686155044</v>
      </c>
      <c r="T6" s="8">
        <f>Parameters!$B$29*Parameters!$B$30*(Parameters!$B$26+Parameters!$B$27)/1000</f>
        <v>49.05</v>
      </c>
      <c r="U6" s="204">
        <f>Parameters!$B$38*Parameters!$B$25/(Parameters!$B$37/1000)*(Parameters!$B$29*R6^2)/2</f>
        <v>6356.0994328282832</v>
      </c>
      <c r="V6" s="8">
        <f>Parameters!$B$40*(Parameters!$B$29*R6^2)/2</f>
        <v>960.00000000000023</v>
      </c>
      <c r="W6" s="204">
        <f t="shared" si="1"/>
        <v>7.3160994328282829</v>
      </c>
      <c r="X6" s="8"/>
      <c r="Y6" s="8"/>
      <c r="Z6" s="8"/>
    </row>
    <row r="7" spans="1:26" ht="15.75" customHeight="1" x14ac:dyDescent="0.4">
      <c r="A7" s="203">
        <f t="shared" si="2"/>
        <v>5</v>
      </c>
      <c r="B7" s="204">
        <f t="shared" si="3"/>
        <v>0.5</v>
      </c>
      <c r="C7" s="204">
        <f>B7*(PI()*((Parameters!$B$37/1000)/2)^2)*(1000*60)</f>
        <v>9.4247779607693793</v>
      </c>
      <c r="D7" s="204">
        <f>Parameters!$B$32*C7^2+Parameters!$B$33*C7+Parameters!$B$34</f>
        <v>145.97455278385402</v>
      </c>
      <c r="E7" s="8">
        <f>Parameters!$B$29*Parameters!$B$30*Parameters!$B$28</f>
        <v>63765</v>
      </c>
      <c r="F7" s="204">
        <f>Parameters!$B$38*Parameters!$B$25/(Parameters!$B$37/1000)*(Parameters!$B$29*B7^2)/2</f>
        <v>9931.4053637941906</v>
      </c>
      <c r="G7" s="8">
        <f>Parameters!$B$39*(Parameters!$B$29*B7^2)/2</f>
        <v>1000</v>
      </c>
      <c r="H7" s="204">
        <f>Parameters!$B$42*B7</f>
        <v>2159.8141250000003</v>
      </c>
      <c r="I7" s="205">
        <f t="shared" si="0"/>
        <v>76.856219488794181</v>
      </c>
      <c r="J7" s="8"/>
      <c r="K7" s="8"/>
      <c r="L7" s="8"/>
      <c r="M7" s="8"/>
      <c r="N7" s="8"/>
      <c r="O7" s="8"/>
      <c r="P7" s="8"/>
      <c r="Q7" s="8">
        <f t="shared" si="4"/>
        <v>5</v>
      </c>
      <c r="R7" s="204">
        <f t="shared" si="5"/>
        <v>0.5</v>
      </c>
      <c r="S7" s="204">
        <f>R7*(PI()*((Parameters!$B$37/1000)/2)^2)*(1000*60)</f>
        <v>9.4247779607693793</v>
      </c>
      <c r="T7" s="8">
        <f>Parameters!$B$29*Parameters!$B$30*(Parameters!$B$26+Parameters!$B$27)/1000</f>
        <v>49.05</v>
      </c>
      <c r="U7" s="204">
        <f>Parameters!$B$38*Parameters!$B$25/(Parameters!$B$37/1000)*(Parameters!$B$29*R7^2)/2</f>
        <v>9931.4053637941906</v>
      </c>
      <c r="V7" s="8">
        <f>Parameters!$B$40*(Parameters!$B$29*R7^2)/2</f>
        <v>1500</v>
      </c>
      <c r="W7" s="204">
        <f t="shared" si="1"/>
        <v>11.431405363794191</v>
      </c>
      <c r="X7" s="8"/>
      <c r="Y7" s="8"/>
      <c r="Z7" s="8"/>
    </row>
    <row r="8" spans="1:26" ht="15.75" customHeight="1" x14ac:dyDescent="0.4">
      <c r="A8" s="203">
        <f t="shared" si="2"/>
        <v>6</v>
      </c>
      <c r="B8" s="204">
        <f t="shared" si="3"/>
        <v>0.6</v>
      </c>
      <c r="C8" s="204">
        <f>B8*(PI()*((Parameters!$B$37/1000)/2)^2)*(1000*60)</f>
        <v>11.309733552923253</v>
      </c>
      <c r="D8" s="204">
        <f>Parameters!$B$32*C8^2+Parameters!$B$33*C8+Parameters!$B$34</f>
        <v>144.62278779791555</v>
      </c>
      <c r="E8" s="8">
        <f>Parameters!$B$29*Parameters!$B$30*Parameters!$B$28</f>
        <v>63765</v>
      </c>
      <c r="F8" s="204">
        <f>Parameters!$B$38*Parameters!$B$25/(Parameters!$B$37/1000)*(Parameters!$B$29*B8^2)/2</f>
        <v>14301.223723863635</v>
      </c>
      <c r="G8" s="8">
        <f>Parameters!$B$39*(Parameters!$B$29*B8^2)/2</f>
        <v>1440</v>
      </c>
      <c r="H8" s="204">
        <f>Parameters!$B$42*B8</f>
        <v>2591.7769500000004</v>
      </c>
      <c r="I8" s="205">
        <f t="shared" si="0"/>
        <v>82.098000673863623</v>
      </c>
      <c r="J8" s="8"/>
      <c r="K8" s="8"/>
      <c r="L8" s="8"/>
      <c r="M8" s="8"/>
      <c r="N8" s="8"/>
      <c r="O8" s="8"/>
      <c r="P8" s="8"/>
      <c r="Q8" s="8">
        <f t="shared" si="4"/>
        <v>6</v>
      </c>
      <c r="R8" s="204">
        <f t="shared" si="5"/>
        <v>0.6</v>
      </c>
      <c r="S8" s="204">
        <f>R8*(PI()*((Parameters!$B$37/1000)/2)^2)*(1000*60)</f>
        <v>11.309733552923253</v>
      </c>
      <c r="T8" s="8">
        <f>Parameters!$B$29*Parameters!$B$30*(Parameters!$B$26+Parameters!$B$27)/1000</f>
        <v>49.05</v>
      </c>
      <c r="U8" s="204">
        <f>Parameters!$B$38*Parameters!$B$25/(Parameters!$B$37/1000)*(Parameters!$B$29*R8^2)/2</f>
        <v>14301.223723863635</v>
      </c>
      <c r="V8" s="8">
        <f>Parameters!$B$40*(Parameters!$B$29*R8^2)/2</f>
        <v>2160</v>
      </c>
      <c r="W8" s="204">
        <f t="shared" si="1"/>
        <v>16.461223723863636</v>
      </c>
      <c r="X8" s="8"/>
      <c r="Y8" s="8"/>
      <c r="Z8" s="8"/>
    </row>
    <row r="9" spans="1:26" ht="15.75" customHeight="1" x14ac:dyDescent="0.4">
      <c r="A9" s="203">
        <f t="shared" si="2"/>
        <v>7</v>
      </c>
      <c r="B9" s="204">
        <f t="shared" si="3"/>
        <v>0.7</v>
      </c>
      <c r="C9" s="204">
        <f>B9*(PI()*((Parameters!$B$37/1000)/2)^2)*(1000*60)</f>
        <v>13.194689145077131</v>
      </c>
      <c r="D9" s="204">
        <f>Parameters!$B$32*C9^2+Parameters!$B$33*C9+Parameters!$B$34</f>
        <v>143.14879763107399</v>
      </c>
      <c r="E9" s="8">
        <f>Parameters!$B$29*Parameters!$B$30*Parameters!$B$28</f>
        <v>63765</v>
      </c>
      <c r="F9" s="204">
        <f>Parameters!$B$38*Parameters!$B$25/(Parameters!$B$37/1000)*(Parameters!$B$29*B9^2)/2</f>
        <v>19465.554513036612</v>
      </c>
      <c r="G9" s="8">
        <f>Parameters!$B$39*(Parameters!$B$29*B9^2)/2</f>
        <v>1959.9999999999998</v>
      </c>
      <c r="H9" s="204">
        <f>Parameters!$B$42*B9</f>
        <v>3023.7397750000005</v>
      </c>
      <c r="I9" s="205">
        <f t="shared" si="0"/>
        <v>88.214294288036598</v>
      </c>
      <c r="J9" s="8"/>
      <c r="K9" s="8"/>
      <c r="L9" s="8"/>
      <c r="M9" s="8"/>
      <c r="N9" s="8"/>
      <c r="O9" s="8"/>
      <c r="P9" s="8"/>
      <c r="Q9" s="8">
        <f t="shared" si="4"/>
        <v>7</v>
      </c>
      <c r="R9" s="204">
        <f t="shared" si="5"/>
        <v>0.7</v>
      </c>
      <c r="S9" s="204">
        <f>R9*(PI()*((Parameters!$B$37/1000)/2)^2)*(1000*60)</f>
        <v>13.194689145077131</v>
      </c>
      <c r="T9" s="8">
        <f>Parameters!$B$29*Parameters!$B$30*(Parameters!$B$26+Parameters!$B$27)/1000</f>
        <v>49.05</v>
      </c>
      <c r="U9" s="204">
        <f>Parameters!$B$38*Parameters!$B$25/(Parameters!$B$37/1000)*(Parameters!$B$29*R9^2)/2</f>
        <v>19465.554513036612</v>
      </c>
      <c r="V9" s="8">
        <f>Parameters!$B$40*(Parameters!$B$29*R9^2)/2</f>
        <v>2939.9999999999995</v>
      </c>
      <c r="W9" s="204">
        <f t="shared" si="1"/>
        <v>22.405554513036613</v>
      </c>
      <c r="X9" s="8"/>
      <c r="Y9" s="8"/>
      <c r="Z9" s="8"/>
    </row>
    <row r="10" spans="1:26" ht="15.75" customHeight="1" x14ac:dyDescent="0.4">
      <c r="A10" s="203">
        <f t="shared" si="2"/>
        <v>8</v>
      </c>
      <c r="B10" s="204">
        <f t="shared" si="3"/>
        <v>0.8</v>
      </c>
      <c r="C10" s="204">
        <f>B10*(PI()*((Parameters!$B$37/1000)/2)^2)*(1000*60)</f>
        <v>15.079644737231009</v>
      </c>
      <c r="D10" s="204">
        <f>Parameters!$B$32*C10^2+Parameters!$B$33*C10+Parameters!$B$34</f>
        <v>141.55258228332931</v>
      </c>
      <c r="E10" s="8">
        <f>Parameters!$B$29*Parameters!$B$30*Parameters!$B$28</f>
        <v>63765</v>
      </c>
      <c r="F10" s="204">
        <f>Parameters!$B$38*Parameters!$B$25/(Parameters!$B$37/1000)*(Parameters!$B$29*B10^2)/2</f>
        <v>25424.397731313133</v>
      </c>
      <c r="G10" s="8">
        <f>Parameters!$B$39*(Parameters!$B$29*B10^2)/2</f>
        <v>2560.0000000000005</v>
      </c>
      <c r="H10" s="204">
        <f>Parameters!$B$42*B10</f>
        <v>3455.7026000000005</v>
      </c>
      <c r="I10" s="205">
        <f t="shared" si="0"/>
        <v>95.205100331313133</v>
      </c>
      <c r="J10" s="8"/>
      <c r="K10" s="8"/>
      <c r="L10" s="8"/>
      <c r="M10" s="8"/>
      <c r="N10" s="8"/>
      <c r="O10" s="8"/>
      <c r="P10" s="8"/>
      <c r="Q10" s="8">
        <f t="shared" si="4"/>
        <v>8</v>
      </c>
      <c r="R10" s="204">
        <f t="shared" si="5"/>
        <v>0.8</v>
      </c>
      <c r="S10" s="204">
        <f>R10*(PI()*((Parameters!$B$37/1000)/2)^2)*(1000*60)</f>
        <v>15.079644737231009</v>
      </c>
      <c r="T10" s="8">
        <f>Parameters!$B$29*Parameters!$B$30*(Parameters!$B$26+Parameters!$B$27)/1000</f>
        <v>49.05</v>
      </c>
      <c r="U10" s="204">
        <f>Parameters!$B$38*Parameters!$B$25/(Parameters!$B$37/1000)*(Parameters!$B$29*R10^2)/2</f>
        <v>25424.397731313133</v>
      </c>
      <c r="V10" s="8">
        <f>Parameters!$B$40*(Parameters!$B$29*R10^2)/2</f>
        <v>3840.0000000000009</v>
      </c>
      <c r="W10" s="204">
        <f t="shared" si="1"/>
        <v>29.264397731313132</v>
      </c>
      <c r="X10" s="8"/>
      <c r="Y10" s="8"/>
      <c r="Z10" s="8"/>
    </row>
    <row r="11" spans="1:26" ht="15.75" customHeight="1" x14ac:dyDescent="0.4">
      <c r="A11" s="203">
        <f t="shared" si="2"/>
        <v>9</v>
      </c>
      <c r="B11" s="204">
        <f t="shared" si="3"/>
        <v>0.9</v>
      </c>
      <c r="C11" s="204">
        <f>B11*(PI()*((Parameters!$B$37/1000)/2)^2)*(1000*60)</f>
        <v>16.964600329384883</v>
      </c>
      <c r="D11" s="204">
        <f>Parameters!$B$32*C11^2+Parameters!$B$33*C11+Parameters!$B$34</f>
        <v>139.83414175468158</v>
      </c>
      <c r="E11" s="8">
        <f>Parameters!$B$29*Parameters!$B$30*Parameters!$B$28</f>
        <v>63765</v>
      </c>
      <c r="F11" s="204">
        <f>Parameters!$B$38*Parameters!$B$25/(Parameters!$B$37/1000)*(Parameters!$B$29*B11^2)/2</f>
        <v>32177.753378693178</v>
      </c>
      <c r="G11" s="8">
        <f>Parameters!$B$39*(Parameters!$B$29*B11^2)/2</f>
        <v>3240</v>
      </c>
      <c r="H11" s="204">
        <f>Parameters!$B$42*B11</f>
        <v>3887.6654250000006</v>
      </c>
      <c r="I11" s="205">
        <f t="shared" si="0"/>
        <v>103.07041880369317</v>
      </c>
      <c r="J11" s="8"/>
      <c r="K11" s="8"/>
      <c r="L11" s="8"/>
      <c r="M11" s="8"/>
      <c r="N11" s="8"/>
      <c r="O11" s="8"/>
      <c r="P11" s="8"/>
      <c r="Q11" s="8">
        <f t="shared" si="4"/>
        <v>9</v>
      </c>
      <c r="R11" s="204">
        <f t="shared" si="5"/>
        <v>0.9</v>
      </c>
      <c r="S11" s="204">
        <f>R11*(PI()*((Parameters!$B$37/1000)/2)^2)*(1000*60)</f>
        <v>16.964600329384883</v>
      </c>
      <c r="T11" s="8">
        <f>Parameters!$B$29*Parameters!$B$30*(Parameters!$B$26+Parameters!$B$27)/1000</f>
        <v>49.05</v>
      </c>
      <c r="U11" s="204">
        <f>Parameters!$B$38*Parameters!$B$25/(Parameters!$B$37/1000)*(Parameters!$B$29*R11^2)/2</f>
        <v>32177.753378693178</v>
      </c>
      <c r="V11" s="8">
        <f>Parameters!$B$40*(Parameters!$B$29*R11^2)/2</f>
        <v>4860</v>
      </c>
      <c r="W11" s="204">
        <f t="shared" si="1"/>
        <v>37.037753378693175</v>
      </c>
      <c r="X11" s="8"/>
      <c r="Y11" s="8"/>
      <c r="Z11" s="8"/>
    </row>
    <row r="12" spans="1:26" ht="15.75" customHeight="1" x14ac:dyDescent="0.4">
      <c r="A12" s="203">
        <f t="shared" si="2"/>
        <v>10</v>
      </c>
      <c r="B12" s="204">
        <f t="shared" si="3"/>
        <v>1</v>
      </c>
      <c r="C12" s="204">
        <f>B12*(PI()*((Parameters!$B$37/1000)/2)^2)*(1000*60)</f>
        <v>18.849555921538759</v>
      </c>
      <c r="D12" s="204">
        <f>Parameters!$B$32*C12^2+Parameters!$B$33*C12+Parameters!$B$34</f>
        <v>137.99347604513076</v>
      </c>
      <c r="E12" s="8">
        <f>Parameters!$B$29*Parameters!$B$30*Parameters!$B$28</f>
        <v>63765</v>
      </c>
      <c r="F12" s="204">
        <f>Parameters!$B$38*Parameters!$B$25/(Parameters!$B$37/1000)*(Parameters!$B$29*B12^2)/2</f>
        <v>39725.621455176763</v>
      </c>
      <c r="G12" s="8">
        <f>Parameters!$B$39*(Parameters!$B$29*B12^2)/2</f>
        <v>4000</v>
      </c>
      <c r="H12" s="204">
        <f>Parameters!$B$42*B12</f>
        <v>4319.6282500000007</v>
      </c>
      <c r="I12" s="205">
        <f t="shared" si="0"/>
        <v>111.81024970517676</v>
      </c>
      <c r="J12" s="8"/>
      <c r="K12" s="8"/>
      <c r="L12" s="8"/>
      <c r="M12" s="8"/>
      <c r="N12" s="8"/>
      <c r="O12" s="8"/>
      <c r="P12" s="8"/>
      <c r="Q12" s="8">
        <f t="shared" si="4"/>
        <v>10</v>
      </c>
      <c r="R12" s="204">
        <f t="shared" si="5"/>
        <v>1</v>
      </c>
      <c r="S12" s="204">
        <f>R12*(PI()*((Parameters!$B$37/1000)/2)^2)*(1000*60)</f>
        <v>18.849555921538759</v>
      </c>
      <c r="T12" s="8">
        <f>Parameters!$B$29*Parameters!$B$30*(Parameters!$B$26+Parameters!$B$27)/1000</f>
        <v>49.05</v>
      </c>
      <c r="U12" s="204">
        <f>Parameters!$B$38*Parameters!$B$25/(Parameters!$B$37/1000)*(Parameters!$B$29*R12^2)/2</f>
        <v>39725.621455176763</v>
      </c>
      <c r="V12" s="8">
        <f>Parameters!$B$40*(Parameters!$B$29*R12^2)/2</f>
        <v>6000</v>
      </c>
      <c r="W12" s="204">
        <f t="shared" si="1"/>
        <v>45.725621455176764</v>
      </c>
      <c r="X12" s="8"/>
      <c r="Y12" s="8"/>
      <c r="Z12" s="8"/>
    </row>
    <row r="13" spans="1:26" ht="15.75" customHeight="1" x14ac:dyDescent="0.4">
      <c r="A13" s="203">
        <f t="shared" si="2"/>
        <v>11</v>
      </c>
      <c r="B13" s="204">
        <f t="shared" si="3"/>
        <v>1.1000000000000001</v>
      </c>
      <c r="C13" s="204">
        <f>B13*(PI()*((Parameters!$B$37/1000)/2)^2)*(1000*60)</f>
        <v>20.734511513692635</v>
      </c>
      <c r="D13" s="204">
        <f>Parameters!$B$32*C13^2+Parameters!$B$33*C13+Parameters!$B$34</f>
        <v>136.03058515467683</v>
      </c>
      <c r="E13" s="8">
        <f>Parameters!$B$29*Parameters!$B$30*Parameters!$B$28</f>
        <v>63765</v>
      </c>
      <c r="F13" s="204">
        <f>Parameters!$B$38*Parameters!$B$25/(Parameters!$B$37/1000)*(Parameters!$B$29*B13^2)/2</f>
        <v>48068.001960763897</v>
      </c>
      <c r="G13" s="8">
        <f>Parameters!$B$39*(Parameters!$B$29*B13^2)/2</f>
        <v>4840.0000000000009</v>
      </c>
      <c r="H13" s="204">
        <f>Parameters!$B$42*B13</f>
        <v>4751.5910750000012</v>
      </c>
      <c r="I13" s="205">
        <f t="shared" si="0"/>
        <v>121.42459303576391</v>
      </c>
      <c r="J13" s="8"/>
      <c r="K13" s="8"/>
      <c r="L13" s="8"/>
      <c r="M13" s="8"/>
      <c r="N13" s="8"/>
      <c r="O13" s="8"/>
      <c r="P13" s="8"/>
      <c r="Q13" s="8">
        <f t="shared" si="4"/>
        <v>11</v>
      </c>
      <c r="R13" s="204">
        <f t="shared" si="5"/>
        <v>1.1000000000000001</v>
      </c>
      <c r="S13" s="204">
        <f>R13*(PI()*((Parameters!$B$37/1000)/2)^2)*(1000*60)</f>
        <v>20.734511513692635</v>
      </c>
      <c r="T13" s="8">
        <f>Parameters!$B$29*Parameters!$B$30*(Parameters!$B$26+Parameters!$B$27)/1000</f>
        <v>49.05</v>
      </c>
      <c r="U13" s="204">
        <f>Parameters!$B$38*Parameters!$B$25/(Parameters!$B$37/1000)*(Parameters!$B$29*R13^2)/2</f>
        <v>48068.001960763897</v>
      </c>
      <c r="V13" s="8">
        <f>Parameters!$B$40*(Parameters!$B$29*R13^2)/2</f>
        <v>7260.0000000000018</v>
      </c>
      <c r="W13" s="204">
        <f t="shared" si="1"/>
        <v>55.328001960763899</v>
      </c>
      <c r="X13" s="8"/>
      <c r="Y13" s="8"/>
      <c r="Z13" s="8"/>
    </row>
    <row r="14" spans="1:26" ht="15.75" customHeight="1" x14ac:dyDescent="0.4">
      <c r="A14" s="203">
        <f t="shared" si="2"/>
        <v>12</v>
      </c>
      <c r="B14" s="204">
        <f t="shared" si="3"/>
        <v>1.2</v>
      </c>
      <c r="C14" s="204">
        <f>B14*(PI()*((Parameters!$B$37/1000)/2)^2)*(1000*60)</f>
        <v>22.619467105846507</v>
      </c>
      <c r="D14" s="204">
        <f>Parameters!$B$32*C14^2+Parameters!$B$33*C14+Parameters!$B$34</f>
        <v>133.94546908331981</v>
      </c>
      <c r="E14" s="8">
        <f>Parameters!$B$29*Parameters!$B$30*Parameters!$B$28</f>
        <v>63765</v>
      </c>
      <c r="F14" s="204">
        <f>Parameters!$B$38*Parameters!$B$25/(Parameters!$B$37/1000)*(Parameters!$B$29*B14^2)/2</f>
        <v>57204.894895454541</v>
      </c>
      <c r="G14" s="8">
        <f>Parameters!$B$39*(Parameters!$B$29*B14^2)/2</f>
        <v>5760</v>
      </c>
      <c r="H14" s="204">
        <f>Parameters!$B$42*B14</f>
        <v>5183.5539000000008</v>
      </c>
      <c r="I14" s="205">
        <f t="shared" si="0"/>
        <v>131.91344879545454</v>
      </c>
      <c r="J14" s="8"/>
      <c r="K14" s="8"/>
      <c r="L14" s="8"/>
      <c r="M14" s="8"/>
      <c r="N14" s="8"/>
      <c r="O14" s="8"/>
      <c r="P14" s="8"/>
      <c r="Q14" s="8">
        <f t="shared" si="4"/>
        <v>12</v>
      </c>
      <c r="R14" s="204">
        <f t="shared" si="5"/>
        <v>1.2</v>
      </c>
      <c r="S14" s="204">
        <f>R14*(PI()*((Parameters!$B$37/1000)/2)^2)*(1000*60)</f>
        <v>22.619467105846507</v>
      </c>
      <c r="T14" s="8">
        <f>Parameters!$B$29*Parameters!$B$30*(Parameters!$B$26+Parameters!$B$27)/1000</f>
        <v>49.05</v>
      </c>
      <c r="U14" s="204">
        <f>Parameters!$B$38*Parameters!$B$25/(Parameters!$B$37/1000)*(Parameters!$B$29*R14^2)/2</f>
        <v>57204.894895454541</v>
      </c>
      <c r="V14" s="8">
        <f>Parameters!$B$40*(Parameters!$B$29*R14^2)/2</f>
        <v>8640</v>
      </c>
      <c r="W14" s="204">
        <f t="shared" si="1"/>
        <v>65.844894895454544</v>
      </c>
      <c r="X14" s="8"/>
      <c r="Y14" s="8"/>
      <c r="Z14" s="8"/>
    </row>
    <row r="15" spans="1:26" ht="15.75" customHeight="1" x14ac:dyDescent="0.4">
      <c r="A15" s="203">
        <f t="shared" si="2"/>
        <v>13</v>
      </c>
      <c r="B15" s="204">
        <f t="shared" si="3"/>
        <v>1.3</v>
      </c>
      <c r="C15" s="204">
        <f>B15*(PI()*((Parameters!$B$37/1000)/2)^2)*(1000*60)</f>
        <v>24.504422698000386</v>
      </c>
      <c r="D15" s="204">
        <f>Parameters!$B$32*C15^2+Parameters!$B$33*C15+Parameters!$B$34</f>
        <v>131.73812783105973</v>
      </c>
      <c r="E15" s="8">
        <f>Parameters!$B$29*Parameters!$B$30*Parameters!$B$28</f>
        <v>63765</v>
      </c>
      <c r="F15" s="204">
        <f>Parameters!$B$38*Parameters!$B$25/(Parameters!$B$37/1000)*(Parameters!$B$29*B15^2)/2</f>
        <v>67136.300259248746</v>
      </c>
      <c r="G15" s="8">
        <f>Parameters!$B$39*(Parameters!$B$29*B15^2)/2</f>
        <v>6760.0000000000009</v>
      </c>
      <c r="H15" s="204">
        <f>Parameters!$B$42*B15</f>
        <v>5615.5167250000013</v>
      </c>
      <c r="I15" s="205">
        <f t="shared" si="0"/>
        <v>143.27681698424877</v>
      </c>
      <c r="Q15" s="8">
        <f t="shared" si="4"/>
        <v>13</v>
      </c>
      <c r="R15" s="204">
        <f t="shared" si="5"/>
        <v>1.3</v>
      </c>
      <c r="S15" s="204">
        <f>R15*(PI()*((Parameters!$B$37/1000)/2)^2)*(1000*60)</f>
        <v>24.504422698000386</v>
      </c>
      <c r="T15" s="8">
        <f>Parameters!$B$29*Parameters!$B$30*(Parameters!$B$26+Parameters!$B$27)/1000</f>
        <v>49.05</v>
      </c>
      <c r="U15" s="204">
        <f>Parameters!$B$38*Parameters!$B$25/(Parameters!$B$37/1000)*(Parameters!$B$29*R15^2)/2</f>
        <v>67136.300259248746</v>
      </c>
      <c r="V15" s="8">
        <f>Parameters!$B$40*(Parameters!$B$29*R15^2)/2</f>
        <v>10140.000000000002</v>
      </c>
      <c r="W15" s="204">
        <f t="shared" si="1"/>
        <v>77.276300259248742</v>
      </c>
      <c r="X15" s="8"/>
      <c r="Y15" s="8"/>
      <c r="Z15" s="8"/>
    </row>
    <row r="16" spans="1:26" ht="15.75" customHeight="1" x14ac:dyDescent="0.4">
      <c r="A16" s="203">
        <f t="shared" si="2"/>
        <v>14</v>
      </c>
      <c r="B16" s="204">
        <f t="shared" si="3"/>
        <v>1.4</v>
      </c>
      <c r="C16" s="204">
        <f>B16*(PI()*((Parameters!$B$37/1000)/2)^2)*(1000*60)</f>
        <v>26.389378290154262</v>
      </c>
      <c r="D16" s="204">
        <f>Parameters!$B$32*C16^2+Parameters!$B$33*C16+Parameters!$B$34</f>
        <v>129.40856139789651</v>
      </c>
      <c r="E16" s="8">
        <f>Parameters!$B$29*Parameters!$B$30*Parameters!$B$28</f>
        <v>63765</v>
      </c>
      <c r="F16" s="204">
        <f>Parameters!$B$38*Parameters!$B$25/(Parameters!$B$37/1000)*(Parameters!$B$29*B16^2)/2</f>
        <v>77862.218052146447</v>
      </c>
      <c r="G16" s="8">
        <f>Parameters!$B$39*(Parameters!$B$29*B16^2)/2</f>
        <v>7839.9999999999991</v>
      </c>
      <c r="H16" s="204">
        <f>Parameters!$B$42*B16</f>
        <v>6047.4795500000009</v>
      </c>
      <c r="I16" s="205">
        <f t="shared" si="0"/>
        <v>155.51469760214641</v>
      </c>
      <c r="Q16" s="8">
        <f t="shared" si="4"/>
        <v>14</v>
      </c>
      <c r="R16" s="204">
        <f t="shared" si="5"/>
        <v>1.4</v>
      </c>
      <c r="S16" s="204">
        <f>R16*(PI()*((Parameters!$B$37/1000)/2)^2)*(1000*60)</f>
        <v>26.389378290154262</v>
      </c>
      <c r="T16" s="8">
        <f>Parameters!$B$29*Parameters!$B$30*(Parameters!$B$26+Parameters!$B$27)/1000</f>
        <v>49.05</v>
      </c>
      <c r="U16" s="204">
        <f>Parameters!$B$38*Parameters!$B$25/(Parameters!$B$37/1000)*(Parameters!$B$29*R16^2)/2</f>
        <v>77862.218052146447</v>
      </c>
      <c r="V16" s="8">
        <f>Parameters!$B$40*(Parameters!$B$29*R16^2)/2</f>
        <v>11759.999999999998</v>
      </c>
      <c r="W16" s="204">
        <f t="shared" si="1"/>
        <v>89.622218052146451</v>
      </c>
      <c r="X16" s="8"/>
      <c r="Y16" s="8"/>
      <c r="Z16" s="8"/>
    </row>
    <row r="17" spans="1:26" ht="15.75" customHeight="1" x14ac:dyDescent="0.4">
      <c r="A17" s="203">
        <f t="shared" si="2"/>
        <v>15</v>
      </c>
      <c r="B17" s="204">
        <f t="shared" si="3"/>
        <v>1.5</v>
      </c>
      <c r="C17" s="204">
        <f>B17*(PI()*((Parameters!$B$37/1000)/2)^2)*(1000*60)</f>
        <v>28.274333882308138</v>
      </c>
      <c r="D17" s="204">
        <f>Parameters!$B$32*C17^2+Parameters!$B$33*C17+Parameters!$B$34</f>
        <v>126.95676978383023</v>
      </c>
      <c r="E17" s="8">
        <f>Parameters!$B$29*Parameters!$B$30*Parameters!$B$28</f>
        <v>63765</v>
      </c>
      <c r="F17" s="204">
        <f>Parameters!$B$38*Parameters!$B$25/(Parameters!$B$37/1000)*(Parameters!$B$29*B17^2)/2</f>
        <v>89382.648274147723</v>
      </c>
      <c r="G17" s="8">
        <f>Parameters!$B$39*(Parameters!$B$29*B17^2)/2</f>
        <v>9000</v>
      </c>
      <c r="H17" s="204">
        <f>Parameters!$B$42*B17</f>
        <v>6479.4423750000005</v>
      </c>
      <c r="I17" s="205">
        <f t="shared" si="0"/>
        <v>168.62709064914773</v>
      </c>
      <c r="Q17" s="8">
        <f t="shared" si="4"/>
        <v>15</v>
      </c>
      <c r="R17" s="204">
        <f t="shared" si="5"/>
        <v>1.5</v>
      </c>
      <c r="S17" s="204">
        <f>R17*(PI()*((Parameters!$B$37/1000)/2)^2)*(1000*60)</f>
        <v>28.274333882308138</v>
      </c>
      <c r="T17" s="8">
        <f>Parameters!$B$29*Parameters!$B$30*(Parameters!$B$26+Parameters!$B$27)/1000</f>
        <v>49.05</v>
      </c>
      <c r="U17" s="204">
        <f>Parameters!$B$38*Parameters!$B$25/(Parameters!$B$37/1000)*(Parameters!$B$29*R17^2)/2</f>
        <v>89382.648274147723</v>
      </c>
      <c r="V17" s="8">
        <f>Parameters!$B$40*(Parameters!$B$29*R17^2)/2</f>
        <v>13500</v>
      </c>
      <c r="W17" s="204">
        <f t="shared" si="1"/>
        <v>102.88264827414773</v>
      </c>
      <c r="X17" s="8"/>
      <c r="Y17" s="8"/>
      <c r="Z17" s="8"/>
    </row>
    <row r="18" spans="1:26" ht="15.75" customHeight="1" x14ac:dyDescent="0.4">
      <c r="A18" s="203">
        <f t="shared" si="2"/>
        <v>16</v>
      </c>
      <c r="B18" s="204">
        <f t="shared" si="3"/>
        <v>1.6</v>
      </c>
      <c r="C18" s="204">
        <f>B18*(PI()*((Parameters!$B$37/1000)/2)^2)*(1000*60)</f>
        <v>30.159289474462017</v>
      </c>
      <c r="D18" s="204">
        <f>Parameters!$B$32*C18^2+Parameters!$B$33*C18+Parameters!$B$34</f>
        <v>124.38275298886084</v>
      </c>
      <c r="E18" s="8">
        <f>Parameters!$B$29*Parameters!$B$30*Parameters!$B$28</f>
        <v>63765</v>
      </c>
      <c r="F18" s="204">
        <f>Parameters!$B$38*Parameters!$B$25/(Parameters!$B$37/1000)*(Parameters!$B$29*B18^2)/2</f>
        <v>101697.59092525253</v>
      </c>
      <c r="G18" s="8">
        <f>Parameters!$B$39*(Parameters!$B$29*B18^2)/2</f>
        <v>10240.000000000002</v>
      </c>
      <c r="H18" s="204">
        <f>Parameters!$B$42*B18</f>
        <v>6911.4052000000011</v>
      </c>
      <c r="I18" s="205">
        <f t="shared" si="0"/>
        <v>182.61399612525253</v>
      </c>
      <c r="Q18" s="8">
        <f t="shared" si="4"/>
        <v>16</v>
      </c>
      <c r="R18" s="204">
        <f t="shared" si="5"/>
        <v>1.6</v>
      </c>
      <c r="S18" s="204">
        <f>R18*(PI()*((Parameters!$B$37/1000)/2)^2)*(1000*60)</f>
        <v>30.159289474462017</v>
      </c>
      <c r="T18" s="8">
        <f>Parameters!$B$29*Parameters!$B$30*(Parameters!$B$26+Parameters!$B$27)/1000</f>
        <v>49.05</v>
      </c>
      <c r="U18" s="204">
        <f>Parameters!$B$38*Parameters!$B$25/(Parameters!$B$37/1000)*(Parameters!$B$29*R18^2)/2</f>
        <v>101697.59092525253</v>
      </c>
      <c r="V18" s="8">
        <f>Parameters!$B$40*(Parameters!$B$29*R18^2)/2</f>
        <v>15360.000000000004</v>
      </c>
      <c r="W18" s="204">
        <f t="shared" si="1"/>
        <v>117.05759092525253</v>
      </c>
      <c r="X18" s="8"/>
      <c r="Y18" s="8"/>
      <c r="Z18" s="8"/>
    </row>
    <row r="19" spans="1:26" ht="15.75" customHeight="1" x14ac:dyDescent="0.4">
      <c r="A19" s="203">
        <f t="shared" si="2"/>
        <v>17</v>
      </c>
      <c r="B19" s="204">
        <f t="shared" si="3"/>
        <v>1.7</v>
      </c>
      <c r="C19" s="204">
        <f>B19*(PI()*((Parameters!$B$37/1000)/2)^2)*(1000*60)</f>
        <v>32.044245066615886</v>
      </c>
      <c r="D19" s="204">
        <f>Parameters!$B$32*C19^2+Parameters!$B$33*C19+Parameters!$B$34</f>
        <v>121.68651101298839</v>
      </c>
      <c r="E19" s="8">
        <f>Parameters!$B$29*Parameters!$B$30*Parameters!$B$28</f>
        <v>63765</v>
      </c>
      <c r="F19" s="204">
        <f>Parameters!$B$38*Parameters!$B$25/(Parameters!$B$37/1000)*(Parameters!$B$29*B19^2)/2</f>
        <v>114807.04600546083</v>
      </c>
      <c r="G19" s="8">
        <f>Parameters!$B$39*(Parameters!$B$29*B19^2)/2</f>
        <v>11559.999999999998</v>
      </c>
      <c r="H19" s="204">
        <f>Parameters!$B$42*B19</f>
        <v>7343.3680250000007</v>
      </c>
      <c r="I19" s="205">
        <f t="shared" si="0"/>
        <v>197.47541403046085</v>
      </c>
      <c r="J19" s="8"/>
      <c r="K19" s="8"/>
      <c r="L19" s="8"/>
      <c r="M19" s="8"/>
      <c r="N19" s="8"/>
      <c r="O19" s="8"/>
      <c r="P19" s="8"/>
      <c r="Q19" s="8">
        <f t="shared" si="4"/>
        <v>17</v>
      </c>
      <c r="R19" s="204">
        <f t="shared" si="5"/>
        <v>1.7</v>
      </c>
      <c r="S19" s="204">
        <f>R19*(PI()*((Parameters!$B$37/1000)/2)^2)*(1000*60)</f>
        <v>32.044245066615886</v>
      </c>
      <c r="T19" s="8">
        <f>Parameters!$B$29*Parameters!$B$30*(Parameters!$B$26+Parameters!$B$27)/1000</f>
        <v>49.05</v>
      </c>
      <c r="U19" s="204">
        <f>Parameters!$B$38*Parameters!$B$25/(Parameters!$B$37/1000)*(Parameters!$B$29*R19^2)/2</f>
        <v>114807.04600546083</v>
      </c>
      <c r="V19" s="8">
        <f>Parameters!$B$40*(Parameters!$B$29*R19^2)/2</f>
        <v>17339.999999999996</v>
      </c>
      <c r="W19" s="204">
        <f t="shared" si="1"/>
        <v>132.14704600546082</v>
      </c>
      <c r="X19" s="8"/>
      <c r="Y19" s="8"/>
      <c r="Z19" s="8"/>
    </row>
    <row r="20" spans="1:26" ht="15.75" customHeight="1" x14ac:dyDescent="0.4">
      <c r="A20" s="203">
        <f t="shared" si="2"/>
        <v>18</v>
      </c>
      <c r="B20" s="204">
        <f t="shared" si="3"/>
        <v>1.8</v>
      </c>
      <c r="C20" s="204">
        <f>B20*(PI()*((Parameters!$B$37/1000)/2)^2)*(1000*60)</f>
        <v>33.929200658769766</v>
      </c>
      <c r="D20" s="204">
        <f>Parameters!$B$32*C20^2+Parameters!$B$33*C20+Parameters!$B$34</f>
        <v>118.86804385621284</v>
      </c>
      <c r="E20" s="8">
        <f>Parameters!$B$29*Parameters!$B$30*Parameters!$B$28</f>
        <v>63765</v>
      </c>
      <c r="F20" s="204">
        <f>Parameters!$B$38*Parameters!$B$25/(Parameters!$B$37/1000)*(Parameters!$B$29*B20^2)/2</f>
        <v>128711.01351477271</v>
      </c>
      <c r="G20" s="8">
        <f>Parameters!$B$39*(Parameters!$B$29*B20^2)/2</f>
        <v>12960</v>
      </c>
      <c r="H20" s="204">
        <f>Parameters!$B$42*B20</f>
        <v>7775.3308500000012</v>
      </c>
      <c r="I20" s="205">
        <f t="shared" si="0"/>
        <v>213.21134436477269</v>
      </c>
      <c r="J20" s="8"/>
      <c r="K20" s="8"/>
      <c r="L20" s="8"/>
      <c r="M20" s="8"/>
      <c r="N20" s="8"/>
      <c r="O20" s="8"/>
      <c r="P20" s="8"/>
      <c r="Q20" s="8">
        <f t="shared" si="4"/>
        <v>18</v>
      </c>
      <c r="R20" s="204">
        <f t="shared" si="5"/>
        <v>1.8</v>
      </c>
      <c r="S20" s="204">
        <f>R20*(PI()*((Parameters!$B$37/1000)/2)^2)*(1000*60)</f>
        <v>33.929200658769766</v>
      </c>
      <c r="T20" s="8">
        <f>Parameters!$B$29*Parameters!$B$30*(Parameters!$B$26+Parameters!$B$27)/1000</f>
        <v>49.05</v>
      </c>
      <c r="U20" s="204">
        <f>Parameters!$B$38*Parameters!$B$25/(Parameters!$B$37/1000)*(Parameters!$B$29*R20^2)/2</f>
        <v>128711.01351477271</v>
      </c>
      <c r="V20" s="8">
        <f>Parameters!$B$40*(Parameters!$B$29*R20^2)/2</f>
        <v>19440</v>
      </c>
      <c r="W20" s="204">
        <f t="shared" si="1"/>
        <v>148.1510135147727</v>
      </c>
      <c r="X20" s="8"/>
      <c r="Y20" s="8"/>
      <c r="Z20" s="8"/>
    </row>
    <row r="21" spans="1:26" ht="15.75" customHeight="1" x14ac:dyDescent="0.4">
      <c r="A21" s="203">
        <f t="shared" si="2"/>
        <v>19</v>
      </c>
      <c r="B21" s="204">
        <f t="shared" si="3"/>
        <v>1.9</v>
      </c>
      <c r="C21" s="204">
        <f>B21*(PI()*((Parameters!$B$37/1000)/2)^2)*(1000*60)</f>
        <v>35.814156250923638</v>
      </c>
      <c r="D21" s="204">
        <f>Parameters!$B$32*C21^2+Parameters!$B$33*C21+Parameters!$B$34</f>
        <v>115.92735151853418</v>
      </c>
      <c r="E21" s="8">
        <f>Parameters!$B$29*Parameters!$B$30*Parameters!$B$28</f>
        <v>63765</v>
      </c>
      <c r="F21" s="204">
        <f>Parameters!$B$38*Parameters!$B$25/(Parameters!$B$37/1000)*(Parameters!$B$29*B21^2)/2</f>
        <v>143409.49345318813</v>
      </c>
      <c r="G21" s="8">
        <f>Parameters!$B$39*(Parameters!$B$29*B21^2)/2</f>
        <v>14440</v>
      </c>
      <c r="H21" s="204">
        <f>Parameters!$B$42*B21</f>
        <v>8207.2936750000008</v>
      </c>
      <c r="I21" s="205">
        <f t="shared" si="0"/>
        <v>229.82178712818813</v>
      </c>
      <c r="K21" s="8" t="s">
        <v>264</v>
      </c>
      <c r="L21" s="206">
        <v>35.81</v>
      </c>
      <c r="M21" s="8" t="s">
        <v>54</v>
      </c>
      <c r="N21" s="207" t="s">
        <v>265</v>
      </c>
      <c r="O21" s="8"/>
      <c r="P21" s="8"/>
      <c r="Q21" s="8">
        <f t="shared" si="4"/>
        <v>19</v>
      </c>
      <c r="R21" s="204">
        <f t="shared" si="5"/>
        <v>1.9</v>
      </c>
      <c r="S21" s="204">
        <f>R21*(PI()*((Parameters!$B$37/1000)/2)^2)*(1000*60)</f>
        <v>35.814156250923638</v>
      </c>
      <c r="T21" s="8">
        <f>Parameters!$B$29*Parameters!$B$30*(Parameters!$B$26+Parameters!$B$27)/1000</f>
        <v>49.05</v>
      </c>
      <c r="U21" s="204">
        <f>Parameters!$B$38*Parameters!$B$25/(Parameters!$B$37/1000)*(Parameters!$B$29*R21^2)/2</f>
        <v>143409.49345318813</v>
      </c>
      <c r="V21" s="8">
        <f>Parameters!$B$40*(Parameters!$B$29*R21^2)/2</f>
        <v>21660</v>
      </c>
      <c r="W21" s="204">
        <f t="shared" si="1"/>
        <v>165.06949345318813</v>
      </c>
      <c r="X21" s="8"/>
      <c r="Y21" s="8"/>
      <c r="Z21" s="8"/>
    </row>
    <row r="22" spans="1:26" ht="15.75" customHeight="1" x14ac:dyDescent="0.4">
      <c r="A22" s="203">
        <f t="shared" si="2"/>
        <v>20</v>
      </c>
      <c r="B22" s="204">
        <f t="shared" si="3"/>
        <v>2</v>
      </c>
      <c r="C22" s="204">
        <f>B22*(PI()*((Parameters!$B$37/1000)/2)^2)*(1000*60)</f>
        <v>37.699111843077517</v>
      </c>
      <c r="D22" s="204">
        <f>Parameters!$B$32*C22^2+Parameters!$B$33*C22+Parameters!$B$34</f>
        <v>112.86443399995244</v>
      </c>
      <c r="E22" s="8">
        <f>Parameters!$B$29*Parameters!$B$30*Parameters!$B$28</f>
        <v>63765</v>
      </c>
      <c r="F22" s="204">
        <f>Parameters!$B$38*Parameters!$B$25/(Parameters!$B$37/1000)*(Parameters!$B$29*B22^2)/2</f>
        <v>158902.48582070705</v>
      </c>
      <c r="G22" s="8">
        <f>Parameters!$B$39*(Parameters!$B$29*B22^2)/2</f>
        <v>16000</v>
      </c>
      <c r="H22" s="204">
        <f>Parameters!$B$42*B22</f>
        <v>8639.2565000000013</v>
      </c>
      <c r="I22" s="205">
        <f t="shared" si="0"/>
        <v>247.30674232070703</v>
      </c>
      <c r="O22" s="8"/>
      <c r="P22" s="8"/>
      <c r="Q22" s="8">
        <f t="shared" si="4"/>
        <v>20</v>
      </c>
      <c r="R22" s="204">
        <f t="shared" si="5"/>
        <v>2</v>
      </c>
      <c r="S22" s="204">
        <f>R22*(PI()*((Parameters!$B$37/1000)/2)^2)*(1000*60)</f>
        <v>37.699111843077517</v>
      </c>
      <c r="T22" s="8">
        <f>Parameters!$B$29*Parameters!$B$30*(Parameters!$B$26+Parameters!$B$27)/1000</f>
        <v>49.05</v>
      </c>
      <c r="U22" s="204">
        <f>Parameters!$B$38*Parameters!$B$25/(Parameters!$B$37/1000)*(Parameters!$B$29*R22^2)/2</f>
        <v>158902.48582070705</v>
      </c>
      <c r="V22" s="8">
        <f>Parameters!$B$40*(Parameters!$B$29*R22^2)/2</f>
        <v>24000</v>
      </c>
      <c r="W22" s="204">
        <f t="shared" si="1"/>
        <v>182.90248582070706</v>
      </c>
      <c r="X22" s="8"/>
      <c r="Y22" s="8"/>
      <c r="Z22" s="8"/>
    </row>
    <row r="23" spans="1:26" ht="15.75" customHeight="1" x14ac:dyDescent="0.4">
      <c r="A23" s="203">
        <f t="shared" si="2"/>
        <v>21</v>
      </c>
      <c r="B23" s="204">
        <f t="shared" si="3"/>
        <v>2.1</v>
      </c>
      <c r="C23" s="204">
        <f>B23*(PI()*((Parameters!$B$37/1000)/2)^2)*(1000*60)</f>
        <v>39.584067435231397</v>
      </c>
      <c r="D23" s="204">
        <f>Parameters!$B$32*C23^2+Parameters!$B$33*C23+Parameters!$B$34</f>
        <v>109.67929130046761</v>
      </c>
      <c r="E23" s="8">
        <f>Parameters!$B$29*Parameters!$B$30*Parameters!$B$28</f>
        <v>63765</v>
      </c>
      <c r="F23" s="204">
        <f>Parameters!$B$38*Parameters!$B$25/(Parameters!$B$37/1000)*(Parameters!$B$29*B23^2)/2</f>
        <v>175189.99061732952</v>
      </c>
      <c r="G23" s="8">
        <f>Parameters!$B$39*(Parameters!$B$29*B23^2)/2</f>
        <v>17640</v>
      </c>
      <c r="H23" s="204">
        <f>Parameters!$B$42*B23</f>
        <v>9071.2193250000018</v>
      </c>
      <c r="I23" s="205">
        <f t="shared" si="0"/>
        <v>265.66620994232949</v>
      </c>
      <c r="O23" s="8"/>
      <c r="P23" s="8"/>
      <c r="Q23" s="8">
        <f t="shared" si="4"/>
        <v>21</v>
      </c>
      <c r="R23" s="204">
        <f t="shared" si="5"/>
        <v>2.1</v>
      </c>
      <c r="S23" s="204">
        <f>R23*(PI()*((Parameters!$B$37/1000)/2)^2)*(1000*60)</f>
        <v>39.584067435231397</v>
      </c>
      <c r="T23" s="8">
        <f>Parameters!$B$29*Parameters!$B$30*(Parameters!$B$26+Parameters!$B$27)/1000</f>
        <v>49.05</v>
      </c>
      <c r="U23" s="204">
        <f>Parameters!$B$38*Parameters!$B$25/(Parameters!$B$37/1000)*(Parameters!$B$29*R23^2)/2</f>
        <v>175189.99061732952</v>
      </c>
      <c r="V23" s="8">
        <f>Parameters!$B$40*(Parameters!$B$29*R23^2)/2</f>
        <v>26460</v>
      </c>
      <c r="W23" s="204">
        <f t="shared" si="1"/>
        <v>201.64999061732951</v>
      </c>
      <c r="X23" s="8"/>
      <c r="Y23" s="8"/>
      <c r="Z23" s="8"/>
    </row>
    <row r="24" spans="1:26" ht="15.75" customHeight="1" x14ac:dyDescent="0.4">
      <c r="A24" s="203">
        <f t="shared" si="2"/>
        <v>22</v>
      </c>
      <c r="B24" s="204">
        <f t="shared" si="3"/>
        <v>2.2000000000000002</v>
      </c>
      <c r="C24" s="204">
        <f>B24*(PI()*((Parameters!$B$37/1000)/2)^2)*(1000*60)</f>
        <v>41.469023027385269</v>
      </c>
      <c r="D24" s="204">
        <f>Parameters!$B$32*C24^2+Parameters!$B$33*C24+Parameters!$B$34</f>
        <v>106.3719234200797</v>
      </c>
      <c r="E24" s="8">
        <f>Parameters!$B$29*Parameters!$B$30*Parameters!$B$28</f>
        <v>63765</v>
      </c>
      <c r="F24" s="204">
        <f>Parameters!$B$38*Parameters!$B$25/(Parameters!$B$37/1000)*(Parameters!$B$29*B24^2)/2</f>
        <v>192272.00784305559</v>
      </c>
      <c r="G24" s="8">
        <f>Parameters!$B$39*(Parameters!$B$29*B24^2)/2</f>
        <v>19360.000000000004</v>
      </c>
      <c r="H24" s="204">
        <f>Parameters!$B$42*B24</f>
        <v>9503.1821500000024</v>
      </c>
      <c r="I24" s="205">
        <f t="shared" si="0"/>
        <v>284.90018999305562</v>
      </c>
      <c r="J24" s="8"/>
      <c r="K24" s="8"/>
      <c r="L24" s="8"/>
      <c r="M24" s="8"/>
      <c r="O24" s="8"/>
      <c r="P24" s="8"/>
      <c r="Q24" s="8">
        <f t="shared" si="4"/>
        <v>22</v>
      </c>
      <c r="R24" s="204">
        <f t="shared" si="5"/>
        <v>2.2000000000000002</v>
      </c>
      <c r="S24" s="204">
        <f>R24*(PI()*((Parameters!$B$37/1000)/2)^2)*(1000*60)</f>
        <v>41.469023027385269</v>
      </c>
      <c r="T24" s="8">
        <f>Parameters!$B$29*Parameters!$B$30*(Parameters!$B$26+Parameters!$B$27)/1000</f>
        <v>49.05</v>
      </c>
      <c r="U24" s="204">
        <f>Parameters!$B$38*Parameters!$B$25/(Parameters!$B$37/1000)*(Parameters!$B$29*R24^2)/2</f>
        <v>192272.00784305559</v>
      </c>
      <c r="V24" s="8">
        <f>Parameters!$B$40*(Parameters!$B$29*R24^2)/2</f>
        <v>29040.000000000007</v>
      </c>
      <c r="W24" s="204">
        <f t="shared" si="1"/>
        <v>221.3120078430556</v>
      </c>
      <c r="X24" s="8"/>
      <c r="Y24" s="8"/>
      <c r="Z24" s="8"/>
    </row>
    <row r="25" spans="1:26" ht="15.75" customHeight="1" x14ac:dyDescent="0.4">
      <c r="A25" s="203">
        <f t="shared" si="2"/>
        <v>23</v>
      </c>
      <c r="B25" s="204">
        <f t="shared" si="3"/>
        <v>2.2999999999999998</v>
      </c>
      <c r="C25" s="204">
        <f>B25*(PI()*((Parameters!$B$37/1000)/2)^2)*(1000*60)</f>
        <v>43.353978619539141</v>
      </c>
      <c r="D25" s="204">
        <f>Parameters!$B$32*C25^2+Parameters!$B$33*C25+Parameters!$B$34</f>
        <v>102.94233035878868</v>
      </c>
      <c r="E25" s="8">
        <f>Parameters!$B$29*Parameters!$B$30*Parameters!$B$28</f>
        <v>63765</v>
      </c>
      <c r="F25" s="204">
        <f>Parameters!$B$38*Parameters!$B$25/(Parameters!$B$37/1000)*(Parameters!$B$29*B25^2)/2</f>
        <v>210148.53749788506</v>
      </c>
      <c r="G25" s="8">
        <f>Parameters!$B$39*(Parameters!$B$29*B25^2)/2</f>
        <v>21159.999999999996</v>
      </c>
      <c r="H25" s="204">
        <f>Parameters!$B$42*B25</f>
        <v>9935.1449750000011</v>
      </c>
      <c r="I25" s="205">
        <f t="shared" si="0"/>
        <v>305.00868247288508</v>
      </c>
      <c r="J25" s="8"/>
      <c r="K25" s="8" t="s">
        <v>266</v>
      </c>
      <c r="L25" s="8"/>
      <c r="M25" s="8"/>
      <c r="N25" s="8"/>
      <c r="O25" s="8"/>
      <c r="P25" s="8"/>
      <c r="Q25" s="8">
        <f t="shared" si="4"/>
        <v>23</v>
      </c>
      <c r="R25" s="204">
        <f t="shared" si="5"/>
        <v>2.2999999999999998</v>
      </c>
      <c r="S25" s="204">
        <f>R25*(PI()*((Parameters!$B$37/1000)/2)^2)*(1000*60)</f>
        <v>43.353978619539141</v>
      </c>
      <c r="T25" s="8">
        <f>Parameters!$B$29*Parameters!$B$30*(Parameters!$B$26+Parameters!$B$27)/1000</f>
        <v>49.05</v>
      </c>
      <c r="U25" s="204">
        <f>Parameters!$B$38*Parameters!$B$25/(Parameters!$B$37/1000)*(Parameters!$B$29*R25^2)/2</f>
        <v>210148.53749788506</v>
      </c>
      <c r="V25" s="8">
        <f>Parameters!$B$40*(Parameters!$B$29*R25^2)/2</f>
        <v>31739.999999999993</v>
      </c>
      <c r="W25" s="204">
        <f t="shared" si="1"/>
        <v>241.88853749788507</v>
      </c>
      <c r="X25" s="8"/>
      <c r="Y25" s="8"/>
      <c r="Z25" s="8"/>
    </row>
    <row r="26" spans="1:26" ht="15.75" customHeight="1" x14ac:dyDescent="0.4">
      <c r="A26" s="203">
        <f t="shared" si="2"/>
        <v>24</v>
      </c>
      <c r="B26" s="204">
        <f t="shared" si="3"/>
        <v>2.4</v>
      </c>
      <c r="C26" s="204">
        <f>B26*(PI()*((Parameters!$B$37/1000)/2)^2)*(1000*60)</f>
        <v>45.238934211693014</v>
      </c>
      <c r="D26" s="204">
        <f>Parameters!$B$32*C26^2+Parameters!$B$33*C26+Parameters!$B$34</f>
        <v>99.390512116594579</v>
      </c>
      <c r="E26" s="8">
        <f>Parameters!$B$29*Parameters!$B$30*Parameters!$B$28</f>
        <v>63765</v>
      </c>
      <c r="F26" s="204">
        <f>Parameters!$B$38*Parameters!$B$25/(Parameters!$B$37/1000)*(Parameters!$B$29*B26^2)/2</f>
        <v>228819.57958181817</v>
      </c>
      <c r="G26" s="8">
        <f>Parameters!$B$39*(Parameters!$B$29*B26^2)/2</f>
        <v>23040</v>
      </c>
      <c r="H26" s="204">
        <f>Parameters!$B$42*B26</f>
        <v>10367.107800000002</v>
      </c>
      <c r="I26" s="205">
        <f t="shared" si="0"/>
        <v>325.99168738181817</v>
      </c>
      <c r="J26" s="8"/>
      <c r="K26" s="206">
        <v>20.73</v>
      </c>
      <c r="L26" s="207" t="s">
        <v>267</v>
      </c>
      <c r="M26" s="8"/>
      <c r="N26" s="8"/>
      <c r="O26" s="8"/>
      <c r="P26" s="8"/>
      <c r="Q26" s="8">
        <f t="shared" si="4"/>
        <v>24</v>
      </c>
      <c r="R26" s="204">
        <f t="shared" si="5"/>
        <v>2.4</v>
      </c>
      <c r="S26" s="204">
        <f>R26*(PI()*((Parameters!$B$37/1000)/2)^2)*(1000*60)</f>
        <v>45.238934211693014</v>
      </c>
      <c r="T26" s="8">
        <f>Parameters!$B$29*Parameters!$B$30*(Parameters!$B$26+Parameters!$B$27)/1000</f>
        <v>49.05</v>
      </c>
      <c r="U26" s="204">
        <f>Parameters!$B$38*Parameters!$B$25/(Parameters!$B$37/1000)*(Parameters!$B$29*R26^2)/2</f>
        <v>228819.57958181817</v>
      </c>
      <c r="V26" s="8">
        <f>Parameters!$B$40*(Parameters!$B$29*R26^2)/2</f>
        <v>34560</v>
      </c>
      <c r="W26" s="204">
        <f t="shared" si="1"/>
        <v>263.37957958181818</v>
      </c>
      <c r="X26" s="8"/>
      <c r="Y26" s="8"/>
      <c r="Z26" s="8"/>
    </row>
    <row r="27" spans="1:26" ht="15.75" customHeight="1" x14ac:dyDescent="0.4">
      <c r="A27" s="203">
        <f t="shared" si="2"/>
        <v>25</v>
      </c>
      <c r="B27" s="204">
        <f t="shared" si="3"/>
        <v>2.5</v>
      </c>
      <c r="C27" s="204">
        <f>B27*(PI()*((Parameters!$B$37/1000)/2)^2)*(1000*60)</f>
        <v>47.123889803846893</v>
      </c>
      <c r="D27" s="204">
        <f>Parameters!$B$32*C27^2+Parameters!$B$33*C27+Parameters!$B$34</f>
        <v>95.71646869349739</v>
      </c>
      <c r="E27" s="8">
        <f>Parameters!$B$29*Parameters!$B$30*Parameters!$B$28</f>
        <v>63765</v>
      </c>
      <c r="F27" s="204">
        <f>Parameters!$B$38*Parameters!$B$25/(Parameters!$B$37/1000)*(Parameters!$B$29*B27^2)/2</f>
        <v>248285.13409485479</v>
      </c>
      <c r="G27" s="8">
        <f>Parameters!$B$39*(Parameters!$B$29*B27^2)/2</f>
        <v>25000</v>
      </c>
      <c r="H27" s="204">
        <f>Parameters!$B$42*B27</f>
        <v>10799.070625000002</v>
      </c>
      <c r="I27" s="205">
        <f t="shared" si="0"/>
        <v>347.84920471985481</v>
      </c>
      <c r="J27" s="8" t="s">
        <v>268</v>
      </c>
      <c r="K27" s="10">
        <f>IF(K26&gt;IF(Parameters!E29=36,25,IF(Parameters!E29=40,35,40)),IF(Parameters!E29=36,25,IF(Parameters!E29=40,35,40)),K26)</f>
        <v>20.73</v>
      </c>
      <c r="L27" s="8" t="s">
        <v>269</v>
      </c>
      <c r="M27" s="8"/>
      <c r="N27" s="8"/>
      <c r="O27" s="8"/>
      <c r="P27" s="8"/>
      <c r="Q27" s="8">
        <f t="shared" si="4"/>
        <v>25</v>
      </c>
      <c r="R27" s="204">
        <f t="shared" si="5"/>
        <v>2.5</v>
      </c>
      <c r="S27" s="204">
        <f>R27*(PI()*((Parameters!$B$37/1000)/2)^2)*(1000*60)</f>
        <v>47.123889803846893</v>
      </c>
      <c r="T27" s="8">
        <f>Parameters!$B$29*Parameters!$B$30*(Parameters!$B$26+Parameters!$B$27)/1000</f>
        <v>49.05</v>
      </c>
      <c r="U27" s="204">
        <f>Parameters!$B$38*Parameters!$B$25/(Parameters!$B$37/1000)*(Parameters!$B$29*R27^2)/2</f>
        <v>248285.13409485479</v>
      </c>
      <c r="V27" s="8">
        <f>Parameters!$B$40*(Parameters!$B$29*R27^2)/2</f>
        <v>37500</v>
      </c>
      <c r="W27" s="204">
        <f t="shared" si="1"/>
        <v>285.78513409485481</v>
      </c>
      <c r="X27" s="8"/>
      <c r="Y27" s="8"/>
      <c r="Z27" s="8"/>
    </row>
    <row r="28" spans="1:26" ht="13.15" x14ac:dyDescent="0.4">
      <c r="A28" s="203">
        <f t="shared" si="2"/>
        <v>26</v>
      </c>
      <c r="B28" s="204">
        <f t="shared" si="3"/>
        <v>2.6</v>
      </c>
      <c r="C28" s="204">
        <f>B28*(PI()*((Parameters!$B$37/1000)/2)^2)*(1000*60)</f>
        <v>49.008845396000773</v>
      </c>
      <c r="D28" s="204">
        <f>Parameters!$B$32*C28^2+Parameters!$B$33*C28+Parameters!$B$34</f>
        <v>91.920200089497115</v>
      </c>
      <c r="E28" s="8">
        <f>Parameters!$B$29*Parameters!$B$30*Parameters!$B$28</f>
        <v>63765</v>
      </c>
      <c r="F28" s="204">
        <f>Parameters!$B$38*Parameters!$B$25/(Parameters!$B$37/1000)*(Parameters!$B$29*B28^2)/2</f>
        <v>268545.20103699499</v>
      </c>
      <c r="G28" s="8">
        <f>Parameters!$B$39*(Parameters!$B$29*B28^2)/2</f>
        <v>27040.000000000004</v>
      </c>
      <c r="H28" s="204">
        <f>Parameters!$B$42*B28</f>
        <v>11231.033450000003</v>
      </c>
      <c r="I28" s="205">
        <f t="shared" si="0"/>
        <v>370.58123448699496</v>
      </c>
      <c r="Q28" s="8">
        <f t="shared" si="4"/>
        <v>26</v>
      </c>
      <c r="R28" s="204">
        <f t="shared" si="5"/>
        <v>2.6</v>
      </c>
      <c r="S28" s="204">
        <f>R28*(PI()*((Parameters!$B$37/1000)/2)^2)*(1000*60)</f>
        <v>49.008845396000773</v>
      </c>
      <c r="T28" s="8">
        <f>Parameters!$B$29*Parameters!$B$30*(Parameters!$B$26+Parameters!$B$27)/1000</f>
        <v>49.05</v>
      </c>
      <c r="U28" s="204">
        <f>Parameters!$B$38*Parameters!$B$25/(Parameters!$B$37/1000)*(Parameters!$B$29*R28^2)/2</f>
        <v>268545.20103699499</v>
      </c>
      <c r="V28" s="8">
        <f>Parameters!$B$40*(Parameters!$B$29*R28^2)/2</f>
        <v>40560.000000000007</v>
      </c>
      <c r="W28" s="204">
        <f t="shared" si="1"/>
        <v>309.10520103699497</v>
      </c>
      <c r="X28" s="8"/>
      <c r="Y28" s="8"/>
      <c r="Z28" s="8"/>
    </row>
    <row r="29" spans="1:26" ht="13.15" x14ac:dyDescent="0.4">
      <c r="A29" s="203">
        <f t="shared" si="2"/>
        <v>27</v>
      </c>
      <c r="B29" s="204">
        <f t="shared" si="3"/>
        <v>2.7</v>
      </c>
      <c r="C29" s="204">
        <f>B29*(PI()*((Parameters!$B$37/1000)/2)^2)*(1000*60)</f>
        <v>50.893800988154652</v>
      </c>
      <c r="D29" s="204">
        <f>Parameters!$B$32*C29^2+Parameters!$B$33*C29+Parameters!$B$34</f>
        <v>88.001706304593725</v>
      </c>
      <c r="E29" s="8">
        <f>Parameters!$B$29*Parameters!$B$30*Parameters!$B$28</f>
        <v>63765</v>
      </c>
      <c r="F29" s="204">
        <f>Parameters!$B$38*Parameters!$B$25/(Parameters!$B$37/1000)*(Parameters!$B$29*B29^2)/2</f>
        <v>289599.78040823864</v>
      </c>
      <c r="G29" s="8">
        <f>Parameters!$B$39*(Parameters!$B$29*B29^2)/2</f>
        <v>29160.000000000004</v>
      </c>
      <c r="H29" s="204">
        <f>Parameters!$B$42*B29</f>
        <v>11662.996275000003</v>
      </c>
      <c r="I29" s="205">
        <f t="shared" si="0"/>
        <v>394.18777668323861</v>
      </c>
      <c r="Q29" s="8">
        <f t="shared" si="4"/>
        <v>27</v>
      </c>
      <c r="R29" s="204">
        <f t="shared" si="5"/>
        <v>2.7</v>
      </c>
      <c r="S29" s="204">
        <f>R29*(PI()*((Parameters!$B$37/1000)/2)^2)*(1000*60)</f>
        <v>50.893800988154652</v>
      </c>
      <c r="T29" s="8">
        <f>Parameters!$B$29*Parameters!$B$30*(Parameters!$B$26+Parameters!$B$27)/1000</f>
        <v>49.05</v>
      </c>
      <c r="U29" s="204">
        <f>Parameters!$B$38*Parameters!$B$25/(Parameters!$B$37/1000)*(Parameters!$B$29*R29^2)/2</f>
        <v>289599.78040823864</v>
      </c>
      <c r="V29" s="8">
        <f>Parameters!$B$40*(Parameters!$B$29*R29^2)/2</f>
        <v>43740.000000000007</v>
      </c>
      <c r="W29" s="204">
        <f t="shared" si="1"/>
        <v>333.33978040823865</v>
      </c>
      <c r="X29" s="8"/>
      <c r="Y29" s="8"/>
      <c r="Z29" s="8"/>
    </row>
    <row r="30" spans="1:26" ht="13.15" x14ac:dyDescent="0.4">
      <c r="A30" s="203">
        <f t="shared" si="2"/>
        <v>28</v>
      </c>
      <c r="B30" s="204">
        <f t="shared" si="3"/>
        <v>2.8</v>
      </c>
      <c r="C30" s="204">
        <f>B30*(PI()*((Parameters!$B$37/1000)/2)^2)*(1000*60)</f>
        <v>52.778756580308524</v>
      </c>
      <c r="D30" s="204">
        <f>Parameters!$B$32*C30^2+Parameters!$B$33*C30+Parameters!$B$34</f>
        <v>83.960987338787277</v>
      </c>
      <c r="E30" s="8">
        <f>Parameters!$B$29*Parameters!$B$30*Parameters!$B$28</f>
        <v>63765</v>
      </c>
      <c r="F30" s="204">
        <f>Parameters!$B$38*Parameters!$B$25/(Parameters!$B$37/1000)*(Parameters!$B$29*B30^2)/2</f>
        <v>311448.87220858579</v>
      </c>
      <c r="G30" s="8">
        <f>Parameters!$B$39*(Parameters!$B$29*B30^2)/2</f>
        <v>31359.999999999996</v>
      </c>
      <c r="H30" s="204">
        <f>Parameters!$B$42*B30</f>
        <v>12094.959100000002</v>
      </c>
      <c r="I30" s="205">
        <f t="shared" si="0"/>
        <v>418.66883130858577</v>
      </c>
      <c r="J30" s="8"/>
      <c r="K30" s="8"/>
      <c r="L30" s="8"/>
      <c r="M30" s="8"/>
      <c r="N30" s="8"/>
      <c r="O30" s="8"/>
      <c r="P30" s="8"/>
      <c r="Q30" s="8">
        <f t="shared" si="4"/>
        <v>28</v>
      </c>
      <c r="R30" s="204">
        <f t="shared" si="5"/>
        <v>2.8</v>
      </c>
      <c r="S30" s="204">
        <f>R30*(PI()*((Parameters!$B$37/1000)/2)^2)*(1000*60)</f>
        <v>52.778756580308524</v>
      </c>
      <c r="T30" s="8">
        <f>Parameters!$B$29*Parameters!$B$30*(Parameters!$B$26+Parameters!$B$27)/1000</f>
        <v>49.05</v>
      </c>
      <c r="U30" s="204">
        <f>Parameters!$B$38*Parameters!$B$25/(Parameters!$B$37/1000)*(Parameters!$B$29*R30^2)/2</f>
        <v>311448.87220858579</v>
      </c>
      <c r="V30" s="8">
        <f>Parameters!$B$40*(Parameters!$B$29*R30^2)/2</f>
        <v>47039.999999999993</v>
      </c>
      <c r="W30" s="204">
        <f t="shared" si="1"/>
        <v>358.4888722085858</v>
      </c>
      <c r="X30" s="8"/>
      <c r="Y30" s="8"/>
      <c r="Z30" s="8"/>
    </row>
    <row r="31" spans="1:26" ht="13.15" x14ac:dyDescent="0.4">
      <c r="A31" s="203">
        <f t="shared" si="2"/>
        <v>29</v>
      </c>
      <c r="B31" s="204">
        <f t="shared" si="3"/>
        <v>2.9</v>
      </c>
      <c r="C31" s="204">
        <f>B31*(PI()*((Parameters!$B$37/1000)/2)^2)*(1000*60)</f>
        <v>54.663712172462397</v>
      </c>
      <c r="D31" s="204">
        <f>Parameters!$B$32*C31^2+Parameters!$B$33*C31+Parameters!$B$34</f>
        <v>79.798043192077714</v>
      </c>
      <c r="E31" s="8">
        <f>Parameters!$B$29*Parameters!$B$30*Parameters!$B$28</f>
        <v>63765</v>
      </c>
      <c r="F31" s="204">
        <f>Parameters!$B$38*Parameters!$B$25/(Parameters!$B$37/1000)*(Parameters!$B$29*B31^2)/2</f>
        <v>334092.4764380366</v>
      </c>
      <c r="G31" s="8">
        <f>Parameters!$B$39*(Parameters!$B$29*B31^2)/2</f>
        <v>33640</v>
      </c>
      <c r="H31" s="204">
        <f>Parameters!$B$42*B31</f>
        <v>12526.921925000002</v>
      </c>
      <c r="I31" s="205">
        <f t="shared" si="0"/>
        <v>444.0243983630366</v>
      </c>
      <c r="J31" s="8"/>
      <c r="K31" s="8"/>
      <c r="L31" s="8"/>
      <c r="M31" s="8"/>
      <c r="N31" s="8"/>
      <c r="O31" s="8"/>
      <c r="P31" s="8"/>
      <c r="Q31" s="8">
        <f t="shared" si="4"/>
        <v>29</v>
      </c>
      <c r="R31" s="204">
        <f t="shared" si="5"/>
        <v>2.9</v>
      </c>
      <c r="S31" s="204">
        <f>R31*(PI()*((Parameters!$B$37/1000)/2)^2)*(1000*60)</f>
        <v>54.663712172462397</v>
      </c>
      <c r="T31" s="8">
        <f>Parameters!$B$29*Parameters!$B$30*(Parameters!$B$26+Parameters!$B$27)/1000</f>
        <v>49.05</v>
      </c>
      <c r="U31" s="204">
        <f>Parameters!$B$38*Parameters!$B$25/(Parameters!$B$37/1000)*(Parameters!$B$29*R31^2)/2</f>
        <v>334092.4764380366</v>
      </c>
      <c r="V31" s="8">
        <f>Parameters!$B$40*(Parameters!$B$29*R31^2)/2</f>
        <v>50460</v>
      </c>
      <c r="W31" s="204">
        <f t="shared" si="1"/>
        <v>384.55247643803659</v>
      </c>
      <c r="X31" s="8"/>
      <c r="Y31" s="8"/>
      <c r="Z31" s="8"/>
    </row>
    <row r="32" spans="1:26" ht="13.15" x14ac:dyDescent="0.4">
      <c r="A32" s="208">
        <f t="shared" si="2"/>
        <v>30</v>
      </c>
      <c r="B32" s="209">
        <f t="shared" si="3"/>
        <v>3</v>
      </c>
      <c r="C32" s="209">
        <f>B32*(PI()*((Parameters!$B$37/1000)/2)^2)*(1000*60)</f>
        <v>56.548667764616276</v>
      </c>
      <c r="D32" s="204">
        <f>Parameters!$B$32*C32^2+Parameters!$B$33*C32+Parameters!$B$34</f>
        <v>75.512873864465064</v>
      </c>
      <c r="E32" s="8">
        <f>Parameters!$B$29*Parameters!$B$30*Parameters!$B$28</f>
        <v>63765</v>
      </c>
      <c r="F32" s="209">
        <f>Parameters!$B$38*Parameters!$B$25/(Parameters!$B$37/1000)*(Parameters!$B$29*B32^2)/2</f>
        <v>357530.59309659089</v>
      </c>
      <c r="G32" s="210">
        <f>Parameters!$B$39*(Parameters!$B$29*B32^2)/2</f>
        <v>36000</v>
      </c>
      <c r="H32" s="204">
        <f>Parameters!$B$42*B32</f>
        <v>12958.884750000001</v>
      </c>
      <c r="I32" s="205">
        <f t="shared" si="0"/>
        <v>470.25447784659093</v>
      </c>
      <c r="J32" s="8"/>
      <c r="K32" s="8"/>
      <c r="L32" s="8"/>
      <c r="M32" s="8"/>
      <c r="N32" s="8"/>
      <c r="O32" s="8"/>
      <c r="P32" s="8"/>
      <c r="Q32" s="8">
        <f t="shared" si="4"/>
        <v>30</v>
      </c>
      <c r="R32" s="204">
        <f t="shared" si="5"/>
        <v>3</v>
      </c>
      <c r="S32" s="204">
        <f>R32*(PI()*((Parameters!$B$37/1000)/2)^2)*(1000*60)</f>
        <v>56.548667764616276</v>
      </c>
      <c r="T32" s="8">
        <f>Parameters!$B$29*Parameters!$B$30*(Parameters!$B$26+Parameters!$B$27)/1000</f>
        <v>49.05</v>
      </c>
      <c r="U32" s="204">
        <f>Parameters!$B$38*Parameters!$B$25/(Parameters!$B$37/1000)*(Parameters!$B$29*R32^2)/2</f>
        <v>357530.59309659089</v>
      </c>
      <c r="V32" s="8">
        <f>Parameters!$B$40*(Parameters!$B$29*R32^2)/2</f>
        <v>54000</v>
      </c>
      <c r="W32" s="204">
        <f t="shared" si="1"/>
        <v>411.53059309659091</v>
      </c>
      <c r="X32" s="8"/>
      <c r="Y32" s="8"/>
      <c r="Z32" s="8"/>
    </row>
    <row r="33" spans="1:26" ht="13.15" x14ac:dyDescent="0.4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204"/>
      <c r="S33" s="8"/>
      <c r="T33" s="8"/>
      <c r="U33" s="8"/>
      <c r="V33" s="8"/>
      <c r="W33" s="8"/>
      <c r="X33" s="8"/>
      <c r="Y33" s="8"/>
      <c r="Z33" s="8"/>
    </row>
    <row r="34" spans="1:26" ht="13.15" x14ac:dyDescent="0.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204"/>
      <c r="S34" s="8"/>
      <c r="T34" s="8"/>
      <c r="U34" s="8"/>
      <c r="V34" s="8"/>
      <c r="W34" s="8"/>
      <c r="X34" s="8"/>
      <c r="Y34" s="8"/>
      <c r="Z34" s="8"/>
    </row>
    <row r="35" spans="1:26" ht="13.15" x14ac:dyDescent="0.4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204"/>
      <c r="S35" s="8"/>
      <c r="T35" s="8"/>
      <c r="U35" s="8"/>
      <c r="V35" s="8"/>
      <c r="W35" s="8"/>
      <c r="X35" s="8"/>
      <c r="Y35" s="8"/>
      <c r="Z35" s="8"/>
    </row>
    <row r="36" spans="1:26" ht="13.15" x14ac:dyDescent="0.4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204"/>
      <c r="S36" s="8"/>
      <c r="T36" s="8"/>
      <c r="U36" s="8"/>
      <c r="V36" s="8"/>
      <c r="W36" s="8"/>
      <c r="X36" s="8"/>
      <c r="Y36" s="8"/>
      <c r="Z36" s="8"/>
    </row>
    <row r="37" spans="1:26" ht="13.15" x14ac:dyDescent="0.4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204"/>
      <c r="S37" s="8"/>
      <c r="T37" s="8"/>
      <c r="U37" s="8"/>
      <c r="V37" s="8"/>
      <c r="W37" s="8"/>
      <c r="X37" s="8"/>
      <c r="Y37" s="8"/>
      <c r="Z37" s="8"/>
    </row>
    <row r="38" spans="1:26" ht="13.15" x14ac:dyDescent="0.4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204"/>
      <c r="S38" s="8"/>
      <c r="T38" s="8"/>
      <c r="U38" s="8"/>
      <c r="V38" s="8"/>
      <c r="W38" s="8"/>
      <c r="X38" s="8"/>
      <c r="Y38" s="8"/>
      <c r="Z38" s="8"/>
    </row>
    <row r="39" spans="1:26" ht="13.15" x14ac:dyDescent="0.4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204"/>
      <c r="S39" s="8"/>
      <c r="T39" s="8"/>
      <c r="U39" s="8"/>
      <c r="V39" s="8"/>
      <c r="W39" s="8"/>
      <c r="X39" s="8"/>
      <c r="Y39" s="8"/>
      <c r="Z39" s="8"/>
    </row>
    <row r="40" spans="1:26" ht="13.15" x14ac:dyDescent="0.4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204"/>
      <c r="S40" s="8"/>
      <c r="T40" s="8"/>
      <c r="U40" s="8"/>
      <c r="V40" s="8"/>
      <c r="W40" s="8"/>
      <c r="X40" s="8"/>
      <c r="Y40" s="8"/>
      <c r="Z40" s="8"/>
    </row>
    <row r="41" spans="1:26" ht="13.15" x14ac:dyDescent="0.4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204"/>
      <c r="S41" s="8"/>
      <c r="T41" s="8"/>
      <c r="U41" s="8"/>
      <c r="V41" s="8"/>
      <c r="W41" s="8"/>
      <c r="X41" s="8"/>
      <c r="Y41" s="8"/>
      <c r="Z41" s="8"/>
    </row>
    <row r="42" spans="1:26" ht="13.15" x14ac:dyDescent="0.4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204"/>
      <c r="S42" s="8"/>
      <c r="T42" s="8"/>
      <c r="U42" s="8"/>
      <c r="V42" s="8"/>
      <c r="W42" s="8"/>
      <c r="X42" s="8"/>
      <c r="Y42" s="8"/>
      <c r="Z42" s="8"/>
    </row>
    <row r="43" spans="1:26" ht="13.15" x14ac:dyDescent="0.4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204"/>
      <c r="S43" s="8"/>
      <c r="T43" s="8"/>
      <c r="U43" s="8"/>
      <c r="V43" s="8"/>
      <c r="W43" s="8"/>
      <c r="X43" s="8"/>
      <c r="Y43" s="8"/>
      <c r="Z43" s="8"/>
    </row>
    <row r="44" spans="1:26" ht="13.15" x14ac:dyDescent="0.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204"/>
      <c r="S44" s="8"/>
      <c r="T44" s="8"/>
      <c r="U44" s="8"/>
      <c r="V44" s="8"/>
      <c r="W44" s="8"/>
      <c r="X44" s="8"/>
      <c r="Y44" s="8"/>
      <c r="Z44" s="8"/>
    </row>
    <row r="45" spans="1:26" ht="13.15" x14ac:dyDescent="0.4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204"/>
      <c r="S45" s="8"/>
      <c r="T45" s="8"/>
      <c r="U45" s="8"/>
      <c r="V45" s="8"/>
      <c r="W45" s="8"/>
      <c r="X45" s="8"/>
      <c r="Y45" s="8"/>
      <c r="Z45" s="8"/>
    </row>
    <row r="46" spans="1:26" ht="13.15" x14ac:dyDescent="0.4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204"/>
      <c r="S46" s="8"/>
      <c r="T46" s="8"/>
      <c r="U46" s="8"/>
      <c r="V46" s="8"/>
      <c r="W46" s="8"/>
      <c r="X46" s="8"/>
      <c r="Y46" s="8"/>
      <c r="Z46" s="8"/>
    </row>
    <row r="47" spans="1:26" ht="13.15" x14ac:dyDescent="0.4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204"/>
      <c r="S47" s="8"/>
      <c r="T47" s="8"/>
      <c r="U47" s="8"/>
      <c r="V47" s="8"/>
      <c r="W47" s="8"/>
      <c r="X47" s="8"/>
      <c r="Y47" s="8"/>
      <c r="Z47" s="8"/>
    </row>
    <row r="48" spans="1:26" ht="13.15" x14ac:dyDescent="0.4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204"/>
      <c r="S48" s="8"/>
      <c r="T48" s="8"/>
      <c r="U48" s="8"/>
      <c r="V48" s="8"/>
      <c r="W48" s="8"/>
      <c r="X48" s="8"/>
      <c r="Y48" s="8"/>
      <c r="Z48" s="8"/>
    </row>
    <row r="49" spans="1:26" ht="13.15" x14ac:dyDescent="0.4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204"/>
      <c r="S49" s="8"/>
      <c r="T49" s="8"/>
      <c r="U49" s="8"/>
      <c r="V49" s="8"/>
      <c r="W49" s="8"/>
      <c r="X49" s="8"/>
      <c r="Y49" s="8"/>
      <c r="Z49" s="8"/>
    </row>
    <row r="50" spans="1:26" ht="13.15" x14ac:dyDescent="0.4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204"/>
      <c r="S50" s="8"/>
      <c r="T50" s="8"/>
      <c r="U50" s="8"/>
      <c r="V50" s="8"/>
      <c r="W50" s="8"/>
      <c r="X50" s="8"/>
      <c r="Y50" s="8"/>
      <c r="Z50" s="8"/>
    </row>
    <row r="51" spans="1:26" ht="13.15" x14ac:dyDescent="0.4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204"/>
      <c r="S51" s="8"/>
      <c r="T51" s="8"/>
      <c r="U51" s="8"/>
      <c r="V51" s="8"/>
      <c r="W51" s="8"/>
      <c r="X51" s="8"/>
      <c r="Y51" s="8"/>
      <c r="Z51" s="8"/>
    </row>
    <row r="52" spans="1:26" ht="13.15" x14ac:dyDescent="0.4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204"/>
      <c r="S52" s="8"/>
      <c r="T52" s="8"/>
      <c r="U52" s="8"/>
      <c r="V52" s="8"/>
      <c r="W52" s="8"/>
      <c r="X52" s="8"/>
      <c r="Y52" s="8"/>
      <c r="Z52" s="8"/>
    </row>
    <row r="53" spans="1:26" ht="13.15" x14ac:dyDescent="0.4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204"/>
      <c r="S53" s="8"/>
      <c r="T53" s="8"/>
      <c r="U53" s="8"/>
      <c r="V53" s="8"/>
      <c r="W53" s="8"/>
      <c r="X53" s="8"/>
      <c r="Y53" s="8"/>
      <c r="Z53" s="8"/>
    </row>
    <row r="54" spans="1:26" ht="13.15" x14ac:dyDescent="0.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204"/>
      <c r="S54" s="8"/>
      <c r="T54" s="8"/>
      <c r="U54" s="8"/>
      <c r="V54" s="8"/>
      <c r="W54" s="8"/>
      <c r="X54" s="8"/>
      <c r="Y54" s="8"/>
      <c r="Z54" s="8"/>
    </row>
    <row r="55" spans="1:26" ht="13.15" x14ac:dyDescent="0.4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204"/>
      <c r="S55" s="8"/>
      <c r="T55" s="8"/>
      <c r="U55" s="8"/>
      <c r="V55" s="8"/>
      <c r="W55" s="8"/>
      <c r="X55" s="8"/>
      <c r="Y55" s="8"/>
      <c r="Z55" s="8"/>
    </row>
    <row r="56" spans="1:26" ht="13.15" x14ac:dyDescent="0.4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204"/>
      <c r="S56" s="8"/>
      <c r="T56" s="8"/>
      <c r="U56" s="8"/>
      <c r="V56" s="8"/>
      <c r="W56" s="8"/>
      <c r="X56" s="8"/>
      <c r="Y56" s="8"/>
      <c r="Z56" s="8"/>
    </row>
    <row r="57" spans="1:26" ht="13.15" x14ac:dyDescent="0.4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204"/>
      <c r="S57" s="8"/>
      <c r="T57" s="8"/>
      <c r="U57" s="8"/>
      <c r="V57" s="8"/>
      <c r="W57" s="8"/>
      <c r="X57" s="8"/>
      <c r="Y57" s="8"/>
      <c r="Z57" s="8"/>
    </row>
    <row r="58" spans="1:26" ht="13.15" x14ac:dyDescent="0.4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204"/>
      <c r="S58" s="8"/>
      <c r="T58" s="8"/>
      <c r="U58" s="8"/>
      <c r="V58" s="8"/>
      <c r="W58" s="8"/>
      <c r="X58" s="8"/>
      <c r="Y58" s="8"/>
      <c r="Z58" s="8"/>
    </row>
    <row r="59" spans="1:26" ht="13.15" x14ac:dyDescent="0.4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204"/>
      <c r="S59" s="8"/>
      <c r="T59" s="8"/>
      <c r="U59" s="8"/>
      <c r="V59" s="8"/>
      <c r="W59" s="8"/>
      <c r="X59" s="8"/>
      <c r="Y59" s="8"/>
      <c r="Z59" s="8"/>
    </row>
    <row r="60" spans="1:26" ht="13.15" x14ac:dyDescent="0.4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204"/>
      <c r="S60" s="8"/>
      <c r="T60" s="8"/>
      <c r="U60" s="8"/>
      <c r="V60" s="8"/>
      <c r="W60" s="8"/>
      <c r="X60" s="8"/>
      <c r="Y60" s="8"/>
      <c r="Z60" s="8"/>
    </row>
    <row r="61" spans="1:26" ht="13.15" x14ac:dyDescent="0.4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204"/>
      <c r="S61" s="8"/>
      <c r="T61" s="8"/>
      <c r="U61" s="8"/>
      <c r="V61" s="8"/>
      <c r="W61" s="8"/>
      <c r="X61" s="8"/>
      <c r="Y61" s="8"/>
      <c r="Z61" s="8"/>
    </row>
    <row r="62" spans="1:26" ht="13.15" x14ac:dyDescent="0.4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204"/>
      <c r="S62" s="8"/>
      <c r="T62" s="8"/>
      <c r="U62" s="8"/>
      <c r="V62" s="8"/>
      <c r="W62" s="8"/>
      <c r="X62" s="8"/>
      <c r="Y62" s="8"/>
      <c r="Z62" s="8"/>
    </row>
    <row r="63" spans="1:26" ht="13.15" x14ac:dyDescent="0.4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204"/>
      <c r="S63" s="8"/>
      <c r="T63" s="8"/>
      <c r="U63" s="8"/>
      <c r="V63" s="8"/>
      <c r="W63" s="8"/>
      <c r="X63" s="8"/>
      <c r="Y63" s="8"/>
      <c r="Z63" s="8"/>
    </row>
    <row r="64" spans="1:26" ht="13.15" x14ac:dyDescent="0.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204"/>
      <c r="S64" s="8"/>
      <c r="T64" s="8"/>
      <c r="U64" s="8"/>
      <c r="V64" s="8"/>
      <c r="W64" s="8"/>
      <c r="X64" s="8"/>
      <c r="Y64" s="8"/>
      <c r="Z64" s="8"/>
    </row>
    <row r="65" spans="1:26" ht="13.15" x14ac:dyDescent="0.4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204"/>
      <c r="S65" s="8"/>
      <c r="T65" s="8"/>
      <c r="U65" s="8"/>
      <c r="V65" s="8"/>
      <c r="W65" s="8"/>
      <c r="X65" s="8"/>
      <c r="Y65" s="8"/>
      <c r="Z65" s="8"/>
    </row>
    <row r="66" spans="1:26" ht="13.15" x14ac:dyDescent="0.4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204"/>
      <c r="S66" s="8"/>
      <c r="T66" s="8"/>
      <c r="U66" s="8"/>
      <c r="V66" s="8"/>
      <c r="W66" s="8"/>
      <c r="X66" s="8"/>
      <c r="Y66" s="8"/>
      <c r="Z66" s="8"/>
    </row>
    <row r="67" spans="1:26" ht="13.15" x14ac:dyDescent="0.4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204"/>
      <c r="S67" s="8"/>
      <c r="T67" s="8"/>
      <c r="U67" s="8"/>
      <c r="V67" s="8"/>
      <c r="W67" s="8"/>
      <c r="X67" s="8"/>
      <c r="Y67" s="8"/>
      <c r="Z67" s="8"/>
    </row>
    <row r="68" spans="1:26" ht="13.15" x14ac:dyDescent="0.4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204"/>
      <c r="S68" s="8"/>
      <c r="T68" s="8"/>
      <c r="U68" s="8"/>
      <c r="V68" s="8"/>
      <c r="W68" s="8"/>
      <c r="X68" s="8"/>
      <c r="Y68" s="8"/>
      <c r="Z68" s="8"/>
    </row>
    <row r="69" spans="1:26" ht="13.15" x14ac:dyDescent="0.4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204"/>
      <c r="S69" s="8"/>
      <c r="T69" s="8"/>
      <c r="U69" s="8"/>
      <c r="V69" s="8"/>
      <c r="W69" s="8"/>
      <c r="X69" s="8"/>
      <c r="Y69" s="8"/>
      <c r="Z69" s="8"/>
    </row>
    <row r="70" spans="1:26" ht="13.15" x14ac:dyDescent="0.4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204"/>
      <c r="S70" s="8"/>
      <c r="T70" s="8"/>
      <c r="U70" s="8"/>
      <c r="V70" s="8"/>
      <c r="W70" s="8"/>
      <c r="X70" s="8"/>
      <c r="Y70" s="8"/>
      <c r="Z70" s="8"/>
    </row>
    <row r="71" spans="1:26" ht="13.15" x14ac:dyDescent="0.4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204"/>
      <c r="S71" s="8"/>
      <c r="T71" s="8"/>
      <c r="U71" s="8"/>
      <c r="V71" s="8"/>
      <c r="W71" s="8"/>
      <c r="X71" s="8"/>
      <c r="Y71" s="8"/>
      <c r="Z71" s="8"/>
    </row>
    <row r="72" spans="1:26" ht="13.15" x14ac:dyDescent="0.4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204"/>
      <c r="S72" s="8"/>
      <c r="T72" s="8"/>
      <c r="U72" s="8"/>
      <c r="V72" s="8"/>
      <c r="W72" s="8"/>
      <c r="X72" s="8"/>
      <c r="Y72" s="8"/>
      <c r="Z72" s="8"/>
    </row>
    <row r="73" spans="1:26" ht="13.15" x14ac:dyDescent="0.4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204"/>
      <c r="S73" s="8"/>
      <c r="T73" s="8"/>
      <c r="U73" s="8"/>
      <c r="V73" s="8"/>
      <c r="W73" s="8"/>
      <c r="X73" s="8"/>
      <c r="Y73" s="8"/>
      <c r="Z73" s="8"/>
    </row>
    <row r="74" spans="1:26" ht="13.15" x14ac:dyDescent="0.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204"/>
      <c r="S74" s="8"/>
      <c r="T74" s="8"/>
      <c r="U74" s="8"/>
      <c r="V74" s="8"/>
      <c r="W74" s="8"/>
      <c r="X74" s="8"/>
      <c r="Y74" s="8"/>
      <c r="Z74" s="8"/>
    </row>
    <row r="75" spans="1:26" ht="13.15" x14ac:dyDescent="0.4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204"/>
      <c r="S75" s="8"/>
      <c r="T75" s="8"/>
      <c r="U75" s="8"/>
      <c r="V75" s="8"/>
      <c r="W75" s="8"/>
      <c r="X75" s="8"/>
      <c r="Y75" s="8"/>
      <c r="Z75" s="8"/>
    </row>
    <row r="76" spans="1:26" ht="13.15" x14ac:dyDescent="0.4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204"/>
      <c r="S76" s="8"/>
      <c r="T76" s="8"/>
      <c r="U76" s="8"/>
      <c r="V76" s="8"/>
      <c r="W76" s="8"/>
      <c r="X76" s="8"/>
      <c r="Y76" s="8"/>
      <c r="Z76" s="8"/>
    </row>
    <row r="77" spans="1:26" ht="13.15" x14ac:dyDescent="0.4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204"/>
      <c r="S77" s="8"/>
      <c r="T77" s="8"/>
      <c r="U77" s="8"/>
      <c r="V77" s="8"/>
      <c r="W77" s="8"/>
      <c r="X77" s="8"/>
      <c r="Y77" s="8"/>
      <c r="Z77" s="8"/>
    </row>
    <row r="78" spans="1:26" ht="13.15" x14ac:dyDescent="0.4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204"/>
      <c r="S78" s="8"/>
      <c r="T78" s="8"/>
      <c r="U78" s="8"/>
      <c r="V78" s="8"/>
      <c r="W78" s="8"/>
      <c r="X78" s="8"/>
      <c r="Y78" s="8"/>
      <c r="Z78" s="8"/>
    </row>
    <row r="79" spans="1:26" ht="13.15" x14ac:dyDescent="0.4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204"/>
      <c r="S79" s="8"/>
      <c r="T79" s="8"/>
      <c r="U79" s="8"/>
      <c r="V79" s="8"/>
      <c r="W79" s="8"/>
      <c r="X79" s="8"/>
      <c r="Y79" s="8"/>
      <c r="Z79" s="8"/>
    </row>
    <row r="80" spans="1:26" ht="13.15" x14ac:dyDescent="0.4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204"/>
      <c r="S80" s="8"/>
      <c r="T80" s="8"/>
      <c r="U80" s="8"/>
      <c r="V80" s="8"/>
      <c r="W80" s="8"/>
      <c r="X80" s="8"/>
      <c r="Y80" s="8"/>
      <c r="Z80" s="8"/>
    </row>
    <row r="81" spans="1:26" ht="13.15" x14ac:dyDescent="0.4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204"/>
      <c r="S81" s="8"/>
      <c r="T81" s="8"/>
      <c r="U81" s="8"/>
      <c r="V81" s="8"/>
      <c r="W81" s="8"/>
      <c r="X81" s="8"/>
      <c r="Y81" s="8"/>
      <c r="Z81" s="8"/>
    </row>
    <row r="82" spans="1:26" ht="13.15" x14ac:dyDescent="0.4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204"/>
      <c r="S82" s="8"/>
      <c r="T82" s="8"/>
      <c r="U82" s="8"/>
      <c r="V82" s="8"/>
      <c r="W82" s="8"/>
      <c r="X82" s="8"/>
      <c r="Y82" s="8"/>
      <c r="Z82" s="8"/>
    </row>
    <row r="83" spans="1:26" ht="13.15" x14ac:dyDescent="0.4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204"/>
      <c r="S83" s="8"/>
      <c r="T83" s="8"/>
      <c r="U83" s="8"/>
      <c r="V83" s="8"/>
      <c r="W83" s="8"/>
      <c r="X83" s="8"/>
      <c r="Y83" s="8"/>
      <c r="Z83" s="8"/>
    </row>
    <row r="84" spans="1:26" ht="13.15" x14ac:dyDescent="0.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204"/>
      <c r="S84" s="8"/>
      <c r="T84" s="8"/>
      <c r="U84" s="8"/>
      <c r="V84" s="8"/>
      <c r="W84" s="8"/>
      <c r="X84" s="8"/>
      <c r="Y84" s="8"/>
      <c r="Z84" s="8"/>
    </row>
    <row r="85" spans="1:26" ht="13.15" x14ac:dyDescent="0.4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204"/>
      <c r="S85" s="8"/>
      <c r="T85" s="8"/>
      <c r="U85" s="8"/>
      <c r="V85" s="8"/>
      <c r="W85" s="8"/>
      <c r="X85" s="8"/>
      <c r="Y85" s="8"/>
      <c r="Z85" s="8"/>
    </row>
    <row r="86" spans="1:26" ht="13.15" x14ac:dyDescent="0.4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204"/>
      <c r="S86" s="8"/>
      <c r="T86" s="8"/>
      <c r="U86" s="8"/>
      <c r="V86" s="8"/>
      <c r="W86" s="8"/>
      <c r="X86" s="8"/>
      <c r="Y86" s="8"/>
      <c r="Z86" s="8"/>
    </row>
    <row r="87" spans="1:26" ht="13.15" x14ac:dyDescent="0.4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204"/>
      <c r="S87" s="8"/>
      <c r="T87" s="8"/>
      <c r="U87" s="8"/>
      <c r="V87" s="8"/>
      <c r="W87" s="8"/>
      <c r="X87" s="8"/>
      <c r="Y87" s="8"/>
      <c r="Z87" s="8"/>
    </row>
    <row r="88" spans="1:26" ht="13.15" x14ac:dyDescent="0.4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204"/>
      <c r="S88" s="8"/>
      <c r="T88" s="8"/>
      <c r="U88" s="8"/>
      <c r="V88" s="8"/>
      <c r="W88" s="8"/>
      <c r="X88" s="8"/>
      <c r="Y88" s="8"/>
      <c r="Z88" s="8"/>
    </row>
    <row r="89" spans="1:26" ht="13.15" x14ac:dyDescent="0.4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204"/>
      <c r="S89" s="8"/>
      <c r="T89" s="8"/>
      <c r="U89" s="8"/>
      <c r="V89" s="8"/>
      <c r="W89" s="8"/>
      <c r="X89" s="8"/>
      <c r="Y89" s="8"/>
      <c r="Z89" s="8"/>
    </row>
    <row r="90" spans="1:26" ht="13.15" x14ac:dyDescent="0.4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204"/>
      <c r="S90" s="8"/>
      <c r="T90" s="8"/>
      <c r="U90" s="8"/>
      <c r="V90" s="8"/>
      <c r="W90" s="8"/>
      <c r="X90" s="8"/>
      <c r="Y90" s="8"/>
      <c r="Z90" s="8"/>
    </row>
    <row r="91" spans="1:26" ht="13.15" x14ac:dyDescent="0.4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204"/>
      <c r="S91" s="8"/>
      <c r="T91" s="8"/>
      <c r="U91" s="8"/>
      <c r="V91" s="8"/>
      <c r="W91" s="8"/>
      <c r="X91" s="8"/>
      <c r="Y91" s="8"/>
      <c r="Z91" s="8"/>
    </row>
    <row r="92" spans="1:26" ht="13.15" x14ac:dyDescent="0.4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204"/>
      <c r="S92" s="8"/>
      <c r="T92" s="8"/>
      <c r="U92" s="8"/>
      <c r="V92" s="8"/>
      <c r="W92" s="8"/>
      <c r="X92" s="8"/>
      <c r="Y92" s="8"/>
      <c r="Z92" s="8"/>
    </row>
    <row r="93" spans="1:26" ht="13.15" x14ac:dyDescent="0.4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204"/>
      <c r="S93" s="8"/>
      <c r="T93" s="8"/>
      <c r="U93" s="8"/>
      <c r="V93" s="8"/>
      <c r="W93" s="8"/>
      <c r="X93" s="8"/>
      <c r="Y93" s="8"/>
      <c r="Z93" s="8"/>
    </row>
    <row r="94" spans="1:26" ht="13.15" x14ac:dyDescent="0.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204"/>
      <c r="S94" s="8"/>
      <c r="T94" s="8"/>
      <c r="U94" s="8"/>
      <c r="V94" s="8"/>
      <c r="W94" s="8"/>
      <c r="X94" s="8"/>
      <c r="Y94" s="8"/>
      <c r="Z94" s="8"/>
    </row>
    <row r="95" spans="1:26" ht="13.15" x14ac:dyDescent="0.4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204"/>
      <c r="S95" s="8"/>
      <c r="T95" s="8"/>
      <c r="U95" s="8"/>
      <c r="V95" s="8"/>
      <c r="W95" s="8"/>
      <c r="X95" s="8"/>
      <c r="Y95" s="8"/>
      <c r="Z95" s="8"/>
    </row>
    <row r="96" spans="1:26" ht="13.15" x14ac:dyDescent="0.4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204"/>
      <c r="S96" s="8"/>
      <c r="T96" s="8"/>
      <c r="U96" s="8"/>
      <c r="V96" s="8"/>
      <c r="W96" s="8"/>
      <c r="X96" s="8"/>
      <c r="Y96" s="8"/>
      <c r="Z96" s="8"/>
    </row>
    <row r="97" spans="1:26" ht="13.15" x14ac:dyDescent="0.4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204"/>
      <c r="S97" s="8"/>
      <c r="T97" s="8"/>
      <c r="U97" s="8"/>
      <c r="V97" s="8"/>
      <c r="W97" s="8"/>
      <c r="X97" s="8"/>
      <c r="Y97" s="8"/>
      <c r="Z97" s="8"/>
    </row>
    <row r="98" spans="1:26" ht="13.15" x14ac:dyDescent="0.4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204"/>
      <c r="S98" s="8"/>
      <c r="T98" s="8"/>
      <c r="U98" s="8"/>
      <c r="V98" s="8"/>
      <c r="W98" s="8"/>
      <c r="X98" s="8"/>
      <c r="Y98" s="8"/>
      <c r="Z98" s="8"/>
    </row>
    <row r="99" spans="1:26" ht="13.15" x14ac:dyDescent="0.4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204"/>
      <c r="S99" s="8"/>
      <c r="T99" s="8"/>
      <c r="U99" s="8"/>
      <c r="V99" s="8"/>
      <c r="W99" s="8"/>
      <c r="X99" s="8"/>
      <c r="Y99" s="8"/>
      <c r="Z99" s="8"/>
    </row>
    <row r="100" spans="1:26" ht="13.15" x14ac:dyDescent="0.4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204"/>
      <c r="S100" s="8"/>
      <c r="T100" s="8"/>
      <c r="U100" s="8"/>
      <c r="V100" s="8"/>
      <c r="W100" s="8"/>
      <c r="X100" s="8"/>
      <c r="Y100" s="8"/>
      <c r="Z100" s="8"/>
    </row>
    <row r="101" spans="1:26" ht="13.15" x14ac:dyDescent="0.4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204"/>
      <c r="S101" s="8"/>
      <c r="T101" s="8"/>
      <c r="U101" s="8"/>
      <c r="V101" s="8"/>
      <c r="W101" s="8"/>
      <c r="X101" s="8"/>
      <c r="Y101" s="8"/>
      <c r="Z101" s="8"/>
    </row>
    <row r="102" spans="1:26" ht="13.15" x14ac:dyDescent="0.4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204"/>
      <c r="S102" s="8"/>
      <c r="T102" s="8"/>
      <c r="U102" s="8"/>
      <c r="V102" s="8"/>
      <c r="W102" s="8"/>
      <c r="X102" s="8"/>
      <c r="Y102" s="8"/>
      <c r="Z102" s="8"/>
    </row>
    <row r="103" spans="1:26" ht="13.15" x14ac:dyDescent="0.4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204"/>
      <c r="S103" s="8"/>
      <c r="T103" s="8"/>
      <c r="U103" s="8"/>
      <c r="V103" s="8"/>
      <c r="W103" s="8"/>
      <c r="X103" s="8"/>
      <c r="Y103" s="8"/>
      <c r="Z103" s="8"/>
    </row>
    <row r="104" spans="1:26" ht="13.15" x14ac:dyDescent="0.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204"/>
      <c r="S104" s="8"/>
      <c r="T104" s="8"/>
      <c r="U104" s="8"/>
      <c r="V104" s="8"/>
      <c r="W104" s="8"/>
      <c r="X104" s="8"/>
      <c r="Y104" s="8"/>
      <c r="Z104" s="8"/>
    </row>
    <row r="105" spans="1:26" ht="13.15" x14ac:dyDescent="0.4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204"/>
      <c r="S105" s="8"/>
      <c r="T105" s="8"/>
      <c r="U105" s="8"/>
      <c r="V105" s="8"/>
      <c r="W105" s="8"/>
      <c r="X105" s="8"/>
      <c r="Y105" s="8"/>
      <c r="Z105" s="8"/>
    </row>
    <row r="106" spans="1:26" ht="13.15" x14ac:dyDescent="0.4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204"/>
      <c r="S106" s="8"/>
      <c r="T106" s="8"/>
      <c r="U106" s="8"/>
      <c r="V106" s="8"/>
      <c r="W106" s="8"/>
      <c r="X106" s="8"/>
      <c r="Y106" s="8"/>
      <c r="Z106" s="8"/>
    </row>
    <row r="107" spans="1:26" ht="13.15" x14ac:dyDescent="0.4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204"/>
      <c r="S107" s="8"/>
      <c r="T107" s="8"/>
      <c r="U107" s="8"/>
      <c r="V107" s="8"/>
      <c r="W107" s="8"/>
      <c r="X107" s="8"/>
      <c r="Y107" s="8"/>
      <c r="Z107" s="8"/>
    </row>
    <row r="108" spans="1:26" ht="13.15" x14ac:dyDescent="0.4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204"/>
      <c r="S108" s="8"/>
      <c r="T108" s="8"/>
      <c r="U108" s="8"/>
      <c r="V108" s="8"/>
      <c r="W108" s="8"/>
      <c r="X108" s="8"/>
      <c r="Y108" s="8"/>
      <c r="Z108" s="8"/>
    </row>
    <row r="109" spans="1:26" ht="13.15" x14ac:dyDescent="0.4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204"/>
      <c r="S109" s="8"/>
      <c r="T109" s="8"/>
      <c r="U109" s="8"/>
      <c r="V109" s="8"/>
      <c r="W109" s="8"/>
      <c r="X109" s="8"/>
      <c r="Y109" s="8"/>
      <c r="Z109" s="8"/>
    </row>
    <row r="110" spans="1:26" ht="13.15" x14ac:dyDescent="0.4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204"/>
      <c r="S110" s="8"/>
      <c r="T110" s="8"/>
      <c r="U110" s="8"/>
      <c r="V110" s="8"/>
      <c r="W110" s="8"/>
      <c r="X110" s="8"/>
      <c r="Y110" s="8"/>
      <c r="Z110" s="8"/>
    </row>
    <row r="111" spans="1:26" ht="13.15" x14ac:dyDescent="0.4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204"/>
      <c r="S111" s="8"/>
      <c r="T111" s="8"/>
      <c r="U111" s="8"/>
      <c r="V111" s="8"/>
      <c r="W111" s="8"/>
      <c r="X111" s="8"/>
      <c r="Y111" s="8"/>
      <c r="Z111" s="8"/>
    </row>
    <row r="112" spans="1:26" ht="13.15" x14ac:dyDescent="0.4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204"/>
      <c r="S112" s="8"/>
      <c r="T112" s="8"/>
      <c r="U112" s="8"/>
      <c r="V112" s="8"/>
      <c r="W112" s="8"/>
      <c r="X112" s="8"/>
      <c r="Y112" s="8"/>
      <c r="Z112" s="8"/>
    </row>
    <row r="113" spans="1:26" ht="13.15" x14ac:dyDescent="0.4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204"/>
      <c r="S113" s="8"/>
      <c r="T113" s="8"/>
      <c r="U113" s="8"/>
      <c r="V113" s="8"/>
      <c r="W113" s="8"/>
      <c r="X113" s="8"/>
      <c r="Y113" s="8"/>
      <c r="Z113" s="8"/>
    </row>
    <row r="114" spans="1:26" ht="13.15" x14ac:dyDescent="0.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204"/>
      <c r="S114" s="8"/>
      <c r="T114" s="8"/>
      <c r="U114" s="8"/>
      <c r="V114" s="8"/>
      <c r="W114" s="8"/>
      <c r="X114" s="8"/>
      <c r="Y114" s="8"/>
      <c r="Z114" s="8"/>
    </row>
    <row r="115" spans="1:26" ht="13.15" x14ac:dyDescent="0.4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204"/>
      <c r="S115" s="8"/>
      <c r="T115" s="8"/>
      <c r="U115" s="8"/>
      <c r="V115" s="8"/>
      <c r="W115" s="8"/>
      <c r="X115" s="8"/>
      <c r="Y115" s="8"/>
      <c r="Z115" s="8"/>
    </row>
    <row r="116" spans="1:26" ht="13.15" x14ac:dyDescent="0.4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204"/>
      <c r="S116" s="8"/>
      <c r="T116" s="8"/>
      <c r="U116" s="8"/>
      <c r="V116" s="8"/>
      <c r="W116" s="8"/>
      <c r="X116" s="8"/>
      <c r="Y116" s="8"/>
      <c r="Z116" s="8"/>
    </row>
    <row r="117" spans="1:26" ht="13.15" x14ac:dyDescent="0.4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204"/>
      <c r="S117" s="8"/>
      <c r="T117" s="8"/>
      <c r="U117" s="8"/>
      <c r="V117" s="8"/>
      <c r="W117" s="8"/>
      <c r="X117" s="8"/>
      <c r="Y117" s="8"/>
      <c r="Z117" s="8"/>
    </row>
    <row r="118" spans="1:26" ht="13.15" x14ac:dyDescent="0.4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204"/>
      <c r="S118" s="8"/>
      <c r="T118" s="8"/>
      <c r="U118" s="8"/>
      <c r="V118" s="8"/>
      <c r="W118" s="8"/>
      <c r="X118" s="8"/>
      <c r="Y118" s="8"/>
      <c r="Z118" s="8"/>
    </row>
    <row r="119" spans="1:26" ht="13.15" x14ac:dyDescent="0.4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204"/>
      <c r="S119" s="8"/>
      <c r="T119" s="8"/>
      <c r="U119" s="8"/>
      <c r="V119" s="8"/>
      <c r="W119" s="8"/>
      <c r="X119" s="8"/>
      <c r="Y119" s="8"/>
      <c r="Z119" s="8"/>
    </row>
    <row r="120" spans="1:26" ht="13.15" x14ac:dyDescent="0.4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204"/>
      <c r="S120" s="8"/>
      <c r="T120" s="8"/>
      <c r="U120" s="8"/>
      <c r="V120" s="8"/>
      <c r="W120" s="8"/>
      <c r="X120" s="8"/>
      <c r="Y120" s="8"/>
      <c r="Z120" s="8"/>
    </row>
    <row r="121" spans="1:26" ht="13.15" x14ac:dyDescent="0.4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204"/>
      <c r="S121" s="8"/>
      <c r="T121" s="8"/>
      <c r="U121" s="8"/>
      <c r="V121" s="8"/>
      <c r="W121" s="8"/>
      <c r="X121" s="8"/>
      <c r="Y121" s="8"/>
      <c r="Z121" s="8"/>
    </row>
    <row r="122" spans="1:26" ht="13.15" x14ac:dyDescent="0.4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204"/>
      <c r="S122" s="8"/>
      <c r="T122" s="8"/>
      <c r="U122" s="8"/>
      <c r="V122" s="8"/>
      <c r="W122" s="8"/>
      <c r="X122" s="8"/>
      <c r="Y122" s="8"/>
      <c r="Z122" s="8"/>
    </row>
    <row r="123" spans="1:26" ht="13.15" x14ac:dyDescent="0.4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204"/>
      <c r="S123" s="8"/>
      <c r="T123" s="8"/>
      <c r="U123" s="8"/>
      <c r="V123" s="8"/>
      <c r="W123" s="8"/>
      <c r="X123" s="8"/>
      <c r="Y123" s="8"/>
      <c r="Z123" s="8"/>
    </row>
    <row r="124" spans="1:26" ht="13.15" x14ac:dyDescent="0.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204"/>
      <c r="S124" s="8"/>
      <c r="T124" s="8"/>
      <c r="U124" s="8"/>
      <c r="V124" s="8"/>
      <c r="W124" s="8"/>
      <c r="X124" s="8"/>
      <c r="Y124" s="8"/>
      <c r="Z124" s="8"/>
    </row>
    <row r="125" spans="1:26" ht="13.15" x14ac:dyDescent="0.4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204"/>
      <c r="S125" s="8"/>
      <c r="T125" s="8"/>
      <c r="U125" s="8"/>
      <c r="V125" s="8"/>
      <c r="W125" s="8"/>
      <c r="X125" s="8"/>
      <c r="Y125" s="8"/>
      <c r="Z125" s="8"/>
    </row>
    <row r="126" spans="1:26" ht="13.15" x14ac:dyDescent="0.4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204"/>
      <c r="S126" s="8"/>
      <c r="T126" s="8"/>
      <c r="U126" s="8"/>
      <c r="V126" s="8"/>
      <c r="W126" s="8"/>
      <c r="X126" s="8"/>
      <c r="Y126" s="8"/>
      <c r="Z126" s="8"/>
    </row>
    <row r="127" spans="1:26" ht="13.15" x14ac:dyDescent="0.4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204"/>
      <c r="S127" s="8"/>
      <c r="T127" s="8"/>
      <c r="U127" s="8"/>
      <c r="V127" s="8"/>
      <c r="W127" s="8"/>
      <c r="X127" s="8"/>
      <c r="Y127" s="8"/>
      <c r="Z127" s="8"/>
    </row>
    <row r="128" spans="1:26" ht="13.15" x14ac:dyDescent="0.4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204"/>
      <c r="S128" s="8"/>
      <c r="T128" s="8"/>
      <c r="U128" s="8"/>
      <c r="V128" s="8"/>
      <c r="W128" s="8"/>
      <c r="X128" s="8"/>
      <c r="Y128" s="8"/>
      <c r="Z128" s="8"/>
    </row>
    <row r="129" spans="1:26" ht="13.15" x14ac:dyDescent="0.4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204"/>
      <c r="S129" s="8"/>
      <c r="T129" s="8"/>
      <c r="U129" s="8"/>
      <c r="V129" s="8"/>
      <c r="W129" s="8"/>
      <c r="X129" s="8"/>
      <c r="Y129" s="8"/>
      <c r="Z129" s="8"/>
    </row>
    <row r="130" spans="1:26" ht="13.15" x14ac:dyDescent="0.4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204"/>
      <c r="S130" s="8"/>
      <c r="T130" s="8"/>
      <c r="U130" s="8"/>
      <c r="V130" s="8"/>
      <c r="W130" s="8"/>
      <c r="X130" s="8"/>
      <c r="Y130" s="8"/>
      <c r="Z130" s="8"/>
    </row>
    <row r="131" spans="1:26" ht="13.15" x14ac:dyDescent="0.4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204"/>
      <c r="S131" s="8"/>
      <c r="T131" s="8"/>
      <c r="U131" s="8"/>
      <c r="V131" s="8"/>
      <c r="W131" s="8"/>
      <c r="X131" s="8"/>
      <c r="Y131" s="8"/>
      <c r="Z131" s="8"/>
    </row>
    <row r="132" spans="1:26" ht="13.15" x14ac:dyDescent="0.4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204"/>
      <c r="S132" s="8"/>
      <c r="T132" s="8"/>
      <c r="U132" s="8"/>
      <c r="V132" s="8"/>
      <c r="W132" s="8"/>
      <c r="X132" s="8"/>
      <c r="Y132" s="8"/>
      <c r="Z132" s="8"/>
    </row>
    <row r="133" spans="1:26" ht="13.15" x14ac:dyDescent="0.4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204"/>
      <c r="S133" s="8"/>
      <c r="T133" s="8"/>
      <c r="U133" s="8"/>
      <c r="V133" s="8"/>
      <c r="W133" s="8"/>
      <c r="X133" s="8"/>
      <c r="Y133" s="8"/>
      <c r="Z133" s="8"/>
    </row>
    <row r="134" spans="1:26" ht="13.15" x14ac:dyDescent="0.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204"/>
      <c r="S134" s="8"/>
      <c r="T134" s="8"/>
      <c r="U134" s="8"/>
      <c r="V134" s="8"/>
      <c r="W134" s="8"/>
      <c r="X134" s="8"/>
      <c r="Y134" s="8"/>
      <c r="Z134" s="8"/>
    </row>
    <row r="135" spans="1:26" ht="13.15" x14ac:dyDescent="0.4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204"/>
      <c r="S135" s="8"/>
      <c r="T135" s="8"/>
      <c r="U135" s="8"/>
      <c r="V135" s="8"/>
      <c r="W135" s="8"/>
      <c r="X135" s="8"/>
      <c r="Y135" s="8"/>
      <c r="Z135" s="8"/>
    </row>
    <row r="136" spans="1:26" ht="13.15" x14ac:dyDescent="0.4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204"/>
      <c r="S136" s="8"/>
      <c r="T136" s="8"/>
      <c r="U136" s="8"/>
      <c r="V136" s="8"/>
      <c r="W136" s="8"/>
      <c r="X136" s="8"/>
      <c r="Y136" s="8"/>
      <c r="Z136" s="8"/>
    </row>
    <row r="137" spans="1:26" ht="13.15" x14ac:dyDescent="0.4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204"/>
      <c r="S137" s="8"/>
      <c r="T137" s="8"/>
      <c r="U137" s="8"/>
      <c r="V137" s="8"/>
      <c r="W137" s="8"/>
      <c r="X137" s="8"/>
      <c r="Y137" s="8"/>
      <c r="Z137" s="8"/>
    </row>
    <row r="138" spans="1:26" ht="13.15" x14ac:dyDescent="0.4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204"/>
      <c r="S138" s="8"/>
      <c r="T138" s="8"/>
      <c r="U138" s="8"/>
      <c r="V138" s="8"/>
      <c r="W138" s="8"/>
      <c r="X138" s="8"/>
      <c r="Y138" s="8"/>
      <c r="Z138" s="8"/>
    </row>
    <row r="139" spans="1:26" ht="13.15" x14ac:dyDescent="0.4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204"/>
      <c r="S139" s="8"/>
      <c r="T139" s="8"/>
      <c r="U139" s="8"/>
      <c r="V139" s="8"/>
      <c r="W139" s="8"/>
      <c r="X139" s="8"/>
      <c r="Y139" s="8"/>
      <c r="Z139" s="8"/>
    </row>
    <row r="140" spans="1:26" ht="13.15" x14ac:dyDescent="0.4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204"/>
      <c r="S140" s="8"/>
      <c r="T140" s="8"/>
      <c r="U140" s="8"/>
      <c r="V140" s="8"/>
      <c r="W140" s="8"/>
      <c r="X140" s="8"/>
      <c r="Y140" s="8"/>
      <c r="Z140" s="8"/>
    </row>
    <row r="141" spans="1:26" ht="13.15" x14ac:dyDescent="0.4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204"/>
      <c r="S141" s="8"/>
      <c r="T141" s="8"/>
      <c r="U141" s="8"/>
      <c r="V141" s="8"/>
      <c r="W141" s="8"/>
      <c r="X141" s="8"/>
      <c r="Y141" s="8"/>
      <c r="Z141" s="8"/>
    </row>
    <row r="142" spans="1:26" ht="13.15" x14ac:dyDescent="0.4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204"/>
      <c r="S142" s="8"/>
      <c r="T142" s="8"/>
      <c r="U142" s="8"/>
      <c r="V142" s="8"/>
      <c r="W142" s="8"/>
      <c r="X142" s="8"/>
      <c r="Y142" s="8"/>
      <c r="Z142" s="8"/>
    </row>
    <row r="143" spans="1:26" ht="13.15" x14ac:dyDescent="0.4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204"/>
      <c r="S143" s="8"/>
      <c r="T143" s="8"/>
      <c r="U143" s="8"/>
      <c r="V143" s="8"/>
      <c r="W143" s="8"/>
      <c r="X143" s="8"/>
      <c r="Y143" s="8"/>
      <c r="Z143" s="8"/>
    </row>
    <row r="144" spans="1:26" ht="13.15" x14ac:dyDescent="0.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204"/>
      <c r="S144" s="8"/>
      <c r="T144" s="8"/>
      <c r="U144" s="8"/>
      <c r="V144" s="8"/>
      <c r="W144" s="8"/>
      <c r="X144" s="8"/>
      <c r="Y144" s="8"/>
      <c r="Z144" s="8"/>
    </row>
    <row r="145" spans="1:26" ht="13.15" x14ac:dyDescent="0.4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204"/>
      <c r="S145" s="8"/>
      <c r="T145" s="8"/>
      <c r="U145" s="8"/>
      <c r="V145" s="8"/>
      <c r="W145" s="8"/>
      <c r="X145" s="8"/>
      <c r="Y145" s="8"/>
      <c r="Z145" s="8"/>
    </row>
    <row r="146" spans="1:26" ht="13.15" x14ac:dyDescent="0.4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204"/>
      <c r="S146" s="8"/>
      <c r="T146" s="8"/>
      <c r="U146" s="8"/>
      <c r="V146" s="8"/>
      <c r="W146" s="8"/>
      <c r="X146" s="8"/>
      <c r="Y146" s="8"/>
      <c r="Z146" s="8"/>
    </row>
    <row r="147" spans="1:26" ht="13.15" x14ac:dyDescent="0.4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204"/>
      <c r="S147" s="8"/>
      <c r="T147" s="8"/>
      <c r="U147" s="8"/>
      <c r="V147" s="8"/>
      <c r="W147" s="8"/>
      <c r="X147" s="8"/>
      <c r="Y147" s="8"/>
      <c r="Z147" s="8"/>
    </row>
    <row r="148" spans="1:26" ht="13.15" x14ac:dyDescent="0.4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204"/>
      <c r="S148" s="8"/>
      <c r="T148" s="8"/>
      <c r="U148" s="8"/>
      <c r="V148" s="8"/>
      <c r="W148" s="8"/>
      <c r="X148" s="8"/>
      <c r="Y148" s="8"/>
      <c r="Z148" s="8"/>
    </row>
    <row r="149" spans="1:26" ht="13.15" x14ac:dyDescent="0.4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204"/>
      <c r="S149" s="8"/>
      <c r="T149" s="8"/>
      <c r="U149" s="8"/>
      <c r="V149" s="8"/>
      <c r="W149" s="8"/>
      <c r="X149" s="8"/>
      <c r="Y149" s="8"/>
      <c r="Z149" s="8"/>
    </row>
    <row r="150" spans="1:26" ht="13.15" x14ac:dyDescent="0.4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204"/>
      <c r="S150" s="8"/>
      <c r="T150" s="8"/>
      <c r="U150" s="8"/>
      <c r="V150" s="8"/>
      <c r="W150" s="8"/>
      <c r="X150" s="8"/>
      <c r="Y150" s="8"/>
      <c r="Z150" s="8"/>
    </row>
    <row r="151" spans="1:26" ht="13.15" x14ac:dyDescent="0.4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204"/>
      <c r="S151" s="8"/>
      <c r="T151" s="8"/>
      <c r="U151" s="8"/>
      <c r="V151" s="8"/>
      <c r="W151" s="8"/>
      <c r="X151" s="8"/>
      <c r="Y151" s="8"/>
      <c r="Z151" s="8"/>
    </row>
    <row r="152" spans="1:26" ht="13.15" x14ac:dyDescent="0.4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204"/>
      <c r="S152" s="8"/>
      <c r="T152" s="8"/>
      <c r="U152" s="8"/>
      <c r="V152" s="8"/>
      <c r="W152" s="8"/>
      <c r="X152" s="8"/>
      <c r="Y152" s="8"/>
      <c r="Z152" s="8"/>
    </row>
    <row r="153" spans="1:26" ht="13.15" x14ac:dyDescent="0.4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204"/>
      <c r="S153" s="8"/>
      <c r="T153" s="8"/>
      <c r="U153" s="8"/>
      <c r="V153" s="8"/>
      <c r="W153" s="8"/>
      <c r="X153" s="8"/>
      <c r="Y153" s="8"/>
      <c r="Z153" s="8"/>
    </row>
    <row r="154" spans="1:26" ht="13.15" x14ac:dyDescent="0.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204"/>
      <c r="S154" s="8"/>
      <c r="T154" s="8"/>
      <c r="U154" s="8"/>
      <c r="V154" s="8"/>
      <c r="W154" s="8"/>
      <c r="X154" s="8"/>
      <c r="Y154" s="8"/>
      <c r="Z154" s="8"/>
    </row>
    <row r="155" spans="1:26" ht="13.15" x14ac:dyDescent="0.4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204"/>
      <c r="S155" s="8"/>
      <c r="T155" s="8"/>
      <c r="U155" s="8"/>
      <c r="V155" s="8"/>
      <c r="W155" s="8"/>
      <c r="X155" s="8"/>
      <c r="Y155" s="8"/>
      <c r="Z155" s="8"/>
    </row>
    <row r="156" spans="1:26" ht="13.15" x14ac:dyDescent="0.4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204"/>
      <c r="S156" s="8"/>
      <c r="T156" s="8"/>
      <c r="U156" s="8"/>
      <c r="V156" s="8"/>
      <c r="W156" s="8"/>
      <c r="X156" s="8"/>
      <c r="Y156" s="8"/>
      <c r="Z156" s="8"/>
    </row>
    <row r="157" spans="1:26" ht="13.15" x14ac:dyDescent="0.4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204"/>
      <c r="S157" s="8"/>
      <c r="T157" s="8"/>
      <c r="U157" s="8"/>
      <c r="V157" s="8"/>
      <c r="W157" s="8"/>
      <c r="X157" s="8"/>
      <c r="Y157" s="8"/>
      <c r="Z157" s="8"/>
    </row>
    <row r="158" spans="1:26" ht="13.15" x14ac:dyDescent="0.4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204"/>
      <c r="S158" s="8"/>
      <c r="T158" s="8"/>
      <c r="U158" s="8"/>
      <c r="V158" s="8"/>
      <c r="W158" s="8"/>
      <c r="X158" s="8"/>
      <c r="Y158" s="8"/>
      <c r="Z158" s="8"/>
    </row>
    <row r="159" spans="1:26" ht="13.15" x14ac:dyDescent="0.4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204"/>
      <c r="S159" s="8"/>
      <c r="T159" s="8"/>
      <c r="U159" s="8"/>
      <c r="V159" s="8"/>
      <c r="W159" s="8"/>
      <c r="X159" s="8"/>
      <c r="Y159" s="8"/>
      <c r="Z159" s="8"/>
    </row>
    <row r="160" spans="1:26" ht="13.15" x14ac:dyDescent="0.4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204"/>
      <c r="S160" s="8"/>
      <c r="T160" s="8"/>
      <c r="U160" s="8"/>
      <c r="V160" s="8"/>
      <c r="W160" s="8"/>
      <c r="X160" s="8"/>
      <c r="Y160" s="8"/>
      <c r="Z160" s="8"/>
    </row>
    <row r="161" spans="1:26" ht="13.15" x14ac:dyDescent="0.4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204"/>
      <c r="S161" s="8"/>
      <c r="T161" s="8"/>
      <c r="U161" s="8"/>
      <c r="V161" s="8"/>
      <c r="W161" s="8"/>
      <c r="X161" s="8"/>
      <c r="Y161" s="8"/>
      <c r="Z161" s="8"/>
    </row>
    <row r="162" spans="1:26" ht="13.15" x14ac:dyDescent="0.4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204"/>
      <c r="S162" s="8"/>
      <c r="T162" s="8"/>
      <c r="U162" s="8"/>
      <c r="V162" s="8"/>
      <c r="W162" s="8"/>
      <c r="X162" s="8"/>
      <c r="Y162" s="8"/>
      <c r="Z162" s="8"/>
    </row>
    <row r="163" spans="1:26" ht="13.15" x14ac:dyDescent="0.4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204"/>
      <c r="S163" s="8"/>
      <c r="T163" s="8"/>
      <c r="U163" s="8"/>
      <c r="V163" s="8"/>
      <c r="W163" s="8"/>
      <c r="X163" s="8"/>
      <c r="Y163" s="8"/>
      <c r="Z163" s="8"/>
    </row>
    <row r="164" spans="1:26" ht="13.15" x14ac:dyDescent="0.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204"/>
      <c r="S164" s="8"/>
      <c r="T164" s="8"/>
      <c r="U164" s="8"/>
      <c r="V164" s="8"/>
      <c r="W164" s="8"/>
      <c r="X164" s="8"/>
      <c r="Y164" s="8"/>
      <c r="Z164" s="8"/>
    </row>
    <row r="165" spans="1:26" ht="13.15" x14ac:dyDescent="0.4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204"/>
      <c r="S165" s="8"/>
      <c r="T165" s="8"/>
      <c r="U165" s="8"/>
      <c r="V165" s="8"/>
      <c r="W165" s="8"/>
      <c r="X165" s="8"/>
      <c r="Y165" s="8"/>
      <c r="Z165" s="8"/>
    </row>
    <row r="166" spans="1:26" ht="13.15" x14ac:dyDescent="0.4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204"/>
      <c r="S166" s="8"/>
      <c r="T166" s="8"/>
      <c r="U166" s="8"/>
      <c r="V166" s="8"/>
      <c r="W166" s="8"/>
      <c r="X166" s="8"/>
      <c r="Y166" s="8"/>
      <c r="Z166" s="8"/>
    </row>
    <row r="167" spans="1:26" ht="13.15" x14ac:dyDescent="0.4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204"/>
      <c r="S167" s="8"/>
      <c r="T167" s="8"/>
      <c r="U167" s="8"/>
      <c r="V167" s="8"/>
      <c r="W167" s="8"/>
      <c r="X167" s="8"/>
      <c r="Y167" s="8"/>
      <c r="Z167" s="8"/>
    </row>
    <row r="168" spans="1:26" ht="13.15" x14ac:dyDescent="0.4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204"/>
      <c r="S168" s="8"/>
      <c r="T168" s="8"/>
      <c r="U168" s="8"/>
      <c r="V168" s="8"/>
      <c r="W168" s="8"/>
      <c r="X168" s="8"/>
      <c r="Y168" s="8"/>
      <c r="Z168" s="8"/>
    </row>
    <row r="169" spans="1:26" ht="13.15" x14ac:dyDescent="0.4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204"/>
      <c r="S169" s="8"/>
      <c r="T169" s="8"/>
      <c r="U169" s="8"/>
      <c r="V169" s="8"/>
      <c r="W169" s="8"/>
      <c r="X169" s="8"/>
      <c r="Y169" s="8"/>
      <c r="Z169" s="8"/>
    </row>
    <row r="170" spans="1:26" ht="13.15" x14ac:dyDescent="0.4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204"/>
      <c r="S170" s="8"/>
      <c r="T170" s="8"/>
      <c r="U170" s="8"/>
      <c r="V170" s="8"/>
      <c r="W170" s="8"/>
      <c r="X170" s="8"/>
      <c r="Y170" s="8"/>
      <c r="Z170" s="8"/>
    </row>
    <row r="171" spans="1:26" ht="13.15" x14ac:dyDescent="0.4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204"/>
      <c r="S171" s="8"/>
      <c r="T171" s="8"/>
      <c r="U171" s="8"/>
      <c r="V171" s="8"/>
      <c r="W171" s="8"/>
      <c r="X171" s="8"/>
      <c r="Y171" s="8"/>
      <c r="Z171" s="8"/>
    </row>
    <row r="172" spans="1:26" ht="13.15" x14ac:dyDescent="0.4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204"/>
      <c r="S172" s="8"/>
      <c r="T172" s="8"/>
      <c r="U172" s="8"/>
      <c r="V172" s="8"/>
      <c r="W172" s="8"/>
      <c r="X172" s="8"/>
      <c r="Y172" s="8"/>
      <c r="Z172" s="8"/>
    </row>
    <row r="173" spans="1:26" ht="13.15" x14ac:dyDescent="0.4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204"/>
      <c r="S173" s="8"/>
      <c r="T173" s="8"/>
      <c r="U173" s="8"/>
      <c r="V173" s="8"/>
      <c r="W173" s="8"/>
      <c r="X173" s="8"/>
      <c r="Y173" s="8"/>
      <c r="Z173" s="8"/>
    </row>
    <row r="174" spans="1:26" ht="13.15" x14ac:dyDescent="0.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204"/>
      <c r="S174" s="8"/>
      <c r="T174" s="8"/>
      <c r="U174" s="8"/>
      <c r="V174" s="8"/>
      <c r="W174" s="8"/>
      <c r="X174" s="8"/>
      <c r="Y174" s="8"/>
      <c r="Z174" s="8"/>
    </row>
    <row r="175" spans="1:26" ht="13.15" x14ac:dyDescent="0.4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204"/>
      <c r="S175" s="8"/>
      <c r="T175" s="8"/>
      <c r="U175" s="8"/>
      <c r="V175" s="8"/>
      <c r="W175" s="8"/>
      <c r="X175" s="8"/>
      <c r="Y175" s="8"/>
      <c r="Z175" s="8"/>
    </row>
    <row r="176" spans="1:26" ht="13.15" x14ac:dyDescent="0.4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204"/>
      <c r="S176" s="8"/>
      <c r="T176" s="8"/>
      <c r="U176" s="8"/>
      <c r="V176" s="8"/>
      <c r="W176" s="8"/>
      <c r="X176" s="8"/>
      <c r="Y176" s="8"/>
      <c r="Z176" s="8"/>
    </row>
    <row r="177" spans="1:26" ht="13.15" x14ac:dyDescent="0.4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204"/>
      <c r="S177" s="8"/>
      <c r="T177" s="8"/>
      <c r="U177" s="8"/>
      <c r="V177" s="8"/>
      <c r="W177" s="8"/>
      <c r="X177" s="8"/>
      <c r="Y177" s="8"/>
      <c r="Z177" s="8"/>
    </row>
    <row r="178" spans="1:26" ht="13.15" x14ac:dyDescent="0.4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204"/>
      <c r="S178" s="8"/>
      <c r="T178" s="8"/>
      <c r="U178" s="8"/>
      <c r="V178" s="8"/>
      <c r="W178" s="8"/>
      <c r="X178" s="8"/>
      <c r="Y178" s="8"/>
      <c r="Z178" s="8"/>
    </row>
    <row r="179" spans="1:26" ht="13.15" x14ac:dyDescent="0.4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204"/>
      <c r="S179" s="8"/>
      <c r="T179" s="8"/>
      <c r="U179" s="8"/>
      <c r="V179" s="8"/>
      <c r="W179" s="8"/>
      <c r="X179" s="8"/>
      <c r="Y179" s="8"/>
      <c r="Z179" s="8"/>
    </row>
    <row r="180" spans="1:26" ht="13.15" x14ac:dyDescent="0.4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204"/>
      <c r="S180" s="8"/>
      <c r="T180" s="8"/>
      <c r="U180" s="8"/>
      <c r="V180" s="8"/>
      <c r="W180" s="8"/>
      <c r="X180" s="8"/>
      <c r="Y180" s="8"/>
      <c r="Z180" s="8"/>
    </row>
    <row r="181" spans="1:26" ht="13.15" x14ac:dyDescent="0.4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204"/>
      <c r="S181" s="8"/>
      <c r="T181" s="8"/>
      <c r="U181" s="8"/>
      <c r="V181" s="8"/>
      <c r="W181" s="8"/>
      <c r="X181" s="8"/>
      <c r="Y181" s="8"/>
      <c r="Z181" s="8"/>
    </row>
    <row r="182" spans="1:26" ht="13.15" x14ac:dyDescent="0.4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204"/>
      <c r="S182" s="8"/>
      <c r="T182" s="8"/>
      <c r="U182" s="8"/>
      <c r="V182" s="8"/>
      <c r="W182" s="8"/>
      <c r="X182" s="8"/>
      <c r="Y182" s="8"/>
      <c r="Z182" s="8"/>
    </row>
    <row r="183" spans="1:26" ht="13.15" x14ac:dyDescent="0.4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204"/>
      <c r="S183" s="8"/>
      <c r="T183" s="8"/>
      <c r="U183" s="8"/>
      <c r="V183" s="8"/>
      <c r="W183" s="8"/>
      <c r="X183" s="8"/>
      <c r="Y183" s="8"/>
      <c r="Z183" s="8"/>
    </row>
    <row r="184" spans="1:26" ht="13.15" x14ac:dyDescent="0.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204"/>
      <c r="S184" s="8"/>
      <c r="T184" s="8"/>
      <c r="U184" s="8"/>
      <c r="V184" s="8"/>
      <c r="W184" s="8"/>
      <c r="X184" s="8"/>
      <c r="Y184" s="8"/>
      <c r="Z184" s="8"/>
    </row>
    <row r="185" spans="1:26" ht="13.15" x14ac:dyDescent="0.4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204"/>
      <c r="S185" s="8"/>
      <c r="T185" s="8"/>
      <c r="U185" s="8"/>
      <c r="V185" s="8"/>
      <c r="W185" s="8"/>
      <c r="X185" s="8"/>
      <c r="Y185" s="8"/>
      <c r="Z185" s="8"/>
    </row>
    <row r="186" spans="1:26" ht="13.15" x14ac:dyDescent="0.4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204"/>
      <c r="S186" s="8"/>
      <c r="T186" s="8"/>
      <c r="U186" s="8"/>
      <c r="V186" s="8"/>
      <c r="W186" s="8"/>
      <c r="X186" s="8"/>
      <c r="Y186" s="8"/>
      <c r="Z186" s="8"/>
    </row>
    <row r="187" spans="1:26" ht="13.15" x14ac:dyDescent="0.4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204"/>
      <c r="S187" s="8"/>
      <c r="T187" s="8"/>
      <c r="U187" s="8"/>
      <c r="V187" s="8"/>
      <c r="W187" s="8"/>
      <c r="X187" s="8"/>
      <c r="Y187" s="8"/>
      <c r="Z187" s="8"/>
    </row>
    <row r="188" spans="1:26" ht="13.15" x14ac:dyDescent="0.4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204"/>
      <c r="S188" s="8"/>
      <c r="T188" s="8"/>
      <c r="U188" s="8"/>
      <c r="V188" s="8"/>
      <c r="W188" s="8"/>
      <c r="X188" s="8"/>
      <c r="Y188" s="8"/>
      <c r="Z188" s="8"/>
    </row>
    <row r="189" spans="1:26" ht="13.15" x14ac:dyDescent="0.4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204"/>
      <c r="S189" s="8"/>
      <c r="T189" s="8"/>
      <c r="U189" s="8"/>
      <c r="V189" s="8"/>
      <c r="W189" s="8"/>
      <c r="X189" s="8"/>
      <c r="Y189" s="8"/>
      <c r="Z189" s="8"/>
    </row>
    <row r="190" spans="1:26" ht="13.15" x14ac:dyDescent="0.4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204"/>
      <c r="S190" s="8"/>
      <c r="T190" s="8"/>
      <c r="U190" s="8"/>
      <c r="V190" s="8"/>
      <c r="W190" s="8"/>
      <c r="X190" s="8"/>
      <c r="Y190" s="8"/>
      <c r="Z190" s="8"/>
    </row>
    <row r="191" spans="1:26" ht="13.15" x14ac:dyDescent="0.4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204"/>
      <c r="S191" s="8"/>
      <c r="T191" s="8"/>
      <c r="U191" s="8"/>
      <c r="V191" s="8"/>
      <c r="W191" s="8"/>
      <c r="X191" s="8"/>
      <c r="Y191" s="8"/>
      <c r="Z191" s="8"/>
    </row>
    <row r="192" spans="1:26" ht="13.15" x14ac:dyDescent="0.4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204"/>
      <c r="S192" s="8"/>
      <c r="T192" s="8"/>
      <c r="U192" s="8"/>
      <c r="V192" s="8"/>
      <c r="W192" s="8"/>
      <c r="X192" s="8"/>
      <c r="Y192" s="8"/>
      <c r="Z192" s="8"/>
    </row>
    <row r="193" spans="1:26" ht="13.15" x14ac:dyDescent="0.4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204"/>
      <c r="S193" s="8"/>
      <c r="T193" s="8"/>
      <c r="U193" s="8"/>
      <c r="V193" s="8"/>
      <c r="W193" s="8"/>
      <c r="X193" s="8"/>
      <c r="Y193" s="8"/>
      <c r="Z193" s="8"/>
    </row>
    <row r="194" spans="1:26" ht="13.15" x14ac:dyDescent="0.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204"/>
      <c r="S194" s="8"/>
      <c r="T194" s="8"/>
      <c r="U194" s="8"/>
      <c r="V194" s="8"/>
      <c r="W194" s="8"/>
      <c r="X194" s="8"/>
      <c r="Y194" s="8"/>
      <c r="Z194" s="8"/>
    </row>
    <row r="195" spans="1:26" ht="13.15" x14ac:dyDescent="0.4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204"/>
      <c r="S195" s="8"/>
      <c r="T195" s="8"/>
      <c r="U195" s="8"/>
      <c r="V195" s="8"/>
      <c r="W195" s="8"/>
      <c r="X195" s="8"/>
      <c r="Y195" s="8"/>
      <c r="Z195" s="8"/>
    </row>
    <row r="196" spans="1:26" ht="13.15" x14ac:dyDescent="0.4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204"/>
      <c r="S196" s="8"/>
      <c r="T196" s="8"/>
      <c r="U196" s="8"/>
      <c r="V196" s="8"/>
      <c r="W196" s="8"/>
      <c r="X196" s="8"/>
      <c r="Y196" s="8"/>
      <c r="Z196" s="8"/>
    </row>
    <row r="197" spans="1:26" ht="13.15" x14ac:dyDescent="0.4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204"/>
      <c r="S197" s="8"/>
      <c r="T197" s="8"/>
      <c r="U197" s="8"/>
      <c r="V197" s="8"/>
      <c r="W197" s="8"/>
      <c r="X197" s="8"/>
      <c r="Y197" s="8"/>
      <c r="Z197" s="8"/>
    </row>
    <row r="198" spans="1:26" ht="13.15" x14ac:dyDescent="0.4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204"/>
      <c r="S198" s="8"/>
      <c r="T198" s="8"/>
      <c r="U198" s="8"/>
      <c r="V198" s="8"/>
      <c r="W198" s="8"/>
      <c r="X198" s="8"/>
      <c r="Y198" s="8"/>
      <c r="Z198" s="8"/>
    </row>
    <row r="199" spans="1:26" ht="13.15" x14ac:dyDescent="0.4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204"/>
      <c r="S199" s="8"/>
      <c r="T199" s="8"/>
      <c r="U199" s="8"/>
      <c r="V199" s="8"/>
      <c r="W199" s="8"/>
      <c r="X199" s="8"/>
      <c r="Y199" s="8"/>
      <c r="Z199" s="8"/>
    </row>
    <row r="200" spans="1:26" ht="13.15" x14ac:dyDescent="0.4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204"/>
      <c r="S200" s="8"/>
      <c r="T200" s="8"/>
      <c r="U200" s="8"/>
      <c r="V200" s="8"/>
      <c r="W200" s="8"/>
      <c r="X200" s="8"/>
      <c r="Y200" s="8"/>
      <c r="Z200" s="8"/>
    </row>
    <row r="201" spans="1:26" ht="13.15" x14ac:dyDescent="0.4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204"/>
      <c r="S201" s="8"/>
      <c r="T201" s="8"/>
      <c r="U201" s="8"/>
      <c r="V201" s="8"/>
      <c r="W201" s="8"/>
      <c r="X201" s="8"/>
      <c r="Y201" s="8"/>
      <c r="Z201" s="8"/>
    </row>
    <row r="202" spans="1:26" ht="13.15" x14ac:dyDescent="0.4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204"/>
      <c r="S202" s="8"/>
      <c r="T202" s="8"/>
      <c r="U202" s="8"/>
      <c r="V202" s="8"/>
      <c r="W202" s="8"/>
      <c r="X202" s="8"/>
      <c r="Y202" s="8"/>
      <c r="Z202" s="8"/>
    </row>
    <row r="203" spans="1:26" ht="13.15" x14ac:dyDescent="0.4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204"/>
      <c r="S203" s="8"/>
      <c r="T203" s="8"/>
      <c r="U203" s="8"/>
      <c r="V203" s="8"/>
      <c r="W203" s="8"/>
      <c r="X203" s="8"/>
      <c r="Y203" s="8"/>
      <c r="Z203" s="8"/>
    </row>
    <row r="204" spans="1:26" ht="13.15" x14ac:dyDescent="0.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204"/>
      <c r="S204" s="8"/>
      <c r="T204" s="8"/>
      <c r="U204" s="8"/>
      <c r="V204" s="8"/>
      <c r="W204" s="8"/>
      <c r="X204" s="8"/>
      <c r="Y204" s="8"/>
      <c r="Z204" s="8"/>
    </row>
    <row r="205" spans="1:26" ht="13.15" x14ac:dyDescent="0.4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204"/>
      <c r="S205" s="8"/>
      <c r="T205" s="8"/>
      <c r="U205" s="8"/>
      <c r="V205" s="8"/>
      <c r="W205" s="8"/>
      <c r="X205" s="8"/>
      <c r="Y205" s="8"/>
      <c r="Z205" s="8"/>
    </row>
    <row r="206" spans="1:26" ht="13.15" x14ac:dyDescent="0.4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204"/>
      <c r="S206" s="8"/>
      <c r="T206" s="8"/>
      <c r="U206" s="8"/>
      <c r="V206" s="8"/>
      <c r="W206" s="8"/>
      <c r="X206" s="8"/>
      <c r="Y206" s="8"/>
      <c r="Z206" s="8"/>
    </row>
    <row r="207" spans="1:26" ht="13.15" x14ac:dyDescent="0.4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204"/>
      <c r="S207" s="8"/>
      <c r="T207" s="8"/>
      <c r="U207" s="8"/>
      <c r="V207" s="8"/>
      <c r="W207" s="8"/>
      <c r="X207" s="8"/>
      <c r="Y207" s="8"/>
      <c r="Z207" s="8"/>
    </row>
    <row r="208" spans="1:26" ht="13.15" x14ac:dyDescent="0.4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204"/>
      <c r="S208" s="8"/>
      <c r="T208" s="8"/>
      <c r="U208" s="8"/>
      <c r="V208" s="8"/>
      <c r="W208" s="8"/>
      <c r="X208" s="8"/>
      <c r="Y208" s="8"/>
      <c r="Z208" s="8"/>
    </row>
    <row r="209" spans="1:26" ht="13.15" x14ac:dyDescent="0.4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204"/>
      <c r="S209" s="8"/>
      <c r="T209" s="8"/>
      <c r="U209" s="8"/>
      <c r="V209" s="8"/>
      <c r="W209" s="8"/>
      <c r="X209" s="8"/>
      <c r="Y209" s="8"/>
      <c r="Z209" s="8"/>
    </row>
    <row r="210" spans="1:26" ht="13.15" x14ac:dyDescent="0.4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204"/>
      <c r="S210" s="8"/>
      <c r="T210" s="8"/>
      <c r="U210" s="8"/>
      <c r="V210" s="8"/>
      <c r="W210" s="8"/>
      <c r="X210" s="8"/>
      <c r="Y210" s="8"/>
      <c r="Z210" s="8"/>
    </row>
    <row r="211" spans="1:26" ht="13.15" x14ac:dyDescent="0.4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204"/>
      <c r="S211" s="8"/>
      <c r="T211" s="8"/>
      <c r="U211" s="8"/>
      <c r="V211" s="8"/>
      <c r="W211" s="8"/>
      <c r="X211" s="8"/>
      <c r="Y211" s="8"/>
      <c r="Z211" s="8"/>
    </row>
    <row r="212" spans="1:26" ht="13.15" x14ac:dyDescent="0.4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204"/>
      <c r="S212" s="8"/>
      <c r="T212" s="8"/>
      <c r="U212" s="8"/>
      <c r="V212" s="8"/>
      <c r="W212" s="8"/>
      <c r="X212" s="8"/>
      <c r="Y212" s="8"/>
      <c r="Z212" s="8"/>
    </row>
    <row r="213" spans="1:26" ht="13.15" x14ac:dyDescent="0.4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204"/>
      <c r="S213" s="8"/>
      <c r="T213" s="8"/>
      <c r="U213" s="8"/>
      <c r="V213" s="8"/>
      <c r="W213" s="8"/>
      <c r="X213" s="8"/>
      <c r="Y213" s="8"/>
      <c r="Z213" s="8"/>
    </row>
    <row r="214" spans="1:26" ht="13.15" x14ac:dyDescent="0.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204"/>
      <c r="S214" s="8"/>
      <c r="T214" s="8"/>
      <c r="U214" s="8"/>
      <c r="V214" s="8"/>
      <c r="W214" s="8"/>
      <c r="X214" s="8"/>
      <c r="Y214" s="8"/>
      <c r="Z214" s="8"/>
    </row>
    <row r="215" spans="1:26" ht="13.15" x14ac:dyDescent="0.4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204"/>
      <c r="S215" s="8"/>
      <c r="T215" s="8"/>
      <c r="U215" s="8"/>
      <c r="V215" s="8"/>
      <c r="W215" s="8"/>
      <c r="X215" s="8"/>
      <c r="Y215" s="8"/>
      <c r="Z215" s="8"/>
    </row>
    <row r="216" spans="1:26" ht="13.15" x14ac:dyDescent="0.4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204"/>
      <c r="S216" s="8"/>
      <c r="T216" s="8"/>
      <c r="U216" s="8"/>
      <c r="V216" s="8"/>
      <c r="W216" s="8"/>
      <c r="X216" s="8"/>
      <c r="Y216" s="8"/>
      <c r="Z216" s="8"/>
    </row>
    <row r="217" spans="1:26" ht="13.15" x14ac:dyDescent="0.4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204"/>
      <c r="S217" s="8"/>
      <c r="T217" s="8"/>
      <c r="U217" s="8"/>
      <c r="V217" s="8"/>
      <c r="W217" s="8"/>
      <c r="X217" s="8"/>
      <c r="Y217" s="8"/>
      <c r="Z217" s="8"/>
    </row>
    <row r="218" spans="1:26" ht="13.15" x14ac:dyDescent="0.4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204"/>
      <c r="S218" s="8"/>
      <c r="T218" s="8"/>
      <c r="U218" s="8"/>
      <c r="V218" s="8"/>
      <c r="W218" s="8"/>
      <c r="X218" s="8"/>
      <c r="Y218" s="8"/>
      <c r="Z218" s="8"/>
    </row>
    <row r="219" spans="1:26" ht="13.15" x14ac:dyDescent="0.4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204"/>
      <c r="S219" s="8"/>
      <c r="T219" s="8"/>
      <c r="U219" s="8"/>
      <c r="V219" s="8"/>
      <c r="W219" s="8"/>
      <c r="X219" s="8"/>
      <c r="Y219" s="8"/>
      <c r="Z219" s="8"/>
    </row>
    <row r="220" spans="1:26" ht="13.15" x14ac:dyDescent="0.4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204"/>
      <c r="S220" s="8"/>
      <c r="T220" s="8"/>
      <c r="U220" s="8"/>
      <c r="V220" s="8"/>
      <c r="W220" s="8"/>
      <c r="X220" s="8"/>
      <c r="Y220" s="8"/>
      <c r="Z220" s="8"/>
    </row>
    <row r="221" spans="1:26" ht="13.15" x14ac:dyDescent="0.4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204"/>
      <c r="S221" s="8"/>
      <c r="T221" s="8"/>
      <c r="U221" s="8"/>
      <c r="V221" s="8"/>
      <c r="W221" s="8"/>
      <c r="X221" s="8"/>
      <c r="Y221" s="8"/>
      <c r="Z221" s="8"/>
    </row>
    <row r="222" spans="1:26" ht="13.15" x14ac:dyDescent="0.4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204"/>
      <c r="S222" s="8"/>
      <c r="T222" s="8"/>
      <c r="U222" s="8"/>
      <c r="V222" s="8"/>
      <c r="W222" s="8"/>
      <c r="X222" s="8"/>
      <c r="Y222" s="8"/>
      <c r="Z222" s="8"/>
    </row>
    <row r="223" spans="1:26" ht="13.15" x14ac:dyDescent="0.4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204"/>
      <c r="S223" s="8"/>
      <c r="T223" s="8"/>
      <c r="U223" s="8"/>
      <c r="V223" s="8"/>
      <c r="W223" s="8"/>
      <c r="X223" s="8"/>
      <c r="Y223" s="8"/>
      <c r="Z223" s="8"/>
    </row>
    <row r="224" spans="1:26" ht="13.15" x14ac:dyDescent="0.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204"/>
      <c r="S224" s="8"/>
      <c r="T224" s="8"/>
      <c r="U224" s="8"/>
      <c r="V224" s="8"/>
      <c r="W224" s="8"/>
      <c r="X224" s="8"/>
      <c r="Y224" s="8"/>
      <c r="Z224" s="8"/>
    </row>
    <row r="225" spans="1:26" ht="13.15" x14ac:dyDescent="0.4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204"/>
      <c r="S225" s="8"/>
      <c r="T225" s="8"/>
      <c r="U225" s="8"/>
      <c r="V225" s="8"/>
      <c r="W225" s="8"/>
      <c r="X225" s="8"/>
      <c r="Y225" s="8"/>
      <c r="Z225" s="8"/>
    </row>
    <row r="226" spans="1:26" ht="13.15" x14ac:dyDescent="0.4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204"/>
      <c r="S226" s="8"/>
      <c r="T226" s="8"/>
      <c r="U226" s="8"/>
      <c r="V226" s="8"/>
      <c r="W226" s="8"/>
      <c r="X226" s="8"/>
      <c r="Y226" s="8"/>
      <c r="Z226" s="8"/>
    </row>
    <row r="227" spans="1:26" ht="13.15" x14ac:dyDescent="0.4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204"/>
      <c r="S227" s="8"/>
      <c r="T227" s="8"/>
      <c r="U227" s="8"/>
      <c r="V227" s="8"/>
      <c r="W227" s="8"/>
      <c r="X227" s="8"/>
      <c r="Y227" s="8"/>
      <c r="Z227" s="8"/>
    </row>
    <row r="228" spans="1:26" ht="13.15" x14ac:dyDescent="0.4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204"/>
      <c r="S228" s="8"/>
      <c r="T228" s="8"/>
      <c r="U228" s="8"/>
      <c r="V228" s="8"/>
      <c r="W228" s="8"/>
      <c r="X228" s="8"/>
      <c r="Y228" s="8"/>
      <c r="Z228" s="8"/>
    </row>
    <row r="229" spans="1:26" ht="13.15" x14ac:dyDescent="0.4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204"/>
      <c r="S229" s="8"/>
      <c r="T229" s="8"/>
      <c r="U229" s="8"/>
      <c r="V229" s="8"/>
      <c r="W229" s="8"/>
      <c r="X229" s="8"/>
      <c r="Y229" s="8"/>
      <c r="Z229" s="8"/>
    </row>
    <row r="230" spans="1:26" ht="13.15" x14ac:dyDescent="0.4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204"/>
      <c r="S230" s="8"/>
      <c r="T230" s="8"/>
      <c r="U230" s="8"/>
      <c r="V230" s="8"/>
      <c r="W230" s="8"/>
      <c r="X230" s="8"/>
      <c r="Y230" s="8"/>
      <c r="Z230" s="8"/>
    </row>
    <row r="231" spans="1:26" ht="13.15" x14ac:dyDescent="0.4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204"/>
      <c r="S231" s="8"/>
      <c r="T231" s="8"/>
      <c r="U231" s="8"/>
      <c r="V231" s="8"/>
      <c r="W231" s="8"/>
      <c r="X231" s="8"/>
      <c r="Y231" s="8"/>
      <c r="Z231" s="8"/>
    </row>
    <row r="232" spans="1:26" ht="13.15" x14ac:dyDescent="0.4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204"/>
      <c r="S232" s="8"/>
      <c r="T232" s="8"/>
      <c r="U232" s="8"/>
      <c r="V232" s="8"/>
      <c r="W232" s="8"/>
      <c r="X232" s="8"/>
      <c r="Y232" s="8"/>
      <c r="Z232" s="8"/>
    </row>
    <row r="233" spans="1:26" ht="13.15" x14ac:dyDescent="0.4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204"/>
      <c r="S233" s="8"/>
      <c r="T233" s="8"/>
      <c r="U233" s="8"/>
      <c r="V233" s="8"/>
      <c r="W233" s="8"/>
      <c r="X233" s="8"/>
      <c r="Y233" s="8"/>
      <c r="Z233" s="8"/>
    </row>
    <row r="234" spans="1:26" ht="13.15" x14ac:dyDescent="0.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204"/>
      <c r="S234" s="8"/>
      <c r="T234" s="8"/>
      <c r="U234" s="8"/>
      <c r="V234" s="8"/>
      <c r="W234" s="8"/>
      <c r="X234" s="8"/>
      <c r="Y234" s="8"/>
      <c r="Z234" s="8"/>
    </row>
    <row r="235" spans="1:26" ht="13.15" x14ac:dyDescent="0.4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204"/>
      <c r="S235" s="8"/>
      <c r="T235" s="8"/>
      <c r="U235" s="8"/>
      <c r="V235" s="8"/>
      <c r="W235" s="8"/>
      <c r="X235" s="8"/>
      <c r="Y235" s="8"/>
      <c r="Z235" s="8"/>
    </row>
    <row r="236" spans="1:26" ht="13.15" x14ac:dyDescent="0.4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204"/>
      <c r="S236" s="8"/>
      <c r="T236" s="8"/>
      <c r="U236" s="8"/>
      <c r="V236" s="8"/>
      <c r="W236" s="8"/>
      <c r="X236" s="8"/>
      <c r="Y236" s="8"/>
      <c r="Z236" s="8"/>
    </row>
    <row r="237" spans="1:26" ht="13.15" x14ac:dyDescent="0.4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204"/>
      <c r="S237" s="8"/>
      <c r="T237" s="8"/>
      <c r="U237" s="8"/>
      <c r="V237" s="8"/>
      <c r="W237" s="8"/>
      <c r="X237" s="8"/>
      <c r="Y237" s="8"/>
      <c r="Z237" s="8"/>
    </row>
    <row r="238" spans="1:26" ht="13.15" x14ac:dyDescent="0.4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204"/>
      <c r="S238" s="8"/>
      <c r="T238" s="8"/>
      <c r="U238" s="8"/>
      <c r="V238" s="8"/>
      <c r="W238" s="8"/>
      <c r="X238" s="8"/>
      <c r="Y238" s="8"/>
      <c r="Z238" s="8"/>
    </row>
    <row r="239" spans="1:26" ht="13.15" x14ac:dyDescent="0.4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204"/>
      <c r="S239" s="8"/>
      <c r="T239" s="8"/>
      <c r="U239" s="8"/>
      <c r="V239" s="8"/>
      <c r="W239" s="8"/>
      <c r="X239" s="8"/>
      <c r="Y239" s="8"/>
      <c r="Z239" s="8"/>
    </row>
    <row r="240" spans="1:26" ht="13.15" x14ac:dyDescent="0.4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204"/>
      <c r="S240" s="8"/>
      <c r="T240" s="8"/>
      <c r="U240" s="8"/>
      <c r="V240" s="8"/>
      <c r="W240" s="8"/>
      <c r="X240" s="8"/>
      <c r="Y240" s="8"/>
      <c r="Z240" s="8"/>
    </row>
    <row r="241" spans="1:26" ht="13.15" x14ac:dyDescent="0.4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204"/>
      <c r="S241" s="8"/>
      <c r="T241" s="8"/>
      <c r="U241" s="8"/>
      <c r="V241" s="8"/>
      <c r="W241" s="8"/>
      <c r="X241" s="8"/>
      <c r="Y241" s="8"/>
      <c r="Z241" s="8"/>
    </row>
    <row r="242" spans="1:26" ht="13.15" x14ac:dyDescent="0.4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204"/>
      <c r="S242" s="8"/>
      <c r="T242" s="8"/>
      <c r="U242" s="8"/>
      <c r="V242" s="8"/>
      <c r="W242" s="8"/>
      <c r="X242" s="8"/>
      <c r="Y242" s="8"/>
      <c r="Z242" s="8"/>
    </row>
    <row r="243" spans="1:26" ht="13.15" x14ac:dyDescent="0.4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204"/>
      <c r="S243" s="8"/>
      <c r="T243" s="8"/>
      <c r="U243" s="8"/>
      <c r="V243" s="8"/>
      <c r="W243" s="8"/>
      <c r="X243" s="8"/>
      <c r="Y243" s="8"/>
      <c r="Z243" s="8"/>
    </row>
    <row r="244" spans="1:26" ht="13.15" x14ac:dyDescent="0.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204"/>
      <c r="S244" s="8"/>
      <c r="T244" s="8"/>
      <c r="U244" s="8"/>
      <c r="V244" s="8"/>
      <c r="W244" s="8"/>
      <c r="X244" s="8"/>
      <c r="Y244" s="8"/>
      <c r="Z244" s="8"/>
    </row>
    <row r="245" spans="1:26" ht="13.15" x14ac:dyDescent="0.4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204"/>
      <c r="S245" s="8"/>
      <c r="T245" s="8"/>
      <c r="U245" s="8"/>
      <c r="V245" s="8"/>
      <c r="W245" s="8"/>
      <c r="X245" s="8"/>
      <c r="Y245" s="8"/>
      <c r="Z245" s="8"/>
    </row>
    <row r="246" spans="1:26" ht="13.15" x14ac:dyDescent="0.4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204"/>
      <c r="S246" s="8"/>
      <c r="T246" s="8"/>
      <c r="U246" s="8"/>
      <c r="V246" s="8"/>
      <c r="W246" s="8"/>
      <c r="X246" s="8"/>
      <c r="Y246" s="8"/>
      <c r="Z246" s="8"/>
    </row>
    <row r="247" spans="1:26" ht="13.15" x14ac:dyDescent="0.4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204"/>
      <c r="S247" s="8"/>
      <c r="T247" s="8"/>
      <c r="U247" s="8"/>
      <c r="V247" s="8"/>
      <c r="W247" s="8"/>
      <c r="X247" s="8"/>
      <c r="Y247" s="8"/>
      <c r="Z247" s="8"/>
    </row>
    <row r="248" spans="1:26" ht="13.15" x14ac:dyDescent="0.4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204"/>
      <c r="S248" s="8"/>
      <c r="T248" s="8"/>
      <c r="U248" s="8"/>
      <c r="V248" s="8"/>
      <c r="W248" s="8"/>
      <c r="X248" s="8"/>
      <c r="Y248" s="8"/>
      <c r="Z248" s="8"/>
    </row>
    <row r="249" spans="1:26" ht="13.15" x14ac:dyDescent="0.4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204"/>
      <c r="S249" s="8"/>
      <c r="T249" s="8"/>
      <c r="U249" s="8"/>
      <c r="V249" s="8"/>
      <c r="W249" s="8"/>
      <c r="X249" s="8"/>
      <c r="Y249" s="8"/>
      <c r="Z249" s="8"/>
    </row>
    <row r="250" spans="1:26" ht="13.15" x14ac:dyDescent="0.4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204"/>
      <c r="S250" s="8"/>
      <c r="T250" s="8"/>
      <c r="U250" s="8"/>
      <c r="V250" s="8"/>
      <c r="W250" s="8"/>
      <c r="X250" s="8"/>
      <c r="Y250" s="8"/>
      <c r="Z250" s="8"/>
    </row>
    <row r="251" spans="1:26" ht="13.15" x14ac:dyDescent="0.4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204"/>
      <c r="S251" s="8"/>
      <c r="T251" s="8"/>
      <c r="U251" s="8"/>
      <c r="V251" s="8"/>
      <c r="W251" s="8"/>
      <c r="X251" s="8"/>
      <c r="Y251" s="8"/>
      <c r="Z251" s="8"/>
    </row>
    <row r="252" spans="1:26" ht="13.15" x14ac:dyDescent="0.4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204"/>
      <c r="S252" s="8"/>
      <c r="T252" s="8"/>
      <c r="U252" s="8"/>
      <c r="V252" s="8"/>
      <c r="W252" s="8"/>
      <c r="X252" s="8"/>
      <c r="Y252" s="8"/>
      <c r="Z252" s="8"/>
    </row>
    <row r="253" spans="1:26" ht="13.15" x14ac:dyDescent="0.4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204"/>
      <c r="S253" s="8"/>
      <c r="T253" s="8"/>
      <c r="U253" s="8"/>
      <c r="V253" s="8"/>
      <c r="W253" s="8"/>
      <c r="X253" s="8"/>
      <c r="Y253" s="8"/>
      <c r="Z253" s="8"/>
    </row>
    <row r="254" spans="1:26" ht="13.15" x14ac:dyDescent="0.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204"/>
      <c r="S254" s="8"/>
      <c r="T254" s="8"/>
      <c r="U254" s="8"/>
      <c r="V254" s="8"/>
      <c r="W254" s="8"/>
      <c r="X254" s="8"/>
      <c r="Y254" s="8"/>
      <c r="Z254" s="8"/>
    </row>
    <row r="255" spans="1:26" ht="13.15" x14ac:dyDescent="0.4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204"/>
      <c r="S255" s="8"/>
      <c r="T255" s="8"/>
      <c r="U255" s="8"/>
      <c r="V255" s="8"/>
      <c r="W255" s="8"/>
      <c r="X255" s="8"/>
      <c r="Y255" s="8"/>
      <c r="Z255" s="8"/>
    </row>
    <row r="256" spans="1:26" ht="13.15" x14ac:dyDescent="0.4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204"/>
      <c r="S256" s="8"/>
      <c r="T256" s="8"/>
      <c r="U256" s="8"/>
      <c r="V256" s="8"/>
      <c r="W256" s="8"/>
      <c r="X256" s="8"/>
      <c r="Y256" s="8"/>
      <c r="Z256" s="8"/>
    </row>
    <row r="257" spans="1:26" ht="13.15" x14ac:dyDescent="0.4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204"/>
      <c r="S257" s="8"/>
      <c r="T257" s="8"/>
      <c r="U257" s="8"/>
      <c r="V257" s="8"/>
      <c r="W257" s="8"/>
      <c r="X257" s="8"/>
      <c r="Y257" s="8"/>
      <c r="Z257" s="8"/>
    </row>
    <row r="258" spans="1:26" ht="13.15" x14ac:dyDescent="0.4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204"/>
      <c r="S258" s="8"/>
      <c r="T258" s="8"/>
      <c r="U258" s="8"/>
      <c r="V258" s="8"/>
      <c r="W258" s="8"/>
      <c r="X258" s="8"/>
      <c r="Y258" s="8"/>
      <c r="Z258" s="8"/>
    </row>
    <row r="259" spans="1:26" ht="13.15" x14ac:dyDescent="0.4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204"/>
      <c r="S259" s="8"/>
      <c r="T259" s="8"/>
      <c r="U259" s="8"/>
      <c r="V259" s="8"/>
      <c r="W259" s="8"/>
      <c r="X259" s="8"/>
      <c r="Y259" s="8"/>
      <c r="Z259" s="8"/>
    </row>
    <row r="260" spans="1:26" ht="13.15" x14ac:dyDescent="0.4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204"/>
      <c r="S260" s="8"/>
      <c r="T260" s="8"/>
      <c r="U260" s="8"/>
      <c r="V260" s="8"/>
      <c r="W260" s="8"/>
      <c r="X260" s="8"/>
      <c r="Y260" s="8"/>
      <c r="Z260" s="8"/>
    </row>
    <row r="261" spans="1:26" ht="13.15" x14ac:dyDescent="0.4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204"/>
      <c r="S261" s="8"/>
      <c r="T261" s="8"/>
      <c r="U261" s="8"/>
      <c r="V261" s="8"/>
      <c r="W261" s="8"/>
      <c r="X261" s="8"/>
      <c r="Y261" s="8"/>
      <c r="Z261" s="8"/>
    </row>
    <row r="262" spans="1:26" ht="13.15" x14ac:dyDescent="0.4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204"/>
      <c r="S262" s="8"/>
      <c r="T262" s="8"/>
      <c r="U262" s="8"/>
      <c r="V262" s="8"/>
      <c r="W262" s="8"/>
      <c r="X262" s="8"/>
      <c r="Y262" s="8"/>
      <c r="Z262" s="8"/>
    </row>
    <row r="263" spans="1:26" ht="13.15" x14ac:dyDescent="0.4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204"/>
      <c r="S263" s="8"/>
      <c r="T263" s="8"/>
      <c r="U263" s="8"/>
      <c r="V263" s="8"/>
      <c r="W263" s="8"/>
      <c r="X263" s="8"/>
      <c r="Y263" s="8"/>
      <c r="Z263" s="8"/>
    </row>
    <row r="264" spans="1:26" ht="13.15" x14ac:dyDescent="0.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204"/>
      <c r="S264" s="8"/>
      <c r="T264" s="8"/>
      <c r="U264" s="8"/>
      <c r="V264" s="8"/>
      <c r="W264" s="8"/>
      <c r="X264" s="8"/>
      <c r="Y264" s="8"/>
      <c r="Z264" s="8"/>
    </row>
    <row r="265" spans="1:26" ht="13.15" x14ac:dyDescent="0.4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204"/>
      <c r="S265" s="8"/>
      <c r="T265" s="8"/>
      <c r="U265" s="8"/>
      <c r="V265" s="8"/>
      <c r="W265" s="8"/>
      <c r="X265" s="8"/>
      <c r="Y265" s="8"/>
      <c r="Z265" s="8"/>
    </row>
    <row r="266" spans="1:26" ht="13.15" x14ac:dyDescent="0.4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204"/>
      <c r="S266" s="8"/>
      <c r="T266" s="8"/>
      <c r="U266" s="8"/>
      <c r="V266" s="8"/>
      <c r="W266" s="8"/>
      <c r="X266" s="8"/>
      <c r="Y266" s="8"/>
      <c r="Z266" s="8"/>
    </row>
    <row r="267" spans="1:26" ht="13.15" x14ac:dyDescent="0.4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204"/>
      <c r="S267" s="8"/>
      <c r="T267" s="8"/>
      <c r="U267" s="8"/>
      <c r="V267" s="8"/>
      <c r="W267" s="8"/>
      <c r="X267" s="8"/>
      <c r="Y267" s="8"/>
      <c r="Z267" s="8"/>
    </row>
    <row r="268" spans="1:26" ht="13.15" x14ac:dyDescent="0.4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204"/>
      <c r="S268" s="8"/>
      <c r="T268" s="8"/>
      <c r="U268" s="8"/>
      <c r="V268" s="8"/>
      <c r="W268" s="8"/>
      <c r="X268" s="8"/>
      <c r="Y268" s="8"/>
      <c r="Z268" s="8"/>
    </row>
    <row r="269" spans="1:26" ht="13.15" x14ac:dyDescent="0.4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204"/>
      <c r="S269" s="8"/>
      <c r="T269" s="8"/>
      <c r="U269" s="8"/>
      <c r="V269" s="8"/>
      <c r="W269" s="8"/>
      <c r="X269" s="8"/>
      <c r="Y269" s="8"/>
      <c r="Z269" s="8"/>
    </row>
    <row r="270" spans="1:26" ht="13.15" x14ac:dyDescent="0.4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204"/>
      <c r="S270" s="8"/>
      <c r="T270" s="8"/>
      <c r="U270" s="8"/>
      <c r="V270" s="8"/>
      <c r="W270" s="8"/>
      <c r="X270" s="8"/>
      <c r="Y270" s="8"/>
      <c r="Z270" s="8"/>
    </row>
    <row r="271" spans="1:26" ht="13.15" x14ac:dyDescent="0.4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204"/>
      <c r="S271" s="8"/>
      <c r="T271" s="8"/>
      <c r="U271" s="8"/>
      <c r="V271" s="8"/>
      <c r="W271" s="8"/>
      <c r="X271" s="8"/>
      <c r="Y271" s="8"/>
      <c r="Z271" s="8"/>
    </row>
    <row r="272" spans="1:26" ht="13.15" x14ac:dyDescent="0.4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204"/>
      <c r="S272" s="8"/>
      <c r="T272" s="8"/>
      <c r="U272" s="8"/>
      <c r="V272" s="8"/>
      <c r="W272" s="8"/>
      <c r="X272" s="8"/>
      <c r="Y272" s="8"/>
      <c r="Z272" s="8"/>
    </row>
    <row r="273" spans="1:26" ht="13.15" x14ac:dyDescent="0.4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204"/>
      <c r="S273" s="8"/>
      <c r="T273" s="8"/>
      <c r="U273" s="8"/>
      <c r="V273" s="8"/>
      <c r="W273" s="8"/>
      <c r="X273" s="8"/>
      <c r="Y273" s="8"/>
      <c r="Z273" s="8"/>
    </row>
    <row r="274" spans="1:26" ht="13.15" x14ac:dyDescent="0.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204"/>
      <c r="S274" s="8"/>
      <c r="T274" s="8"/>
      <c r="U274" s="8"/>
      <c r="V274" s="8"/>
      <c r="W274" s="8"/>
      <c r="X274" s="8"/>
      <c r="Y274" s="8"/>
      <c r="Z274" s="8"/>
    </row>
    <row r="275" spans="1:26" ht="13.15" x14ac:dyDescent="0.4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204"/>
      <c r="S275" s="8"/>
      <c r="T275" s="8"/>
      <c r="U275" s="8"/>
      <c r="V275" s="8"/>
      <c r="W275" s="8"/>
      <c r="X275" s="8"/>
      <c r="Y275" s="8"/>
      <c r="Z275" s="8"/>
    </row>
    <row r="276" spans="1:26" ht="13.15" x14ac:dyDescent="0.4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204"/>
      <c r="S276" s="8"/>
      <c r="T276" s="8"/>
      <c r="U276" s="8"/>
      <c r="V276" s="8"/>
      <c r="W276" s="8"/>
      <c r="X276" s="8"/>
      <c r="Y276" s="8"/>
      <c r="Z276" s="8"/>
    </row>
    <row r="277" spans="1:26" ht="13.15" x14ac:dyDescent="0.4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204"/>
      <c r="S277" s="8"/>
      <c r="T277" s="8"/>
      <c r="U277" s="8"/>
      <c r="V277" s="8"/>
      <c r="W277" s="8"/>
      <c r="X277" s="8"/>
      <c r="Y277" s="8"/>
      <c r="Z277" s="8"/>
    </row>
    <row r="278" spans="1:26" ht="13.15" x14ac:dyDescent="0.4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204"/>
      <c r="S278" s="8"/>
      <c r="T278" s="8"/>
      <c r="U278" s="8"/>
      <c r="V278" s="8"/>
      <c r="W278" s="8"/>
      <c r="X278" s="8"/>
      <c r="Y278" s="8"/>
      <c r="Z278" s="8"/>
    </row>
    <row r="279" spans="1:26" ht="13.15" x14ac:dyDescent="0.4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204"/>
      <c r="S279" s="8"/>
      <c r="T279" s="8"/>
      <c r="U279" s="8"/>
      <c r="V279" s="8"/>
      <c r="W279" s="8"/>
      <c r="X279" s="8"/>
      <c r="Y279" s="8"/>
      <c r="Z279" s="8"/>
    </row>
    <row r="280" spans="1:26" ht="13.15" x14ac:dyDescent="0.4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204"/>
      <c r="S280" s="8"/>
      <c r="T280" s="8"/>
      <c r="U280" s="8"/>
      <c r="V280" s="8"/>
      <c r="W280" s="8"/>
      <c r="X280" s="8"/>
      <c r="Y280" s="8"/>
      <c r="Z280" s="8"/>
    </row>
    <row r="281" spans="1:26" ht="13.15" x14ac:dyDescent="0.4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204"/>
      <c r="S281" s="8"/>
      <c r="T281" s="8"/>
      <c r="U281" s="8"/>
      <c r="V281" s="8"/>
      <c r="W281" s="8"/>
      <c r="X281" s="8"/>
      <c r="Y281" s="8"/>
      <c r="Z281" s="8"/>
    </row>
    <row r="282" spans="1:26" ht="13.15" x14ac:dyDescent="0.4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204"/>
      <c r="S282" s="8"/>
      <c r="T282" s="8"/>
      <c r="U282" s="8"/>
      <c r="V282" s="8"/>
      <c r="W282" s="8"/>
      <c r="X282" s="8"/>
      <c r="Y282" s="8"/>
      <c r="Z282" s="8"/>
    </row>
    <row r="283" spans="1:26" ht="13.15" x14ac:dyDescent="0.4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204"/>
      <c r="S283" s="8"/>
      <c r="T283" s="8"/>
      <c r="U283" s="8"/>
      <c r="V283" s="8"/>
      <c r="W283" s="8"/>
      <c r="X283" s="8"/>
      <c r="Y283" s="8"/>
      <c r="Z283" s="8"/>
    </row>
    <row r="284" spans="1:26" ht="13.15" x14ac:dyDescent="0.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204"/>
      <c r="S284" s="8"/>
      <c r="T284" s="8"/>
      <c r="U284" s="8"/>
      <c r="V284" s="8"/>
      <c r="W284" s="8"/>
      <c r="X284" s="8"/>
      <c r="Y284" s="8"/>
      <c r="Z284" s="8"/>
    </row>
    <row r="285" spans="1:26" ht="13.15" x14ac:dyDescent="0.4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204"/>
      <c r="S285" s="8"/>
      <c r="T285" s="8"/>
      <c r="U285" s="8"/>
      <c r="V285" s="8"/>
      <c r="W285" s="8"/>
      <c r="X285" s="8"/>
      <c r="Y285" s="8"/>
      <c r="Z285" s="8"/>
    </row>
    <row r="286" spans="1:26" ht="13.15" x14ac:dyDescent="0.4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204"/>
      <c r="S286" s="8"/>
      <c r="T286" s="8"/>
      <c r="U286" s="8"/>
      <c r="V286" s="8"/>
      <c r="W286" s="8"/>
      <c r="X286" s="8"/>
      <c r="Y286" s="8"/>
      <c r="Z286" s="8"/>
    </row>
    <row r="287" spans="1:26" ht="13.15" x14ac:dyDescent="0.4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204"/>
      <c r="S287" s="8"/>
      <c r="T287" s="8"/>
      <c r="U287" s="8"/>
      <c r="V287" s="8"/>
      <c r="W287" s="8"/>
      <c r="X287" s="8"/>
      <c r="Y287" s="8"/>
      <c r="Z287" s="8"/>
    </row>
    <row r="288" spans="1:26" ht="13.15" x14ac:dyDescent="0.4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204"/>
      <c r="S288" s="8"/>
      <c r="T288" s="8"/>
      <c r="U288" s="8"/>
      <c r="V288" s="8"/>
      <c r="W288" s="8"/>
      <c r="X288" s="8"/>
      <c r="Y288" s="8"/>
      <c r="Z288" s="8"/>
    </row>
    <row r="289" spans="1:26" ht="13.15" x14ac:dyDescent="0.4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204"/>
      <c r="S289" s="8"/>
      <c r="T289" s="8"/>
      <c r="U289" s="8"/>
      <c r="V289" s="8"/>
      <c r="W289" s="8"/>
      <c r="X289" s="8"/>
      <c r="Y289" s="8"/>
      <c r="Z289" s="8"/>
    </row>
    <row r="290" spans="1:26" ht="13.15" x14ac:dyDescent="0.4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204"/>
      <c r="S290" s="8"/>
      <c r="T290" s="8"/>
      <c r="U290" s="8"/>
      <c r="V290" s="8"/>
      <c r="W290" s="8"/>
      <c r="X290" s="8"/>
      <c r="Y290" s="8"/>
      <c r="Z290" s="8"/>
    </row>
    <row r="291" spans="1:26" ht="13.15" x14ac:dyDescent="0.4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204"/>
      <c r="S291" s="8"/>
      <c r="T291" s="8"/>
      <c r="U291" s="8"/>
      <c r="V291" s="8"/>
      <c r="W291" s="8"/>
      <c r="X291" s="8"/>
      <c r="Y291" s="8"/>
      <c r="Z291" s="8"/>
    </row>
    <row r="292" spans="1:26" ht="13.15" x14ac:dyDescent="0.4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204"/>
      <c r="S292" s="8"/>
      <c r="T292" s="8"/>
      <c r="U292" s="8"/>
      <c r="V292" s="8"/>
      <c r="W292" s="8"/>
      <c r="X292" s="8"/>
      <c r="Y292" s="8"/>
      <c r="Z292" s="8"/>
    </row>
    <row r="293" spans="1:26" ht="13.15" x14ac:dyDescent="0.4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204"/>
      <c r="S293" s="8"/>
      <c r="T293" s="8"/>
      <c r="U293" s="8"/>
      <c r="V293" s="8"/>
      <c r="W293" s="8"/>
      <c r="X293" s="8"/>
      <c r="Y293" s="8"/>
      <c r="Z293" s="8"/>
    </row>
    <row r="294" spans="1:26" ht="13.15" x14ac:dyDescent="0.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204"/>
      <c r="S294" s="8"/>
      <c r="T294" s="8"/>
      <c r="U294" s="8"/>
      <c r="V294" s="8"/>
      <c r="W294" s="8"/>
      <c r="X294" s="8"/>
      <c r="Y294" s="8"/>
      <c r="Z294" s="8"/>
    </row>
    <row r="295" spans="1:26" ht="13.15" x14ac:dyDescent="0.4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204"/>
      <c r="S295" s="8"/>
      <c r="T295" s="8"/>
      <c r="U295" s="8"/>
      <c r="V295" s="8"/>
      <c r="W295" s="8"/>
      <c r="X295" s="8"/>
      <c r="Y295" s="8"/>
      <c r="Z295" s="8"/>
    </row>
    <row r="296" spans="1:26" ht="13.15" x14ac:dyDescent="0.4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204"/>
      <c r="S296" s="8"/>
      <c r="T296" s="8"/>
      <c r="U296" s="8"/>
      <c r="V296" s="8"/>
      <c r="W296" s="8"/>
      <c r="X296" s="8"/>
      <c r="Y296" s="8"/>
      <c r="Z296" s="8"/>
    </row>
    <row r="297" spans="1:26" ht="13.15" x14ac:dyDescent="0.4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204"/>
      <c r="S297" s="8"/>
      <c r="T297" s="8"/>
      <c r="U297" s="8"/>
      <c r="V297" s="8"/>
      <c r="W297" s="8"/>
      <c r="X297" s="8"/>
      <c r="Y297" s="8"/>
      <c r="Z297" s="8"/>
    </row>
    <row r="298" spans="1:26" ht="13.15" x14ac:dyDescent="0.4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204"/>
      <c r="S298" s="8"/>
      <c r="T298" s="8"/>
      <c r="U298" s="8"/>
      <c r="V298" s="8"/>
      <c r="W298" s="8"/>
      <c r="X298" s="8"/>
      <c r="Y298" s="8"/>
      <c r="Z298" s="8"/>
    </row>
    <row r="299" spans="1:26" ht="13.15" x14ac:dyDescent="0.4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204"/>
      <c r="S299" s="8"/>
      <c r="T299" s="8"/>
      <c r="U299" s="8"/>
      <c r="V299" s="8"/>
      <c r="W299" s="8"/>
      <c r="X299" s="8"/>
      <c r="Y299" s="8"/>
      <c r="Z299" s="8"/>
    </row>
    <row r="300" spans="1:26" ht="13.15" x14ac:dyDescent="0.4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204"/>
      <c r="S300" s="8"/>
      <c r="T300" s="8"/>
      <c r="U300" s="8"/>
      <c r="V300" s="8"/>
      <c r="W300" s="8"/>
      <c r="X300" s="8"/>
      <c r="Y300" s="8"/>
      <c r="Z300" s="8"/>
    </row>
    <row r="301" spans="1:26" ht="13.15" x14ac:dyDescent="0.4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204"/>
      <c r="S301" s="8"/>
      <c r="T301" s="8"/>
      <c r="U301" s="8"/>
      <c r="V301" s="8"/>
      <c r="W301" s="8"/>
      <c r="X301" s="8"/>
      <c r="Y301" s="8"/>
      <c r="Z301" s="8"/>
    </row>
    <row r="302" spans="1:26" ht="13.15" x14ac:dyDescent="0.4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204"/>
      <c r="S302" s="8"/>
      <c r="T302" s="8"/>
      <c r="U302" s="8"/>
      <c r="V302" s="8"/>
      <c r="W302" s="8"/>
      <c r="X302" s="8"/>
      <c r="Y302" s="8"/>
      <c r="Z302" s="8"/>
    </row>
    <row r="303" spans="1:26" ht="13.15" x14ac:dyDescent="0.4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204"/>
      <c r="S303" s="8"/>
      <c r="T303" s="8"/>
      <c r="U303" s="8"/>
      <c r="V303" s="8"/>
      <c r="W303" s="8"/>
      <c r="X303" s="8"/>
      <c r="Y303" s="8"/>
      <c r="Z303" s="8"/>
    </row>
    <row r="304" spans="1:26" ht="13.15" x14ac:dyDescent="0.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204"/>
      <c r="S304" s="8"/>
      <c r="T304" s="8"/>
      <c r="U304" s="8"/>
      <c r="V304" s="8"/>
      <c r="W304" s="8"/>
      <c r="X304" s="8"/>
      <c r="Y304" s="8"/>
      <c r="Z304" s="8"/>
    </row>
    <row r="305" spans="1:26" ht="13.15" x14ac:dyDescent="0.4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204"/>
      <c r="S305" s="8"/>
      <c r="T305" s="8"/>
      <c r="U305" s="8"/>
      <c r="V305" s="8"/>
      <c r="W305" s="8"/>
      <c r="X305" s="8"/>
      <c r="Y305" s="8"/>
      <c r="Z305" s="8"/>
    </row>
    <row r="306" spans="1:26" ht="13.15" x14ac:dyDescent="0.4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204"/>
      <c r="S306" s="8"/>
      <c r="T306" s="8"/>
      <c r="U306" s="8"/>
      <c r="V306" s="8"/>
      <c r="W306" s="8"/>
      <c r="X306" s="8"/>
      <c r="Y306" s="8"/>
      <c r="Z306" s="8"/>
    </row>
    <row r="307" spans="1:26" ht="13.15" x14ac:dyDescent="0.4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204"/>
      <c r="S307" s="8"/>
      <c r="T307" s="8"/>
      <c r="U307" s="8"/>
      <c r="V307" s="8"/>
      <c r="W307" s="8"/>
      <c r="X307" s="8"/>
      <c r="Y307" s="8"/>
      <c r="Z307" s="8"/>
    </row>
    <row r="308" spans="1:26" ht="13.15" x14ac:dyDescent="0.4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204"/>
      <c r="S308" s="8"/>
      <c r="T308" s="8"/>
      <c r="U308" s="8"/>
      <c r="V308" s="8"/>
      <c r="W308" s="8"/>
      <c r="X308" s="8"/>
      <c r="Y308" s="8"/>
      <c r="Z308" s="8"/>
    </row>
    <row r="309" spans="1:26" ht="13.15" x14ac:dyDescent="0.4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204"/>
      <c r="S309" s="8"/>
      <c r="T309" s="8"/>
      <c r="U309" s="8"/>
      <c r="V309" s="8"/>
      <c r="W309" s="8"/>
      <c r="X309" s="8"/>
      <c r="Y309" s="8"/>
      <c r="Z309" s="8"/>
    </row>
    <row r="310" spans="1:26" ht="13.15" x14ac:dyDescent="0.4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204"/>
      <c r="S310" s="8"/>
      <c r="T310" s="8"/>
      <c r="U310" s="8"/>
      <c r="V310" s="8"/>
      <c r="W310" s="8"/>
      <c r="X310" s="8"/>
      <c r="Y310" s="8"/>
      <c r="Z310" s="8"/>
    </row>
    <row r="311" spans="1:26" ht="13.15" x14ac:dyDescent="0.4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204"/>
      <c r="S311" s="8"/>
      <c r="T311" s="8"/>
      <c r="U311" s="8"/>
      <c r="V311" s="8"/>
      <c r="W311" s="8"/>
      <c r="X311" s="8"/>
      <c r="Y311" s="8"/>
      <c r="Z311" s="8"/>
    </row>
    <row r="312" spans="1:26" ht="13.15" x14ac:dyDescent="0.4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204"/>
      <c r="S312" s="8"/>
      <c r="T312" s="8"/>
      <c r="U312" s="8"/>
      <c r="V312" s="8"/>
      <c r="W312" s="8"/>
      <c r="X312" s="8"/>
      <c r="Y312" s="8"/>
      <c r="Z312" s="8"/>
    </row>
    <row r="313" spans="1:26" ht="13.15" x14ac:dyDescent="0.4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204"/>
      <c r="S313" s="8"/>
      <c r="T313" s="8"/>
      <c r="U313" s="8"/>
      <c r="V313" s="8"/>
      <c r="W313" s="8"/>
      <c r="X313" s="8"/>
      <c r="Y313" s="8"/>
      <c r="Z313" s="8"/>
    </row>
    <row r="314" spans="1:26" ht="13.15" x14ac:dyDescent="0.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204"/>
      <c r="S314" s="8"/>
      <c r="T314" s="8"/>
      <c r="U314" s="8"/>
      <c r="V314" s="8"/>
      <c r="W314" s="8"/>
      <c r="X314" s="8"/>
      <c r="Y314" s="8"/>
      <c r="Z314" s="8"/>
    </row>
    <row r="315" spans="1:26" ht="13.15" x14ac:dyDescent="0.4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204"/>
      <c r="S315" s="8"/>
      <c r="T315" s="8"/>
      <c r="U315" s="8"/>
      <c r="V315" s="8"/>
      <c r="W315" s="8"/>
      <c r="X315" s="8"/>
      <c r="Y315" s="8"/>
      <c r="Z315" s="8"/>
    </row>
    <row r="316" spans="1:26" ht="13.15" x14ac:dyDescent="0.4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204"/>
      <c r="S316" s="8"/>
      <c r="T316" s="8"/>
      <c r="U316" s="8"/>
      <c r="V316" s="8"/>
      <c r="W316" s="8"/>
      <c r="X316" s="8"/>
      <c r="Y316" s="8"/>
      <c r="Z316" s="8"/>
    </row>
    <row r="317" spans="1:26" ht="13.15" x14ac:dyDescent="0.4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204"/>
      <c r="S317" s="8"/>
      <c r="T317" s="8"/>
      <c r="U317" s="8"/>
      <c r="V317" s="8"/>
      <c r="W317" s="8"/>
      <c r="X317" s="8"/>
      <c r="Y317" s="8"/>
      <c r="Z317" s="8"/>
    </row>
    <row r="318" spans="1:26" ht="13.15" x14ac:dyDescent="0.4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204"/>
      <c r="S318" s="8"/>
      <c r="T318" s="8"/>
      <c r="U318" s="8"/>
      <c r="V318" s="8"/>
      <c r="W318" s="8"/>
      <c r="X318" s="8"/>
      <c r="Y318" s="8"/>
      <c r="Z318" s="8"/>
    </row>
    <row r="319" spans="1:26" ht="13.15" x14ac:dyDescent="0.4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204"/>
      <c r="S319" s="8"/>
      <c r="T319" s="8"/>
      <c r="U319" s="8"/>
      <c r="V319" s="8"/>
      <c r="W319" s="8"/>
      <c r="X319" s="8"/>
      <c r="Y319" s="8"/>
      <c r="Z319" s="8"/>
    </row>
    <row r="320" spans="1:26" ht="13.15" x14ac:dyDescent="0.4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204"/>
      <c r="S320" s="8"/>
      <c r="T320" s="8"/>
      <c r="U320" s="8"/>
      <c r="V320" s="8"/>
      <c r="W320" s="8"/>
      <c r="X320" s="8"/>
      <c r="Y320" s="8"/>
      <c r="Z320" s="8"/>
    </row>
    <row r="321" spans="1:26" ht="13.15" x14ac:dyDescent="0.4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204"/>
      <c r="S321" s="8"/>
      <c r="T321" s="8"/>
      <c r="U321" s="8"/>
      <c r="V321" s="8"/>
      <c r="W321" s="8"/>
      <c r="X321" s="8"/>
      <c r="Y321" s="8"/>
      <c r="Z321" s="8"/>
    </row>
    <row r="322" spans="1:26" ht="13.15" x14ac:dyDescent="0.4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204"/>
      <c r="S322" s="8"/>
      <c r="T322" s="8"/>
      <c r="U322" s="8"/>
      <c r="V322" s="8"/>
      <c r="W322" s="8"/>
      <c r="X322" s="8"/>
      <c r="Y322" s="8"/>
      <c r="Z322" s="8"/>
    </row>
    <row r="323" spans="1:26" ht="13.15" x14ac:dyDescent="0.4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204"/>
      <c r="S323" s="8"/>
      <c r="T323" s="8"/>
      <c r="U323" s="8"/>
      <c r="V323" s="8"/>
      <c r="W323" s="8"/>
      <c r="X323" s="8"/>
      <c r="Y323" s="8"/>
      <c r="Z323" s="8"/>
    </row>
    <row r="324" spans="1:26" ht="13.15" x14ac:dyDescent="0.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204"/>
      <c r="S324" s="8"/>
      <c r="T324" s="8"/>
      <c r="U324" s="8"/>
      <c r="V324" s="8"/>
      <c r="W324" s="8"/>
      <c r="X324" s="8"/>
      <c r="Y324" s="8"/>
      <c r="Z324" s="8"/>
    </row>
    <row r="325" spans="1:26" ht="13.15" x14ac:dyDescent="0.4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204"/>
      <c r="S325" s="8"/>
      <c r="T325" s="8"/>
      <c r="U325" s="8"/>
      <c r="V325" s="8"/>
      <c r="W325" s="8"/>
      <c r="X325" s="8"/>
      <c r="Y325" s="8"/>
      <c r="Z325" s="8"/>
    </row>
    <row r="326" spans="1:26" ht="13.15" x14ac:dyDescent="0.4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204"/>
      <c r="S326" s="8"/>
      <c r="T326" s="8"/>
      <c r="U326" s="8"/>
      <c r="V326" s="8"/>
      <c r="W326" s="8"/>
      <c r="X326" s="8"/>
      <c r="Y326" s="8"/>
      <c r="Z326" s="8"/>
    </row>
    <row r="327" spans="1:26" ht="13.15" x14ac:dyDescent="0.4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204"/>
      <c r="S327" s="8"/>
      <c r="T327" s="8"/>
      <c r="U327" s="8"/>
      <c r="V327" s="8"/>
      <c r="W327" s="8"/>
      <c r="X327" s="8"/>
      <c r="Y327" s="8"/>
      <c r="Z327" s="8"/>
    </row>
    <row r="328" spans="1:26" ht="13.15" x14ac:dyDescent="0.4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204"/>
      <c r="S328" s="8"/>
      <c r="T328" s="8"/>
      <c r="U328" s="8"/>
      <c r="V328" s="8"/>
      <c r="W328" s="8"/>
      <c r="X328" s="8"/>
      <c r="Y328" s="8"/>
      <c r="Z328" s="8"/>
    </row>
    <row r="329" spans="1:26" ht="13.15" x14ac:dyDescent="0.4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204"/>
      <c r="S329" s="8"/>
      <c r="T329" s="8"/>
      <c r="U329" s="8"/>
      <c r="V329" s="8"/>
      <c r="W329" s="8"/>
      <c r="X329" s="8"/>
      <c r="Y329" s="8"/>
      <c r="Z329" s="8"/>
    </row>
    <row r="330" spans="1:26" ht="13.15" x14ac:dyDescent="0.4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204"/>
      <c r="S330" s="8"/>
      <c r="T330" s="8"/>
      <c r="U330" s="8"/>
      <c r="V330" s="8"/>
      <c r="W330" s="8"/>
      <c r="X330" s="8"/>
      <c r="Y330" s="8"/>
      <c r="Z330" s="8"/>
    </row>
    <row r="331" spans="1:26" ht="13.15" x14ac:dyDescent="0.4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204"/>
      <c r="S331" s="8"/>
      <c r="T331" s="8"/>
      <c r="U331" s="8"/>
      <c r="V331" s="8"/>
      <c r="W331" s="8"/>
      <c r="X331" s="8"/>
      <c r="Y331" s="8"/>
      <c r="Z331" s="8"/>
    </row>
    <row r="332" spans="1:26" ht="13.15" x14ac:dyDescent="0.4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204"/>
      <c r="S332" s="8"/>
      <c r="T332" s="8"/>
      <c r="U332" s="8"/>
      <c r="V332" s="8"/>
      <c r="W332" s="8"/>
      <c r="X332" s="8"/>
      <c r="Y332" s="8"/>
      <c r="Z332" s="8"/>
    </row>
    <row r="333" spans="1:26" ht="13.15" x14ac:dyDescent="0.4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204"/>
      <c r="S333" s="8"/>
      <c r="T333" s="8"/>
      <c r="U333" s="8"/>
      <c r="V333" s="8"/>
      <c r="W333" s="8"/>
      <c r="X333" s="8"/>
      <c r="Y333" s="8"/>
      <c r="Z333" s="8"/>
    </row>
    <row r="334" spans="1:26" ht="13.15" x14ac:dyDescent="0.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204"/>
      <c r="S334" s="8"/>
      <c r="T334" s="8"/>
      <c r="U334" s="8"/>
      <c r="V334" s="8"/>
      <c r="W334" s="8"/>
      <c r="X334" s="8"/>
      <c r="Y334" s="8"/>
      <c r="Z334" s="8"/>
    </row>
    <row r="335" spans="1:26" ht="13.15" x14ac:dyDescent="0.4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204"/>
      <c r="S335" s="8"/>
      <c r="T335" s="8"/>
      <c r="U335" s="8"/>
      <c r="V335" s="8"/>
      <c r="W335" s="8"/>
      <c r="X335" s="8"/>
      <c r="Y335" s="8"/>
      <c r="Z335" s="8"/>
    </row>
    <row r="336" spans="1:26" ht="13.15" x14ac:dyDescent="0.4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204"/>
      <c r="S336" s="8"/>
      <c r="T336" s="8"/>
      <c r="U336" s="8"/>
      <c r="V336" s="8"/>
      <c r="W336" s="8"/>
      <c r="X336" s="8"/>
      <c r="Y336" s="8"/>
      <c r="Z336" s="8"/>
    </row>
    <row r="337" spans="1:26" ht="13.15" x14ac:dyDescent="0.4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204"/>
      <c r="S337" s="8"/>
      <c r="T337" s="8"/>
      <c r="U337" s="8"/>
      <c r="V337" s="8"/>
      <c r="W337" s="8"/>
      <c r="X337" s="8"/>
      <c r="Y337" s="8"/>
      <c r="Z337" s="8"/>
    </row>
    <row r="338" spans="1:26" ht="13.15" x14ac:dyDescent="0.4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204"/>
      <c r="S338" s="8"/>
      <c r="T338" s="8"/>
      <c r="U338" s="8"/>
      <c r="V338" s="8"/>
      <c r="W338" s="8"/>
      <c r="X338" s="8"/>
      <c r="Y338" s="8"/>
      <c r="Z338" s="8"/>
    </row>
    <row r="339" spans="1:26" ht="13.15" x14ac:dyDescent="0.4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204"/>
      <c r="S339" s="8"/>
      <c r="T339" s="8"/>
      <c r="U339" s="8"/>
      <c r="V339" s="8"/>
      <c r="W339" s="8"/>
      <c r="X339" s="8"/>
      <c r="Y339" s="8"/>
      <c r="Z339" s="8"/>
    </row>
    <row r="340" spans="1:26" ht="13.15" x14ac:dyDescent="0.4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204"/>
      <c r="S340" s="8"/>
      <c r="T340" s="8"/>
      <c r="U340" s="8"/>
      <c r="V340" s="8"/>
      <c r="W340" s="8"/>
      <c r="X340" s="8"/>
      <c r="Y340" s="8"/>
      <c r="Z340" s="8"/>
    </row>
    <row r="341" spans="1:26" ht="13.15" x14ac:dyDescent="0.4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204"/>
      <c r="S341" s="8"/>
      <c r="T341" s="8"/>
      <c r="U341" s="8"/>
      <c r="V341" s="8"/>
      <c r="W341" s="8"/>
      <c r="X341" s="8"/>
      <c r="Y341" s="8"/>
      <c r="Z341" s="8"/>
    </row>
    <row r="342" spans="1:26" ht="13.15" x14ac:dyDescent="0.4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204"/>
      <c r="S342" s="8"/>
      <c r="T342" s="8"/>
      <c r="U342" s="8"/>
      <c r="V342" s="8"/>
      <c r="W342" s="8"/>
      <c r="X342" s="8"/>
      <c r="Y342" s="8"/>
      <c r="Z342" s="8"/>
    </row>
    <row r="343" spans="1:26" ht="13.15" x14ac:dyDescent="0.4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204"/>
      <c r="S343" s="8"/>
      <c r="T343" s="8"/>
      <c r="U343" s="8"/>
      <c r="V343" s="8"/>
      <c r="W343" s="8"/>
      <c r="X343" s="8"/>
      <c r="Y343" s="8"/>
      <c r="Z343" s="8"/>
    </row>
    <row r="344" spans="1:26" ht="13.15" x14ac:dyDescent="0.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204"/>
      <c r="S344" s="8"/>
      <c r="T344" s="8"/>
      <c r="U344" s="8"/>
      <c r="V344" s="8"/>
      <c r="W344" s="8"/>
      <c r="X344" s="8"/>
      <c r="Y344" s="8"/>
      <c r="Z344" s="8"/>
    </row>
    <row r="345" spans="1:26" ht="13.15" x14ac:dyDescent="0.4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204"/>
      <c r="S345" s="8"/>
      <c r="T345" s="8"/>
      <c r="U345" s="8"/>
      <c r="V345" s="8"/>
      <c r="W345" s="8"/>
      <c r="X345" s="8"/>
      <c r="Y345" s="8"/>
      <c r="Z345" s="8"/>
    </row>
    <row r="346" spans="1:26" ht="13.15" x14ac:dyDescent="0.4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204"/>
      <c r="S346" s="8"/>
      <c r="T346" s="8"/>
      <c r="U346" s="8"/>
      <c r="V346" s="8"/>
      <c r="W346" s="8"/>
      <c r="X346" s="8"/>
      <c r="Y346" s="8"/>
      <c r="Z346" s="8"/>
    </row>
    <row r="347" spans="1:26" ht="13.15" x14ac:dyDescent="0.4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204"/>
      <c r="S347" s="8"/>
      <c r="T347" s="8"/>
      <c r="U347" s="8"/>
      <c r="V347" s="8"/>
      <c r="W347" s="8"/>
      <c r="X347" s="8"/>
      <c r="Y347" s="8"/>
      <c r="Z347" s="8"/>
    </row>
    <row r="348" spans="1:26" ht="13.15" x14ac:dyDescent="0.4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204"/>
      <c r="S348" s="8"/>
      <c r="T348" s="8"/>
      <c r="U348" s="8"/>
      <c r="V348" s="8"/>
      <c r="W348" s="8"/>
      <c r="X348" s="8"/>
      <c r="Y348" s="8"/>
      <c r="Z348" s="8"/>
    </row>
    <row r="349" spans="1:26" ht="13.15" x14ac:dyDescent="0.4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204"/>
      <c r="S349" s="8"/>
      <c r="T349" s="8"/>
      <c r="U349" s="8"/>
      <c r="V349" s="8"/>
      <c r="W349" s="8"/>
      <c r="X349" s="8"/>
      <c r="Y349" s="8"/>
      <c r="Z349" s="8"/>
    </row>
    <row r="350" spans="1:26" ht="13.15" x14ac:dyDescent="0.4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204"/>
      <c r="S350" s="8"/>
      <c r="T350" s="8"/>
      <c r="U350" s="8"/>
      <c r="V350" s="8"/>
      <c r="W350" s="8"/>
      <c r="X350" s="8"/>
      <c r="Y350" s="8"/>
      <c r="Z350" s="8"/>
    </row>
    <row r="351" spans="1:26" ht="13.15" x14ac:dyDescent="0.4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204"/>
      <c r="S351" s="8"/>
      <c r="T351" s="8"/>
      <c r="U351" s="8"/>
      <c r="V351" s="8"/>
      <c r="W351" s="8"/>
      <c r="X351" s="8"/>
      <c r="Y351" s="8"/>
      <c r="Z351" s="8"/>
    </row>
    <row r="352" spans="1:26" ht="13.15" x14ac:dyDescent="0.4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204"/>
      <c r="S352" s="8"/>
      <c r="T352" s="8"/>
      <c r="U352" s="8"/>
      <c r="V352" s="8"/>
      <c r="W352" s="8"/>
      <c r="X352" s="8"/>
      <c r="Y352" s="8"/>
      <c r="Z352" s="8"/>
    </row>
    <row r="353" spans="1:26" ht="13.15" x14ac:dyDescent="0.4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204"/>
      <c r="S353" s="8"/>
      <c r="T353" s="8"/>
      <c r="U353" s="8"/>
      <c r="V353" s="8"/>
      <c r="W353" s="8"/>
      <c r="X353" s="8"/>
      <c r="Y353" s="8"/>
      <c r="Z353" s="8"/>
    </row>
    <row r="354" spans="1:26" ht="13.15" x14ac:dyDescent="0.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204"/>
      <c r="S354" s="8"/>
      <c r="T354" s="8"/>
      <c r="U354" s="8"/>
      <c r="V354" s="8"/>
      <c r="W354" s="8"/>
      <c r="X354" s="8"/>
      <c r="Y354" s="8"/>
      <c r="Z354" s="8"/>
    </row>
    <row r="355" spans="1:26" ht="13.15" x14ac:dyDescent="0.4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204"/>
      <c r="S355" s="8"/>
      <c r="T355" s="8"/>
      <c r="U355" s="8"/>
      <c r="V355" s="8"/>
      <c r="W355" s="8"/>
      <c r="X355" s="8"/>
      <c r="Y355" s="8"/>
      <c r="Z355" s="8"/>
    </row>
    <row r="356" spans="1:26" ht="13.15" x14ac:dyDescent="0.4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204"/>
      <c r="S356" s="8"/>
      <c r="T356" s="8"/>
      <c r="U356" s="8"/>
      <c r="V356" s="8"/>
      <c r="W356" s="8"/>
      <c r="X356" s="8"/>
      <c r="Y356" s="8"/>
      <c r="Z356" s="8"/>
    </row>
    <row r="357" spans="1:26" ht="13.15" x14ac:dyDescent="0.4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204"/>
      <c r="S357" s="8"/>
      <c r="T357" s="8"/>
      <c r="U357" s="8"/>
      <c r="V357" s="8"/>
      <c r="W357" s="8"/>
      <c r="X357" s="8"/>
      <c r="Y357" s="8"/>
      <c r="Z357" s="8"/>
    </row>
    <row r="358" spans="1:26" ht="13.15" x14ac:dyDescent="0.4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204"/>
      <c r="S358" s="8"/>
      <c r="T358" s="8"/>
      <c r="U358" s="8"/>
      <c r="V358" s="8"/>
      <c r="W358" s="8"/>
      <c r="X358" s="8"/>
      <c r="Y358" s="8"/>
      <c r="Z358" s="8"/>
    </row>
    <row r="359" spans="1:26" ht="13.15" x14ac:dyDescent="0.4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204"/>
      <c r="S359" s="8"/>
      <c r="T359" s="8"/>
      <c r="U359" s="8"/>
      <c r="V359" s="8"/>
      <c r="W359" s="8"/>
      <c r="X359" s="8"/>
      <c r="Y359" s="8"/>
      <c r="Z359" s="8"/>
    </row>
    <row r="360" spans="1:26" ht="13.15" x14ac:dyDescent="0.4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204"/>
      <c r="S360" s="8"/>
      <c r="T360" s="8"/>
      <c r="U360" s="8"/>
      <c r="V360" s="8"/>
      <c r="W360" s="8"/>
      <c r="X360" s="8"/>
      <c r="Y360" s="8"/>
      <c r="Z360" s="8"/>
    </row>
    <row r="361" spans="1:26" ht="13.15" x14ac:dyDescent="0.4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204"/>
      <c r="S361" s="8"/>
      <c r="T361" s="8"/>
      <c r="U361" s="8"/>
      <c r="V361" s="8"/>
      <c r="W361" s="8"/>
      <c r="X361" s="8"/>
      <c r="Y361" s="8"/>
      <c r="Z361" s="8"/>
    </row>
    <row r="362" spans="1:26" ht="13.15" x14ac:dyDescent="0.4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204"/>
      <c r="S362" s="8"/>
      <c r="T362" s="8"/>
      <c r="U362" s="8"/>
      <c r="V362" s="8"/>
      <c r="W362" s="8"/>
      <c r="X362" s="8"/>
      <c r="Y362" s="8"/>
      <c r="Z362" s="8"/>
    </row>
    <row r="363" spans="1:26" ht="13.15" x14ac:dyDescent="0.4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204"/>
      <c r="S363" s="8"/>
      <c r="T363" s="8"/>
      <c r="U363" s="8"/>
      <c r="V363" s="8"/>
      <c r="W363" s="8"/>
      <c r="X363" s="8"/>
      <c r="Y363" s="8"/>
      <c r="Z363" s="8"/>
    </row>
    <row r="364" spans="1:26" ht="13.15" x14ac:dyDescent="0.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204"/>
      <c r="S364" s="8"/>
      <c r="T364" s="8"/>
      <c r="U364" s="8"/>
      <c r="V364" s="8"/>
      <c r="W364" s="8"/>
      <c r="X364" s="8"/>
      <c r="Y364" s="8"/>
      <c r="Z364" s="8"/>
    </row>
    <row r="365" spans="1:26" ht="13.15" x14ac:dyDescent="0.4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204"/>
      <c r="S365" s="8"/>
      <c r="T365" s="8"/>
      <c r="U365" s="8"/>
      <c r="V365" s="8"/>
      <c r="W365" s="8"/>
      <c r="X365" s="8"/>
      <c r="Y365" s="8"/>
      <c r="Z365" s="8"/>
    </row>
    <row r="366" spans="1:26" ht="13.15" x14ac:dyDescent="0.4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204"/>
      <c r="S366" s="8"/>
      <c r="T366" s="8"/>
      <c r="U366" s="8"/>
      <c r="V366" s="8"/>
      <c r="W366" s="8"/>
      <c r="X366" s="8"/>
      <c r="Y366" s="8"/>
      <c r="Z366" s="8"/>
    </row>
    <row r="367" spans="1:26" ht="13.15" x14ac:dyDescent="0.4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204"/>
      <c r="S367" s="8"/>
      <c r="T367" s="8"/>
      <c r="U367" s="8"/>
      <c r="V367" s="8"/>
      <c r="W367" s="8"/>
      <c r="X367" s="8"/>
      <c r="Y367" s="8"/>
      <c r="Z367" s="8"/>
    </row>
    <row r="368" spans="1:26" ht="13.15" x14ac:dyDescent="0.4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204"/>
      <c r="S368" s="8"/>
      <c r="T368" s="8"/>
      <c r="U368" s="8"/>
      <c r="V368" s="8"/>
      <c r="W368" s="8"/>
      <c r="X368" s="8"/>
      <c r="Y368" s="8"/>
      <c r="Z368" s="8"/>
    </row>
    <row r="369" spans="1:26" ht="13.15" x14ac:dyDescent="0.4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204"/>
      <c r="S369" s="8"/>
      <c r="T369" s="8"/>
      <c r="U369" s="8"/>
      <c r="V369" s="8"/>
      <c r="W369" s="8"/>
      <c r="X369" s="8"/>
      <c r="Y369" s="8"/>
      <c r="Z369" s="8"/>
    </row>
    <row r="370" spans="1:26" ht="13.15" x14ac:dyDescent="0.4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204"/>
      <c r="S370" s="8"/>
      <c r="T370" s="8"/>
      <c r="U370" s="8"/>
      <c r="V370" s="8"/>
      <c r="W370" s="8"/>
      <c r="X370" s="8"/>
      <c r="Y370" s="8"/>
      <c r="Z370" s="8"/>
    </row>
    <row r="371" spans="1:26" ht="13.15" x14ac:dyDescent="0.4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204"/>
      <c r="S371" s="8"/>
      <c r="T371" s="8"/>
      <c r="U371" s="8"/>
      <c r="V371" s="8"/>
      <c r="W371" s="8"/>
      <c r="X371" s="8"/>
      <c r="Y371" s="8"/>
      <c r="Z371" s="8"/>
    </row>
    <row r="372" spans="1:26" ht="13.15" x14ac:dyDescent="0.4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204"/>
      <c r="S372" s="8"/>
      <c r="T372" s="8"/>
      <c r="U372" s="8"/>
      <c r="V372" s="8"/>
      <c r="W372" s="8"/>
      <c r="X372" s="8"/>
      <c r="Y372" s="8"/>
      <c r="Z372" s="8"/>
    </row>
    <row r="373" spans="1:26" ht="13.15" x14ac:dyDescent="0.4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204"/>
      <c r="S373" s="8"/>
      <c r="T373" s="8"/>
      <c r="U373" s="8"/>
      <c r="V373" s="8"/>
      <c r="W373" s="8"/>
      <c r="X373" s="8"/>
      <c r="Y373" s="8"/>
      <c r="Z373" s="8"/>
    </row>
    <row r="374" spans="1:26" ht="13.15" x14ac:dyDescent="0.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204"/>
      <c r="S374" s="8"/>
      <c r="T374" s="8"/>
      <c r="U374" s="8"/>
      <c r="V374" s="8"/>
      <c r="W374" s="8"/>
      <c r="X374" s="8"/>
      <c r="Y374" s="8"/>
      <c r="Z374" s="8"/>
    </row>
    <row r="375" spans="1:26" ht="13.15" x14ac:dyDescent="0.4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204"/>
      <c r="S375" s="8"/>
      <c r="T375" s="8"/>
      <c r="U375" s="8"/>
      <c r="V375" s="8"/>
      <c r="W375" s="8"/>
      <c r="X375" s="8"/>
      <c r="Y375" s="8"/>
      <c r="Z375" s="8"/>
    </row>
    <row r="376" spans="1:26" ht="13.15" x14ac:dyDescent="0.4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204"/>
      <c r="S376" s="8"/>
      <c r="T376" s="8"/>
      <c r="U376" s="8"/>
      <c r="V376" s="8"/>
      <c r="W376" s="8"/>
      <c r="X376" s="8"/>
      <c r="Y376" s="8"/>
      <c r="Z376" s="8"/>
    </row>
    <row r="377" spans="1:26" ht="13.15" x14ac:dyDescent="0.4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204"/>
      <c r="S377" s="8"/>
      <c r="T377" s="8"/>
      <c r="U377" s="8"/>
      <c r="V377" s="8"/>
      <c r="W377" s="8"/>
      <c r="X377" s="8"/>
      <c r="Y377" s="8"/>
      <c r="Z377" s="8"/>
    </row>
    <row r="378" spans="1:26" ht="13.15" x14ac:dyDescent="0.4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204"/>
      <c r="S378" s="8"/>
      <c r="T378" s="8"/>
      <c r="U378" s="8"/>
      <c r="V378" s="8"/>
      <c r="W378" s="8"/>
      <c r="X378" s="8"/>
      <c r="Y378" s="8"/>
      <c r="Z378" s="8"/>
    </row>
    <row r="379" spans="1:26" ht="13.15" x14ac:dyDescent="0.4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204"/>
      <c r="S379" s="8"/>
      <c r="T379" s="8"/>
      <c r="U379" s="8"/>
      <c r="V379" s="8"/>
      <c r="W379" s="8"/>
      <c r="X379" s="8"/>
      <c r="Y379" s="8"/>
      <c r="Z379" s="8"/>
    </row>
    <row r="380" spans="1:26" ht="13.15" x14ac:dyDescent="0.4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204"/>
      <c r="S380" s="8"/>
      <c r="T380" s="8"/>
      <c r="U380" s="8"/>
      <c r="V380" s="8"/>
      <c r="W380" s="8"/>
      <c r="X380" s="8"/>
      <c r="Y380" s="8"/>
      <c r="Z380" s="8"/>
    </row>
    <row r="381" spans="1:26" ht="13.15" x14ac:dyDescent="0.4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204"/>
      <c r="S381" s="8"/>
      <c r="T381" s="8"/>
      <c r="U381" s="8"/>
      <c r="V381" s="8"/>
      <c r="W381" s="8"/>
      <c r="X381" s="8"/>
      <c r="Y381" s="8"/>
      <c r="Z381" s="8"/>
    </row>
    <row r="382" spans="1:26" ht="13.15" x14ac:dyDescent="0.4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204"/>
      <c r="S382" s="8"/>
      <c r="T382" s="8"/>
      <c r="U382" s="8"/>
      <c r="V382" s="8"/>
      <c r="W382" s="8"/>
      <c r="X382" s="8"/>
      <c r="Y382" s="8"/>
      <c r="Z382" s="8"/>
    </row>
    <row r="383" spans="1:26" ht="13.15" x14ac:dyDescent="0.4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204"/>
      <c r="S383" s="8"/>
      <c r="T383" s="8"/>
      <c r="U383" s="8"/>
      <c r="V383" s="8"/>
      <c r="W383" s="8"/>
      <c r="X383" s="8"/>
      <c r="Y383" s="8"/>
      <c r="Z383" s="8"/>
    </row>
    <row r="384" spans="1:26" ht="13.15" x14ac:dyDescent="0.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204"/>
      <c r="S384" s="8"/>
      <c r="T384" s="8"/>
      <c r="U384" s="8"/>
      <c r="V384" s="8"/>
      <c r="W384" s="8"/>
      <c r="X384" s="8"/>
      <c r="Y384" s="8"/>
      <c r="Z384" s="8"/>
    </row>
    <row r="385" spans="1:26" ht="13.15" x14ac:dyDescent="0.4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204"/>
      <c r="S385" s="8"/>
      <c r="T385" s="8"/>
      <c r="U385" s="8"/>
      <c r="V385" s="8"/>
      <c r="W385" s="8"/>
      <c r="X385" s="8"/>
      <c r="Y385" s="8"/>
      <c r="Z385" s="8"/>
    </row>
    <row r="386" spans="1:26" ht="13.15" x14ac:dyDescent="0.4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204"/>
      <c r="S386" s="8"/>
      <c r="T386" s="8"/>
      <c r="U386" s="8"/>
      <c r="V386" s="8"/>
      <c r="W386" s="8"/>
      <c r="X386" s="8"/>
      <c r="Y386" s="8"/>
      <c r="Z386" s="8"/>
    </row>
    <row r="387" spans="1:26" ht="13.15" x14ac:dyDescent="0.4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204"/>
      <c r="S387" s="8"/>
      <c r="T387" s="8"/>
      <c r="U387" s="8"/>
      <c r="V387" s="8"/>
      <c r="W387" s="8"/>
      <c r="X387" s="8"/>
      <c r="Y387" s="8"/>
      <c r="Z387" s="8"/>
    </row>
    <row r="388" spans="1:26" ht="13.15" x14ac:dyDescent="0.4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204"/>
      <c r="S388" s="8"/>
      <c r="T388" s="8"/>
      <c r="U388" s="8"/>
      <c r="V388" s="8"/>
      <c r="W388" s="8"/>
      <c r="X388" s="8"/>
      <c r="Y388" s="8"/>
      <c r="Z388" s="8"/>
    </row>
    <row r="389" spans="1:26" ht="13.15" x14ac:dyDescent="0.4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204"/>
      <c r="S389" s="8"/>
      <c r="T389" s="8"/>
      <c r="U389" s="8"/>
      <c r="V389" s="8"/>
      <c r="W389" s="8"/>
      <c r="X389" s="8"/>
      <c r="Y389" s="8"/>
      <c r="Z389" s="8"/>
    </row>
    <row r="390" spans="1:26" ht="13.15" x14ac:dyDescent="0.4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204"/>
      <c r="S390" s="8"/>
      <c r="T390" s="8"/>
      <c r="U390" s="8"/>
      <c r="V390" s="8"/>
      <c r="W390" s="8"/>
      <c r="X390" s="8"/>
      <c r="Y390" s="8"/>
      <c r="Z390" s="8"/>
    </row>
    <row r="391" spans="1:26" ht="13.15" x14ac:dyDescent="0.4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204"/>
      <c r="S391" s="8"/>
      <c r="T391" s="8"/>
      <c r="U391" s="8"/>
      <c r="V391" s="8"/>
      <c r="W391" s="8"/>
      <c r="X391" s="8"/>
      <c r="Y391" s="8"/>
      <c r="Z391" s="8"/>
    </row>
    <row r="392" spans="1:26" ht="13.15" x14ac:dyDescent="0.4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204"/>
      <c r="S392" s="8"/>
      <c r="T392" s="8"/>
      <c r="U392" s="8"/>
      <c r="V392" s="8"/>
      <c r="W392" s="8"/>
      <c r="X392" s="8"/>
      <c r="Y392" s="8"/>
      <c r="Z392" s="8"/>
    </row>
    <row r="393" spans="1:26" ht="13.15" x14ac:dyDescent="0.4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204"/>
      <c r="S393" s="8"/>
      <c r="T393" s="8"/>
      <c r="U393" s="8"/>
      <c r="V393" s="8"/>
      <c r="W393" s="8"/>
      <c r="X393" s="8"/>
      <c r="Y393" s="8"/>
      <c r="Z393" s="8"/>
    </row>
    <row r="394" spans="1:26" ht="13.15" x14ac:dyDescent="0.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204"/>
      <c r="S394" s="8"/>
      <c r="T394" s="8"/>
      <c r="U394" s="8"/>
      <c r="V394" s="8"/>
      <c r="W394" s="8"/>
      <c r="X394" s="8"/>
      <c r="Y394" s="8"/>
      <c r="Z394" s="8"/>
    </row>
    <row r="395" spans="1:26" ht="13.15" x14ac:dyDescent="0.4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204"/>
      <c r="S395" s="8"/>
      <c r="T395" s="8"/>
      <c r="U395" s="8"/>
      <c r="V395" s="8"/>
      <c r="W395" s="8"/>
      <c r="X395" s="8"/>
      <c r="Y395" s="8"/>
      <c r="Z395" s="8"/>
    </row>
    <row r="396" spans="1:26" ht="13.15" x14ac:dyDescent="0.4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204"/>
      <c r="S396" s="8"/>
      <c r="T396" s="8"/>
      <c r="U396" s="8"/>
      <c r="V396" s="8"/>
      <c r="W396" s="8"/>
      <c r="X396" s="8"/>
      <c r="Y396" s="8"/>
      <c r="Z396" s="8"/>
    </row>
    <row r="397" spans="1:26" ht="13.15" x14ac:dyDescent="0.4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204"/>
      <c r="S397" s="8"/>
      <c r="T397" s="8"/>
      <c r="U397" s="8"/>
      <c r="V397" s="8"/>
      <c r="W397" s="8"/>
      <c r="X397" s="8"/>
      <c r="Y397" s="8"/>
      <c r="Z397" s="8"/>
    </row>
    <row r="398" spans="1:26" ht="13.15" x14ac:dyDescent="0.4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204"/>
      <c r="S398" s="8"/>
      <c r="T398" s="8"/>
      <c r="U398" s="8"/>
      <c r="V398" s="8"/>
      <c r="W398" s="8"/>
      <c r="X398" s="8"/>
      <c r="Y398" s="8"/>
      <c r="Z398" s="8"/>
    </row>
    <row r="399" spans="1:26" ht="13.15" x14ac:dyDescent="0.4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204"/>
      <c r="S399" s="8"/>
      <c r="T399" s="8"/>
      <c r="U399" s="8"/>
      <c r="V399" s="8"/>
      <c r="W399" s="8"/>
      <c r="X399" s="8"/>
      <c r="Y399" s="8"/>
      <c r="Z399" s="8"/>
    </row>
    <row r="400" spans="1:26" ht="13.15" x14ac:dyDescent="0.4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204"/>
      <c r="S400" s="8"/>
      <c r="T400" s="8"/>
      <c r="U400" s="8"/>
      <c r="V400" s="8"/>
      <c r="W400" s="8"/>
      <c r="X400" s="8"/>
      <c r="Y400" s="8"/>
      <c r="Z400" s="8"/>
    </row>
    <row r="401" spans="1:26" ht="13.15" x14ac:dyDescent="0.4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204"/>
      <c r="S401" s="8"/>
      <c r="T401" s="8"/>
      <c r="U401" s="8"/>
      <c r="V401" s="8"/>
      <c r="W401" s="8"/>
      <c r="X401" s="8"/>
      <c r="Y401" s="8"/>
      <c r="Z401" s="8"/>
    </row>
    <row r="402" spans="1:26" ht="13.15" x14ac:dyDescent="0.4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204"/>
      <c r="S402" s="8"/>
      <c r="T402" s="8"/>
      <c r="U402" s="8"/>
      <c r="V402" s="8"/>
      <c r="W402" s="8"/>
      <c r="X402" s="8"/>
      <c r="Y402" s="8"/>
      <c r="Z402" s="8"/>
    </row>
    <row r="403" spans="1:26" ht="13.15" x14ac:dyDescent="0.4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204"/>
      <c r="S403" s="8"/>
      <c r="T403" s="8"/>
      <c r="U403" s="8"/>
      <c r="V403" s="8"/>
      <c r="W403" s="8"/>
      <c r="X403" s="8"/>
      <c r="Y403" s="8"/>
      <c r="Z403" s="8"/>
    </row>
    <row r="404" spans="1:26" ht="13.15" x14ac:dyDescent="0.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204"/>
      <c r="S404" s="8"/>
      <c r="T404" s="8"/>
      <c r="U404" s="8"/>
      <c r="V404" s="8"/>
      <c r="W404" s="8"/>
      <c r="X404" s="8"/>
      <c r="Y404" s="8"/>
      <c r="Z404" s="8"/>
    </row>
    <row r="405" spans="1:26" ht="13.15" x14ac:dyDescent="0.4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204"/>
      <c r="S405" s="8"/>
      <c r="T405" s="8"/>
      <c r="U405" s="8"/>
      <c r="V405" s="8"/>
      <c r="W405" s="8"/>
      <c r="X405" s="8"/>
      <c r="Y405" s="8"/>
      <c r="Z405" s="8"/>
    </row>
    <row r="406" spans="1:26" ht="13.15" x14ac:dyDescent="0.4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204"/>
      <c r="S406" s="8"/>
      <c r="T406" s="8"/>
      <c r="U406" s="8"/>
      <c r="V406" s="8"/>
      <c r="W406" s="8"/>
      <c r="X406" s="8"/>
      <c r="Y406" s="8"/>
      <c r="Z406" s="8"/>
    </row>
    <row r="407" spans="1:26" ht="13.15" x14ac:dyDescent="0.4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204"/>
      <c r="S407" s="8"/>
      <c r="T407" s="8"/>
      <c r="U407" s="8"/>
      <c r="V407" s="8"/>
      <c r="W407" s="8"/>
      <c r="X407" s="8"/>
      <c r="Y407" s="8"/>
      <c r="Z407" s="8"/>
    </row>
    <row r="408" spans="1:26" ht="13.15" x14ac:dyDescent="0.4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204"/>
      <c r="S408" s="8"/>
      <c r="T408" s="8"/>
      <c r="U408" s="8"/>
      <c r="V408" s="8"/>
      <c r="W408" s="8"/>
      <c r="X408" s="8"/>
      <c r="Y408" s="8"/>
      <c r="Z408" s="8"/>
    </row>
    <row r="409" spans="1:26" ht="13.15" x14ac:dyDescent="0.4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204"/>
      <c r="S409" s="8"/>
      <c r="T409" s="8"/>
      <c r="U409" s="8"/>
      <c r="V409" s="8"/>
      <c r="W409" s="8"/>
      <c r="X409" s="8"/>
      <c r="Y409" s="8"/>
      <c r="Z409" s="8"/>
    </row>
    <row r="410" spans="1:26" ht="13.15" x14ac:dyDescent="0.4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204"/>
      <c r="S410" s="8"/>
      <c r="T410" s="8"/>
      <c r="U410" s="8"/>
      <c r="V410" s="8"/>
      <c r="W410" s="8"/>
      <c r="X410" s="8"/>
      <c r="Y410" s="8"/>
      <c r="Z410" s="8"/>
    </row>
    <row r="411" spans="1:26" ht="13.15" x14ac:dyDescent="0.4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204"/>
      <c r="S411" s="8"/>
      <c r="T411" s="8"/>
      <c r="U411" s="8"/>
      <c r="V411" s="8"/>
      <c r="W411" s="8"/>
      <c r="X411" s="8"/>
      <c r="Y411" s="8"/>
      <c r="Z411" s="8"/>
    </row>
    <row r="412" spans="1:26" ht="13.15" x14ac:dyDescent="0.4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204"/>
      <c r="S412" s="8"/>
      <c r="T412" s="8"/>
      <c r="U412" s="8"/>
      <c r="V412" s="8"/>
      <c r="W412" s="8"/>
      <c r="X412" s="8"/>
      <c r="Y412" s="8"/>
      <c r="Z412" s="8"/>
    </row>
    <row r="413" spans="1:26" ht="13.15" x14ac:dyDescent="0.4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204"/>
      <c r="S413" s="8"/>
      <c r="T413" s="8"/>
      <c r="U413" s="8"/>
      <c r="V413" s="8"/>
      <c r="W413" s="8"/>
      <c r="X413" s="8"/>
      <c r="Y413" s="8"/>
      <c r="Z413" s="8"/>
    </row>
    <row r="414" spans="1:26" ht="13.15" x14ac:dyDescent="0.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204"/>
      <c r="S414" s="8"/>
      <c r="T414" s="8"/>
      <c r="U414" s="8"/>
      <c r="V414" s="8"/>
      <c r="W414" s="8"/>
      <c r="X414" s="8"/>
      <c r="Y414" s="8"/>
      <c r="Z414" s="8"/>
    </row>
    <row r="415" spans="1:26" ht="13.15" x14ac:dyDescent="0.4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204"/>
      <c r="S415" s="8"/>
      <c r="T415" s="8"/>
      <c r="U415" s="8"/>
      <c r="V415" s="8"/>
      <c r="W415" s="8"/>
      <c r="X415" s="8"/>
      <c r="Y415" s="8"/>
      <c r="Z415" s="8"/>
    </row>
    <row r="416" spans="1:26" ht="13.15" x14ac:dyDescent="0.4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204"/>
      <c r="S416" s="8"/>
      <c r="T416" s="8"/>
      <c r="U416" s="8"/>
      <c r="V416" s="8"/>
      <c r="W416" s="8"/>
      <c r="X416" s="8"/>
      <c r="Y416" s="8"/>
      <c r="Z416" s="8"/>
    </row>
    <row r="417" spans="1:26" ht="13.15" x14ac:dyDescent="0.4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204"/>
      <c r="S417" s="8"/>
      <c r="T417" s="8"/>
      <c r="U417" s="8"/>
      <c r="V417" s="8"/>
      <c r="W417" s="8"/>
      <c r="X417" s="8"/>
      <c r="Y417" s="8"/>
      <c r="Z417" s="8"/>
    </row>
    <row r="418" spans="1:26" ht="13.15" x14ac:dyDescent="0.4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204"/>
      <c r="S418" s="8"/>
      <c r="T418" s="8"/>
      <c r="U418" s="8"/>
      <c r="V418" s="8"/>
      <c r="W418" s="8"/>
      <c r="X418" s="8"/>
      <c r="Y418" s="8"/>
      <c r="Z418" s="8"/>
    </row>
    <row r="419" spans="1:26" ht="13.15" x14ac:dyDescent="0.4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204"/>
      <c r="S419" s="8"/>
      <c r="T419" s="8"/>
      <c r="U419" s="8"/>
      <c r="V419" s="8"/>
      <c r="W419" s="8"/>
      <c r="X419" s="8"/>
      <c r="Y419" s="8"/>
      <c r="Z419" s="8"/>
    </row>
    <row r="420" spans="1:26" ht="13.15" x14ac:dyDescent="0.4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204"/>
      <c r="S420" s="8"/>
      <c r="T420" s="8"/>
      <c r="U420" s="8"/>
      <c r="V420" s="8"/>
      <c r="W420" s="8"/>
      <c r="X420" s="8"/>
      <c r="Y420" s="8"/>
      <c r="Z420" s="8"/>
    </row>
    <row r="421" spans="1:26" ht="13.15" x14ac:dyDescent="0.4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204"/>
      <c r="S421" s="8"/>
      <c r="T421" s="8"/>
      <c r="U421" s="8"/>
      <c r="V421" s="8"/>
      <c r="W421" s="8"/>
      <c r="X421" s="8"/>
      <c r="Y421" s="8"/>
      <c r="Z421" s="8"/>
    </row>
    <row r="422" spans="1:26" ht="13.15" x14ac:dyDescent="0.4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204"/>
      <c r="S422" s="8"/>
      <c r="T422" s="8"/>
      <c r="U422" s="8"/>
      <c r="V422" s="8"/>
      <c r="W422" s="8"/>
      <c r="X422" s="8"/>
      <c r="Y422" s="8"/>
      <c r="Z422" s="8"/>
    </row>
    <row r="423" spans="1:26" ht="13.15" x14ac:dyDescent="0.4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204"/>
      <c r="S423" s="8"/>
      <c r="T423" s="8"/>
      <c r="U423" s="8"/>
      <c r="V423" s="8"/>
      <c r="W423" s="8"/>
      <c r="X423" s="8"/>
      <c r="Y423" s="8"/>
      <c r="Z423" s="8"/>
    </row>
    <row r="424" spans="1:26" ht="13.15" x14ac:dyDescent="0.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204"/>
      <c r="S424" s="8"/>
      <c r="T424" s="8"/>
      <c r="U424" s="8"/>
      <c r="V424" s="8"/>
      <c r="W424" s="8"/>
      <c r="X424" s="8"/>
      <c r="Y424" s="8"/>
      <c r="Z424" s="8"/>
    </row>
    <row r="425" spans="1:26" ht="13.15" x14ac:dyDescent="0.4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204"/>
      <c r="S425" s="8"/>
      <c r="T425" s="8"/>
      <c r="U425" s="8"/>
      <c r="V425" s="8"/>
      <c r="W425" s="8"/>
      <c r="X425" s="8"/>
      <c r="Y425" s="8"/>
      <c r="Z425" s="8"/>
    </row>
    <row r="426" spans="1:26" ht="13.15" x14ac:dyDescent="0.4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204"/>
      <c r="S426" s="8"/>
      <c r="T426" s="8"/>
      <c r="U426" s="8"/>
      <c r="V426" s="8"/>
      <c r="W426" s="8"/>
      <c r="X426" s="8"/>
      <c r="Y426" s="8"/>
      <c r="Z426" s="8"/>
    </row>
    <row r="427" spans="1:26" ht="13.15" x14ac:dyDescent="0.4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204"/>
      <c r="S427" s="8"/>
      <c r="T427" s="8"/>
      <c r="U427" s="8"/>
      <c r="V427" s="8"/>
      <c r="W427" s="8"/>
      <c r="X427" s="8"/>
      <c r="Y427" s="8"/>
      <c r="Z427" s="8"/>
    </row>
    <row r="428" spans="1:26" ht="13.15" x14ac:dyDescent="0.4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204"/>
      <c r="S428" s="8"/>
      <c r="T428" s="8"/>
      <c r="U428" s="8"/>
      <c r="V428" s="8"/>
      <c r="W428" s="8"/>
      <c r="X428" s="8"/>
      <c r="Y428" s="8"/>
      <c r="Z428" s="8"/>
    </row>
    <row r="429" spans="1:26" ht="13.15" x14ac:dyDescent="0.4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204"/>
      <c r="S429" s="8"/>
      <c r="T429" s="8"/>
      <c r="U429" s="8"/>
      <c r="V429" s="8"/>
      <c r="W429" s="8"/>
      <c r="X429" s="8"/>
      <c r="Y429" s="8"/>
      <c r="Z429" s="8"/>
    </row>
    <row r="430" spans="1:26" ht="13.15" x14ac:dyDescent="0.4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204"/>
      <c r="S430" s="8"/>
      <c r="T430" s="8"/>
      <c r="U430" s="8"/>
      <c r="V430" s="8"/>
      <c r="W430" s="8"/>
      <c r="X430" s="8"/>
      <c r="Y430" s="8"/>
      <c r="Z430" s="8"/>
    </row>
    <row r="431" spans="1:26" ht="13.15" x14ac:dyDescent="0.4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204"/>
      <c r="S431" s="8"/>
      <c r="T431" s="8"/>
      <c r="U431" s="8"/>
      <c r="V431" s="8"/>
      <c r="W431" s="8"/>
      <c r="X431" s="8"/>
      <c r="Y431" s="8"/>
      <c r="Z431" s="8"/>
    </row>
    <row r="432" spans="1:26" ht="13.15" x14ac:dyDescent="0.4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204"/>
      <c r="S432" s="8"/>
      <c r="T432" s="8"/>
      <c r="U432" s="8"/>
      <c r="V432" s="8"/>
      <c r="W432" s="8"/>
      <c r="X432" s="8"/>
      <c r="Y432" s="8"/>
      <c r="Z432" s="8"/>
    </row>
    <row r="433" spans="1:26" ht="13.15" x14ac:dyDescent="0.4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204"/>
      <c r="S433" s="8"/>
      <c r="T433" s="8"/>
      <c r="U433" s="8"/>
      <c r="V433" s="8"/>
      <c r="W433" s="8"/>
      <c r="X433" s="8"/>
      <c r="Y433" s="8"/>
      <c r="Z433" s="8"/>
    </row>
    <row r="434" spans="1:26" ht="13.15" x14ac:dyDescent="0.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204"/>
      <c r="S434" s="8"/>
      <c r="T434" s="8"/>
      <c r="U434" s="8"/>
      <c r="V434" s="8"/>
      <c r="W434" s="8"/>
      <c r="X434" s="8"/>
      <c r="Y434" s="8"/>
      <c r="Z434" s="8"/>
    </row>
    <row r="435" spans="1:26" ht="13.15" x14ac:dyDescent="0.4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204"/>
      <c r="S435" s="8"/>
      <c r="T435" s="8"/>
      <c r="U435" s="8"/>
      <c r="V435" s="8"/>
      <c r="W435" s="8"/>
      <c r="X435" s="8"/>
      <c r="Y435" s="8"/>
      <c r="Z435" s="8"/>
    </row>
    <row r="436" spans="1:26" ht="13.15" x14ac:dyDescent="0.4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204"/>
      <c r="S436" s="8"/>
      <c r="T436" s="8"/>
      <c r="U436" s="8"/>
      <c r="V436" s="8"/>
      <c r="W436" s="8"/>
      <c r="X436" s="8"/>
      <c r="Y436" s="8"/>
      <c r="Z436" s="8"/>
    </row>
    <row r="437" spans="1:26" ht="13.15" x14ac:dyDescent="0.4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204"/>
      <c r="S437" s="8"/>
      <c r="T437" s="8"/>
      <c r="U437" s="8"/>
      <c r="V437" s="8"/>
      <c r="W437" s="8"/>
      <c r="X437" s="8"/>
      <c r="Y437" s="8"/>
      <c r="Z437" s="8"/>
    </row>
    <row r="438" spans="1:26" ht="13.15" x14ac:dyDescent="0.4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204"/>
      <c r="S438" s="8"/>
      <c r="T438" s="8"/>
      <c r="U438" s="8"/>
      <c r="V438" s="8"/>
      <c r="W438" s="8"/>
      <c r="X438" s="8"/>
      <c r="Y438" s="8"/>
      <c r="Z438" s="8"/>
    </row>
    <row r="439" spans="1:26" ht="13.15" x14ac:dyDescent="0.4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204"/>
      <c r="S439" s="8"/>
      <c r="T439" s="8"/>
      <c r="U439" s="8"/>
      <c r="V439" s="8"/>
      <c r="W439" s="8"/>
      <c r="X439" s="8"/>
      <c r="Y439" s="8"/>
      <c r="Z439" s="8"/>
    </row>
    <row r="440" spans="1:26" ht="13.15" x14ac:dyDescent="0.4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204"/>
      <c r="S440" s="8"/>
      <c r="T440" s="8"/>
      <c r="U440" s="8"/>
      <c r="V440" s="8"/>
      <c r="W440" s="8"/>
      <c r="X440" s="8"/>
      <c r="Y440" s="8"/>
      <c r="Z440" s="8"/>
    </row>
    <row r="441" spans="1:26" ht="13.15" x14ac:dyDescent="0.4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204"/>
      <c r="S441" s="8"/>
      <c r="T441" s="8"/>
      <c r="U441" s="8"/>
      <c r="V441" s="8"/>
      <c r="W441" s="8"/>
      <c r="X441" s="8"/>
      <c r="Y441" s="8"/>
      <c r="Z441" s="8"/>
    </row>
    <row r="442" spans="1:26" ht="13.15" x14ac:dyDescent="0.4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204"/>
      <c r="S442" s="8"/>
      <c r="T442" s="8"/>
      <c r="U442" s="8"/>
      <c r="V442" s="8"/>
      <c r="W442" s="8"/>
      <c r="X442" s="8"/>
      <c r="Y442" s="8"/>
      <c r="Z442" s="8"/>
    </row>
    <row r="443" spans="1:26" ht="13.15" x14ac:dyDescent="0.4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204"/>
      <c r="S443" s="8"/>
      <c r="T443" s="8"/>
      <c r="U443" s="8"/>
      <c r="V443" s="8"/>
      <c r="W443" s="8"/>
      <c r="X443" s="8"/>
      <c r="Y443" s="8"/>
      <c r="Z443" s="8"/>
    </row>
    <row r="444" spans="1:26" ht="13.15" x14ac:dyDescent="0.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204"/>
      <c r="S444" s="8"/>
      <c r="T444" s="8"/>
      <c r="U444" s="8"/>
      <c r="V444" s="8"/>
      <c r="W444" s="8"/>
      <c r="X444" s="8"/>
      <c r="Y444" s="8"/>
      <c r="Z444" s="8"/>
    </row>
    <row r="445" spans="1:26" ht="13.15" x14ac:dyDescent="0.4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204"/>
      <c r="S445" s="8"/>
      <c r="T445" s="8"/>
      <c r="U445" s="8"/>
      <c r="V445" s="8"/>
      <c r="W445" s="8"/>
      <c r="X445" s="8"/>
      <c r="Y445" s="8"/>
      <c r="Z445" s="8"/>
    </row>
    <row r="446" spans="1:26" ht="13.15" x14ac:dyDescent="0.4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204"/>
      <c r="S446" s="8"/>
      <c r="T446" s="8"/>
      <c r="U446" s="8"/>
      <c r="V446" s="8"/>
      <c r="W446" s="8"/>
      <c r="X446" s="8"/>
      <c r="Y446" s="8"/>
      <c r="Z446" s="8"/>
    </row>
    <row r="447" spans="1:26" ht="13.15" x14ac:dyDescent="0.4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204"/>
      <c r="S447" s="8"/>
      <c r="T447" s="8"/>
      <c r="U447" s="8"/>
      <c r="V447" s="8"/>
      <c r="W447" s="8"/>
      <c r="X447" s="8"/>
      <c r="Y447" s="8"/>
      <c r="Z447" s="8"/>
    </row>
    <row r="448" spans="1:26" ht="13.15" x14ac:dyDescent="0.4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204"/>
      <c r="S448" s="8"/>
      <c r="T448" s="8"/>
      <c r="U448" s="8"/>
      <c r="V448" s="8"/>
      <c r="W448" s="8"/>
      <c r="X448" s="8"/>
      <c r="Y448" s="8"/>
      <c r="Z448" s="8"/>
    </row>
    <row r="449" spans="1:26" ht="13.15" x14ac:dyDescent="0.4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204"/>
      <c r="S449" s="8"/>
      <c r="T449" s="8"/>
      <c r="U449" s="8"/>
      <c r="V449" s="8"/>
      <c r="W449" s="8"/>
      <c r="X449" s="8"/>
      <c r="Y449" s="8"/>
      <c r="Z449" s="8"/>
    </row>
    <row r="450" spans="1:26" ht="13.15" x14ac:dyDescent="0.4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204"/>
      <c r="S450" s="8"/>
      <c r="T450" s="8"/>
      <c r="U450" s="8"/>
      <c r="V450" s="8"/>
      <c r="W450" s="8"/>
      <c r="X450" s="8"/>
      <c r="Y450" s="8"/>
      <c r="Z450" s="8"/>
    </row>
    <row r="451" spans="1:26" ht="13.15" x14ac:dyDescent="0.4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204"/>
      <c r="S451" s="8"/>
      <c r="T451" s="8"/>
      <c r="U451" s="8"/>
      <c r="V451" s="8"/>
      <c r="W451" s="8"/>
      <c r="X451" s="8"/>
      <c r="Y451" s="8"/>
      <c r="Z451" s="8"/>
    </row>
    <row r="452" spans="1:26" ht="13.15" x14ac:dyDescent="0.4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204"/>
      <c r="S452" s="8"/>
      <c r="T452" s="8"/>
      <c r="U452" s="8"/>
      <c r="V452" s="8"/>
      <c r="W452" s="8"/>
      <c r="X452" s="8"/>
      <c r="Y452" s="8"/>
      <c r="Z452" s="8"/>
    </row>
    <row r="453" spans="1:26" ht="13.15" x14ac:dyDescent="0.4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204"/>
      <c r="S453" s="8"/>
      <c r="T453" s="8"/>
      <c r="U453" s="8"/>
      <c r="V453" s="8"/>
      <c r="W453" s="8"/>
      <c r="X453" s="8"/>
      <c r="Y453" s="8"/>
      <c r="Z453" s="8"/>
    </row>
    <row r="454" spans="1:26" ht="13.15" x14ac:dyDescent="0.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204"/>
      <c r="S454" s="8"/>
      <c r="T454" s="8"/>
      <c r="U454" s="8"/>
      <c r="V454" s="8"/>
      <c r="W454" s="8"/>
      <c r="X454" s="8"/>
      <c r="Y454" s="8"/>
      <c r="Z454" s="8"/>
    </row>
    <row r="455" spans="1:26" ht="13.15" x14ac:dyDescent="0.4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204"/>
      <c r="S455" s="8"/>
      <c r="T455" s="8"/>
      <c r="U455" s="8"/>
      <c r="V455" s="8"/>
      <c r="W455" s="8"/>
      <c r="X455" s="8"/>
      <c r="Y455" s="8"/>
      <c r="Z455" s="8"/>
    </row>
    <row r="456" spans="1:26" ht="13.15" x14ac:dyDescent="0.4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204"/>
      <c r="S456" s="8"/>
      <c r="T456" s="8"/>
      <c r="U456" s="8"/>
      <c r="V456" s="8"/>
      <c r="W456" s="8"/>
      <c r="X456" s="8"/>
      <c r="Y456" s="8"/>
      <c r="Z456" s="8"/>
    </row>
    <row r="457" spans="1:26" ht="13.15" x14ac:dyDescent="0.4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204"/>
      <c r="S457" s="8"/>
      <c r="T457" s="8"/>
      <c r="U457" s="8"/>
      <c r="V457" s="8"/>
      <c r="W457" s="8"/>
      <c r="X457" s="8"/>
      <c r="Y457" s="8"/>
      <c r="Z457" s="8"/>
    </row>
    <row r="458" spans="1:26" ht="13.15" x14ac:dyDescent="0.4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204"/>
      <c r="S458" s="8"/>
      <c r="T458" s="8"/>
      <c r="U458" s="8"/>
      <c r="V458" s="8"/>
      <c r="W458" s="8"/>
      <c r="X458" s="8"/>
      <c r="Y458" s="8"/>
      <c r="Z458" s="8"/>
    </row>
    <row r="459" spans="1:26" ht="13.15" x14ac:dyDescent="0.4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204"/>
      <c r="S459" s="8"/>
      <c r="T459" s="8"/>
      <c r="U459" s="8"/>
      <c r="V459" s="8"/>
      <c r="W459" s="8"/>
      <c r="X459" s="8"/>
      <c r="Y459" s="8"/>
      <c r="Z459" s="8"/>
    </row>
    <row r="460" spans="1:26" ht="13.15" x14ac:dyDescent="0.4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204"/>
      <c r="S460" s="8"/>
      <c r="T460" s="8"/>
      <c r="U460" s="8"/>
      <c r="V460" s="8"/>
      <c r="W460" s="8"/>
      <c r="X460" s="8"/>
      <c r="Y460" s="8"/>
      <c r="Z460" s="8"/>
    </row>
    <row r="461" spans="1:26" ht="13.15" x14ac:dyDescent="0.4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204"/>
      <c r="S461" s="8"/>
      <c r="T461" s="8"/>
      <c r="U461" s="8"/>
      <c r="V461" s="8"/>
      <c r="W461" s="8"/>
      <c r="X461" s="8"/>
      <c r="Y461" s="8"/>
      <c r="Z461" s="8"/>
    </row>
    <row r="462" spans="1:26" ht="13.15" x14ac:dyDescent="0.4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204"/>
      <c r="S462" s="8"/>
      <c r="T462" s="8"/>
      <c r="U462" s="8"/>
      <c r="V462" s="8"/>
      <c r="W462" s="8"/>
      <c r="X462" s="8"/>
      <c r="Y462" s="8"/>
      <c r="Z462" s="8"/>
    </row>
    <row r="463" spans="1:26" ht="13.15" x14ac:dyDescent="0.4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204"/>
      <c r="S463" s="8"/>
      <c r="T463" s="8"/>
      <c r="U463" s="8"/>
      <c r="V463" s="8"/>
      <c r="W463" s="8"/>
      <c r="X463" s="8"/>
      <c r="Y463" s="8"/>
      <c r="Z463" s="8"/>
    </row>
    <row r="464" spans="1:26" ht="13.15" x14ac:dyDescent="0.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204"/>
      <c r="S464" s="8"/>
      <c r="T464" s="8"/>
      <c r="U464" s="8"/>
      <c r="V464" s="8"/>
      <c r="W464" s="8"/>
      <c r="X464" s="8"/>
      <c r="Y464" s="8"/>
      <c r="Z464" s="8"/>
    </row>
    <row r="465" spans="1:26" ht="13.15" x14ac:dyDescent="0.4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204"/>
      <c r="S465" s="8"/>
      <c r="T465" s="8"/>
      <c r="U465" s="8"/>
      <c r="V465" s="8"/>
      <c r="W465" s="8"/>
      <c r="X465" s="8"/>
      <c r="Y465" s="8"/>
      <c r="Z465" s="8"/>
    </row>
    <row r="466" spans="1:26" ht="13.15" x14ac:dyDescent="0.4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204"/>
      <c r="S466" s="8"/>
      <c r="T466" s="8"/>
      <c r="U466" s="8"/>
      <c r="V466" s="8"/>
      <c r="W466" s="8"/>
      <c r="X466" s="8"/>
      <c r="Y466" s="8"/>
      <c r="Z466" s="8"/>
    </row>
    <row r="467" spans="1:26" ht="13.15" x14ac:dyDescent="0.4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204"/>
      <c r="S467" s="8"/>
      <c r="T467" s="8"/>
      <c r="U467" s="8"/>
      <c r="V467" s="8"/>
      <c r="W467" s="8"/>
      <c r="X467" s="8"/>
      <c r="Y467" s="8"/>
      <c r="Z467" s="8"/>
    </row>
    <row r="468" spans="1:26" ht="13.15" x14ac:dyDescent="0.4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204"/>
      <c r="S468" s="8"/>
      <c r="T468" s="8"/>
      <c r="U468" s="8"/>
      <c r="V468" s="8"/>
      <c r="W468" s="8"/>
      <c r="X468" s="8"/>
      <c r="Y468" s="8"/>
      <c r="Z468" s="8"/>
    </row>
    <row r="469" spans="1:26" ht="13.15" x14ac:dyDescent="0.4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204"/>
      <c r="S469" s="8"/>
      <c r="T469" s="8"/>
      <c r="U469" s="8"/>
      <c r="V469" s="8"/>
      <c r="W469" s="8"/>
      <c r="X469" s="8"/>
      <c r="Y469" s="8"/>
      <c r="Z469" s="8"/>
    </row>
    <row r="470" spans="1:26" ht="13.15" x14ac:dyDescent="0.4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204"/>
      <c r="S470" s="8"/>
      <c r="T470" s="8"/>
      <c r="U470" s="8"/>
      <c r="V470" s="8"/>
      <c r="W470" s="8"/>
      <c r="X470" s="8"/>
      <c r="Y470" s="8"/>
      <c r="Z470" s="8"/>
    </row>
    <row r="471" spans="1:26" ht="13.15" x14ac:dyDescent="0.4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204"/>
      <c r="S471" s="8"/>
      <c r="T471" s="8"/>
      <c r="U471" s="8"/>
      <c r="V471" s="8"/>
      <c r="W471" s="8"/>
      <c r="X471" s="8"/>
      <c r="Y471" s="8"/>
      <c r="Z471" s="8"/>
    </row>
    <row r="472" spans="1:26" ht="13.15" x14ac:dyDescent="0.4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204"/>
      <c r="S472" s="8"/>
      <c r="T472" s="8"/>
      <c r="U472" s="8"/>
      <c r="V472" s="8"/>
      <c r="W472" s="8"/>
      <c r="X472" s="8"/>
      <c r="Y472" s="8"/>
      <c r="Z472" s="8"/>
    </row>
    <row r="473" spans="1:26" ht="13.15" x14ac:dyDescent="0.4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204"/>
      <c r="S473" s="8"/>
      <c r="T473" s="8"/>
      <c r="U473" s="8"/>
      <c r="V473" s="8"/>
      <c r="W473" s="8"/>
      <c r="X473" s="8"/>
      <c r="Y473" s="8"/>
      <c r="Z473" s="8"/>
    </row>
    <row r="474" spans="1:26" ht="13.15" x14ac:dyDescent="0.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204"/>
      <c r="S474" s="8"/>
      <c r="T474" s="8"/>
      <c r="U474" s="8"/>
      <c r="V474" s="8"/>
      <c r="W474" s="8"/>
      <c r="X474" s="8"/>
      <c r="Y474" s="8"/>
      <c r="Z474" s="8"/>
    </row>
    <row r="475" spans="1:26" ht="13.15" x14ac:dyDescent="0.4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204"/>
      <c r="S475" s="8"/>
      <c r="T475" s="8"/>
      <c r="U475" s="8"/>
      <c r="V475" s="8"/>
      <c r="W475" s="8"/>
      <c r="X475" s="8"/>
      <c r="Y475" s="8"/>
      <c r="Z475" s="8"/>
    </row>
    <row r="476" spans="1:26" ht="13.15" x14ac:dyDescent="0.4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204"/>
      <c r="S476" s="8"/>
      <c r="T476" s="8"/>
      <c r="U476" s="8"/>
      <c r="V476" s="8"/>
      <c r="W476" s="8"/>
      <c r="X476" s="8"/>
      <c r="Y476" s="8"/>
      <c r="Z476" s="8"/>
    </row>
    <row r="477" spans="1:26" ht="13.15" x14ac:dyDescent="0.4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204"/>
      <c r="S477" s="8"/>
      <c r="T477" s="8"/>
      <c r="U477" s="8"/>
      <c r="V477" s="8"/>
      <c r="W477" s="8"/>
      <c r="X477" s="8"/>
      <c r="Y477" s="8"/>
      <c r="Z477" s="8"/>
    </row>
    <row r="478" spans="1:26" ht="13.15" x14ac:dyDescent="0.4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204"/>
      <c r="S478" s="8"/>
      <c r="T478" s="8"/>
      <c r="U478" s="8"/>
      <c r="V478" s="8"/>
      <c r="W478" s="8"/>
      <c r="X478" s="8"/>
      <c r="Y478" s="8"/>
      <c r="Z478" s="8"/>
    </row>
    <row r="479" spans="1:26" ht="13.15" x14ac:dyDescent="0.4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204"/>
      <c r="S479" s="8"/>
      <c r="T479" s="8"/>
      <c r="U479" s="8"/>
      <c r="V479" s="8"/>
      <c r="W479" s="8"/>
      <c r="X479" s="8"/>
      <c r="Y479" s="8"/>
      <c r="Z479" s="8"/>
    </row>
    <row r="480" spans="1:26" ht="13.15" x14ac:dyDescent="0.4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204"/>
      <c r="S480" s="8"/>
      <c r="T480" s="8"/>
      <c r="U480" s="8"/>
      <c r="V480" s="8"/>
      <c r="W480" s="8"/>
      <c r="X480" s="8"/>
      <c r="Y480" s="8"/>
      <c r="Z480" s="8"/>
    </row>
    <row r="481" spans="1:26" ht="13.15" x14ac:dyDescent="0.4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204"/>
      <c r="S481" s="8"/>
      <c r="T481" s="8"/>
      <c r="U481" s="8"/>
      <c r="V481" s="8"/>
      <c r="W481" s="8"/>
      <c r="X481" s="8"/>
      <c r="Y481" s="8"/>
      <c r="Z481" s="8"/>
    </row>
    <row r="482" spans="1:26" ht="13.15" x14ac:dyDescent="0.4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204"/>
      <c r="S482" s="8"/>
      <c r="T482" s="8"/>
      <c r="U482" s="8"/>
      <c r="V482" s="8"/>
      <c r="W482" s="8"/>
      <c r="X482" s="8"/>
      <c r="Y482" s="8"/>
      <c r="Z482" s="8"/>
    </row>
    <row r="483" spans="1:26" ht="13.15" x14ac:dyDescent="0.4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204"/>
      <c r="S483" s="8"/>
      <c r="T483" s="8"/>
      <c r="U483" s="8"/>
      <c r="V483" s="8"/>
      <c r="W483" s="8"/>
      <c r="X483" s="8"/>
      <c r="Y483" s="8"/>
      <c r="Z483" s="8"/>
    </row>
    <row r="484" spans="1:26" ht="13.15" x14ac:dyDescent="0.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204"/>
      <c r="S484" s="8"/>
      <c r="T484" s="8"/>
      <c r="U484" s="8"/>
      <c r="V484" s="8"/>
      <c r="W484" s="8"/>
      <c r="X484" s="8"/>
      <c r="Y484" s="8"/>
      <c r="Z484" s="8"/>
    </row>
    <row r="485" spans="1:26" ht="13.15" x14ac:dyDescent="0.4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204"/>
      <c r="S485" s="8"/>
      <c r="T485" s="8"/>
      <c r="U485" s="8"/>
      <c r="V485" s="8"/>
      <c r="W485" s="8"/>
      <c r="X485" s="8"/>
      <c r="Y485" s="8"/>
      <c r="Z485" s="8"/>
    </row>
    <row r="486" spans="1:26" ht="13.15" x14ac:dyDescent="0.4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204"/>
      <c r="S486" s="8"/>
      <c r="T486" s="8"/>
      <c r="U486" s="8"/>
      <c r="V486" s="8"/>
      <c r="W486" s="8"/>
      <c r="X486" s="8"/>
      <c r="Y486" s="8"/>
      <c r="Z486" s="8"/>
    </row>
    <row r="487" spans="1:26" ht="13.15" x14ac:dyDescent="0.4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204"/>
      <c r="S487" s="8"/>
      <c r="T487" s="8"/>
      <c r="U487" s="8"/>
      <c r="V487" s="8"/>
      <c r="W487" s="8"/>
      <c r="X487" s="8"/>
      <c r="Y487" s="8"/>
      <c r="Z487" s="8"/>
    </row>
    <row r="488" spans="1:26" ht="13.15" x14ac:dyDescent="0.4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204"/>
      <c r="S488" s="8"/>
      <c r="T488" s="8"/>
      <c r="U488" s="8"/>
      <c r="V488" s="8"/>
      <c r="W488" s="8"/>
      <c r="X488" s="8"/>
      <c r="Y488" s="8"/>
      <c r="Z488" s="8"/>
    </row>
    <row r="489" spans="1:26" ht="13.15" x14ac:dyDescent="0.4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204"/>
      <c r="S489" s="8"/>
      <c r="T489" s="8"/>
      <c r="U489" s="8"/>
      <c r="V489" s="8"/>
      <c r="W489" s="8"/>
      <c r="X489" s="8"/>
      <c r="Y489" s="8"/>
      <c r="Z489" s="8"/>
    </row>
    <row r="490" spans="1:26" ht="13.15" x14ac:dyDescent="0.4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204"/>
      <c r="S490" s="8"/>
      <c r="T490" s="8"/>
      <c r="U490" s="8"/>
      <c r="V490" s="8"/>
      <c r="W490" s="8"/>
      <c r="X490" s="8"/>
      <c r="Y490" s="8"/>
      <c r="Z490" s="8"/>
    </row>
    <row r="491" spans="1:26" ht="13.15" x14ac:dyDescent="0.4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204"/>
      <c r="S491" s="8"/>
      <c r="T491" s="8"/>
      <c r="U491" s="8"/>
      <c r="V491" s="8"/>
      <c r="W491" s="8"/>
      <c r="X491" s="8"/>
      <c r="Y491" s="8"/>
      <c r="Z491" s="8"/>
    </row>
    <row r="492" spans="1:26" ht="13.15" x14ac:dyDescent="0.4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204"/>
      <c r="S492" s="8"/>
      <c r="T492" s="8"/>
      <c r="U492" s="8"/>
      <c r="V492" s="8"/>
      <c r="W492" s="8"/>
      <c r="X492" s="8"/>
      <c r="Y492" s="8"/>
      <c r="Z492" s="8"/>
    </row>
    <row r="493" spans="1:26" ht="13.15" x14ac:dyDescent="0.4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204"/>
      <c r="S493" s="8"/>
      <c r="T493" s="8"/>
      <c r="U493" s="8"/>
      <c r="V493" s="8"/>
      <c r="W493" s="8"/>
      <c r="X493" s="8"/>
      <c r="Y493" s="8"/>
      <c r="Z493" s="8"/>
    </row>
    <row r="494" spans="1:26" ht="13.15" x14ac:dyDescent="0.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204"/>
      <c r="S494" s="8"/>
      <c r="T494" s="8"/>
      <c r="U494" s="8"/>
      <c r="V494" s="8"/>
      <c r="W494" s="8"/>
      <c r="X494" s="8"/>
      <c r="Y494" s="8"/>
      <c r="Z494" s="8"/>
    </row>
    <row r="495" spans="1:26" ht="13.15" x14ac:dyDescent="0.4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204"/>
      <c r="S495" s="8"/>
      <c r="T495" s="8"/>
      <c r="U495" s="8"/>
      <c r="V495" s="8"/>
      <c r="W495" s="8"/>
      <c r="X495" s="8"/>
      <c r="Y495" s="8"/>
      <c r="Z495" s="8"/>
    </row>
    <row r="496" spans="1:26" ht="13.15" x14ac:dyDescent="0.4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204"/>
      <c r="S496" s="8"/>
      <c r="T496" s="8"/>
      <c r="U496" s="8"/>
      <c r="V496" s="8"/>
      <c r="W496" s="8"/>
      <c r="X496" s="8"/>
      <c r="Y496" s="8"/>
      <c r="Z496" s="8"/>
    </row>
    <row r="497" spans="1:26" ht="13.15" x14ac:dyDescent="0.4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204"/>
      <c r="S497" s="8"/>
      <c r="T497" s="8"/>
      <c r="U497" s="8"/>
      <c r="V497" s="8"/>
      <c r="W497" s="8"/>
      <c r="X497" s="8"/>
      <c r="Y497" s="8"/>
      <c r="Z497" s="8"/>
    </row>
    <row r="498" spans="1:26" ht="13.15" x14ac:dyDescent="0.4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204"/>
      <c r="S498" s="8"/>
      <c r="T498" s="8"/>
      <c r="U498" s="8"/>
      <c r="V498" s="8"/>
      <c r="W498" s="8"/>
      <c r="X498" s="8"/>
      <c r="Y498" s="8"/>
      <c r="Z498" s="8"/>
    </row>
    <row r="499" spans="1:26" ht="13.15" x14ac:dyDescent="0.4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204"/>
      <c r="S499" s="8"/>
      <c r="T499" s="8"/>
      <c r="U499" s="8"/>
      <c r="V499" s="8"/>
      <c r="W499" s="8"/>
      <c r="X499" s="8"/>
      <c r="Y499" s="8"/>
      <c r="Z499" s="8"/>
    </row>
    <row r="500" spans="1:26" ht="13.15" x14ac:dyDescent="0.4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204"/>
      <c r="S500" s="8"/>
      <c r="T500" s="8"/>
      <c r="U500" s="8"/>
      <c r="V500" s="8"/>
      <c r="W500" s="8"/>
      <c r="X500" s="8"/>
      <c r="Y500" s="8"/>
      <c r="Z500" s="8"/>
    </row>
    <row r="501" spans="1:26" ht="13.15" x14ac:dyDescent="0.4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204"/>
      <c r="S501" s="8"/>
      <c r="T501" s="8"/>
      <c r="U501" s="8"/>
      <c r="V501" s="8"/>
      <c r="W501" s="8"/>
      <c r="X501" s="8"/>
      <c r="Y501" s="8"/>
      <c r="Z501" s="8"/>
    </row>
    <row r="502" spans="1:26" ht="13.15" x14ac:dyDescent="0.4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204"/>
      <c r="S502" s="8"/>
      <c r="T502" s="8"/>
      <c r="U502" s="8"/>
      <c r="V502" s="8"/>
      <c r="W502" s="8"/>
      <c r="X502" s="8"/>
      <c r="Y502" s="8"/>
      <c r="Z502" s="8"/>
    </row>
    <row r="503" spans="1:26" ht="13.15" x14ac:dyDescent="0.4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204"/>
      <c r="S503" s="8"/>
      <c r="T503" s="8"/>
      <c r="U503" s="8"/>
      <c r="V503" s="8"/>
      <c r="W503" s="8"/>
      <c r="X503" s="8"/>
      <c r="Y503" s="8"/>
      <c r="Z503" s="8"/>
    </row>
    <row r="504" spans="1:26" ht="13.15" x14ac:dyDescent="0.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204"/>
      <c r="S504" s="8"/>
      <c r="T504" s="8"/>
      <c r="U504" s="8"/>
      <c r="V504" s="8"/>
      <c r="W504" s="8"/>
      <c r="X504" s="8"/>
      <c r="Y504" s="8"/>
      <c r="Z504" s="8"/>
    </row>
    <row r="505" spans="1:26" ht="13.15" x14ac:dyDescent="0.4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204"/>
      <c r="S505" s="8"/>
      <c r="T505" s="8"/>
      <c r="U505" s="8"/>
      <c r="V505" s="8"/>
      <c r="W505" s="8"/>
      <c r="X505" s="8"/>
      <c r="Y505" s="8"/>
      <c r="Z505" s="8"/>
    </row>
    <row r="506" spans="1:26" ht="13.15" x14ac:dyDescent="0.4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204"/>
      <c r="S506" s="8"/>
      <c r="T506" s="8"/>
      <c r="U506" s="8"/>
      <c r="V506" s="8"/>
      <c r="W506" s="8"/>
      <c r="X506" s="8"/>
      <c r="Y506" s="8"/>
      <c r="Z506" s="8"/>
    </row>
    <row r="507" spans="1:26" ht="13.15" x14ac:dyDescent="0.4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204"/>
      <c r="S507" s="8"/>
      <c r="T507" s="8"/>
      <c r="U507" s="8"/>
      <c r="V507" s="8"/>
      <c r="W507" s="8"/>
      <c r="X507" s="8"/>
      <c r="Y507" s="8"/>
      <c r="Z507" s="8"/>
    </row>
    <row r="508" spans="1:26" ht="13.15" x14ac:dyDescent="0.4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204"/>
      <c r="S508" s="8"/>
      <c r="T508" s="8"/>
      <c r="U508" s="8"/>
      <c r="V508" s="8"/>
      <c r="W508" s="8"/>
      <c r="X508" s="8"/>
      <c r="Y508" s="8"/>
      <c r="Z508" s="8"/>
    </row>
    <row r="509" spans="1:26" ht="13.15" x14ac:dyDescent="0.4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204"/>
      <c r="S509" s="8"/>
      <c r="T509" s="8"/>
      <c r="U509" s="8"/>
      <c r="V509" s="8"/>
      <c r="W509" s="8"/>
      <c r="X509" s="8"/>
      <c r="Y509" s="8"/>
      <c r="Z509" s="8"/>
    </row>
    <row r="510" spans="1:26" ht="13.15" x14ac:dyDescent="0.4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204"/>
      <c r="S510" s="8"/>
      <c r="T510" s="8"/>
      <c r="U510" s="8"/>
      <c r="V510" s="8"/>
      <c r="W510" s="8"/>
      <c r="X510" s="8"/>
      <c r="Y510" s="8"/>
      <c r="Z510" s="8"/>
    </row>
    <row r="511" spans="1:26" ht="13.15" x14ac:dyDescent="0.4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204"/>
      <c r="S511" s="8"/>
      <c r="T511" s="8"/>
      <c r="U511" s="8"/>
      <c r="V511" s="8"/>
      <c r="W511" s="8"/>
      <c r="X511" s="8"/>
      <c r="Y511" s="8"/>
      <c r="Z511" s="8"/>
    </row>
    <row r="512" spans="1:26" ht="13.15" x14ac:dyDescent="0.4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204"/>
      <c r="S512" s="8"/>
      <c r="T512" s="8"/>
      <c r="U512" s="8"/>
      <c r="V512" s="8"/>
      <c r="W512" s="8"/>
      <c r="X512" s="8"/>
      <c r="Y512" s="8"/>
      <c r="Z512" s="8"/>
    </row>
    <row r="513" spans="1:26" ht="13.15" x14ac:dyDescent="0.4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204"/>
      <c r="S513" s="8"/>
      <c r="T513" s="8"/>
      <c r="U513" s="8"/>
      <c r="V513" s="8"/>
      <c r="W513" s="8"/>
      <c r="X513" s="8"/>
      <c r="Y513" s="8"/>
      <c r="Z513" s="8"/>
    </row>
    <row r="514" spans="1:26" ht="13.15" x14ac:dyDescent="0.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204"/>
      <c r="S514" s="8"/>
      <c r="T514" s="8"/>
      <c r="U514" s="8"/>
      <c r="V514" s="8"/>
      <c r="W514" s="8"/>
      <c r="X514" s="8"/>
      <c r="Y514" s="8"/>
      <c r="Z514" s="8"/>
    </row>
    <row r="515" spans="1:26" ht="13.15" x14ac:dyDescent="0.4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204"/>
      <c r="S515" s="8"/>
      <c r="T515" s="8"/>
      <c r="U515" s="8"/>
      <c r="V515" s="8"/>
      <c r="W515" s="8"/>
      <c r="X515" s="8"/>
      <c r="Y515" s="8"/>
      <c r="Z515" s="8"/>
    </row>
    <row r="516" spans="1:26" ht="13.15" x14ac:dyDescent="0.4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204"/>
      <c r="S516" s="8"/>
      <c r="T516" s="8"/>
      <c r="U516" s="8"/>
      <c r="V516" s="8"/>
      <c r="W516" s="8"/>
      <c r="X516" s="8"/>
      <c r="Y516" s="8"/>
      <c r="Z516" s="8"/>
    </row>
    <row r="517" spans="1:26" ht="13.15" x14ac:dyDescent="0.4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204"/>
      <c r="S517" s="8"/>
      <c r="T517" s="8"/>
      <c r="U517" s="8"/>
      <c r="V517" s="8"/>
      <c r="W517" s="8"/>
      <c r="X517" s="8"/>
      <c r="Y517" s="8"/>
      <c r="Z517" s="8"/>
    </row>
    <row r="518" spans="1:26" ht="13.15" x14ac:dyDescent="0.4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204"/>
      <c r="S518" s="8"/>
      <c r="T518" s="8"/>
      <c r="U518" s="8"/>
      <c r="V518" s="8"/>
      <c r="W518" s="8"/>
      <c r="X518" s="8"/>
      <c r="Y518" s="8"/>
      <c r="Z518" s="8"/>
    </row>
    <row r="519" spans="1:26" ht="13.15" x14ac:dyDescent="0.4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204"/>
      <c r="S519" s="8"/>
      <c r="T519" s="8"/>
      <c r="U519" s="8"/>
      <c r="V519" s="8"/>
      <c r="W519" s="8"/>
      <c r="X519" s="8"/>
      <c r="Y519" s="8"/>
      <c r="Z519" s="8"/>
    </row>
    <row r="520" spans="1:26" ht="13.15" x14ac:dyDescent="0.4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204"/>
      <c r="S520" s="8"/>
      <c r="T520" s="8"/>
      <c r="U520" s="8"/>
      <c r="V520" s="8"/>
      <c r="W520" s="8"/>
      <c r="X520" s="8"/>
      <c r="Y520" s="8"/>
      <c r="Z520" s="8"/>
    </row>
    <row r="521" spans="1:26" ht="13.15" x14ac:dyDescent="0.4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204"/>
      <c r="S521" s="8"/>
      <c r="T521" s="8"/>
      <c r="U521" s="8"/>
      <c r="V521" s="8"/>
      <c r="W521" s="8"/>
      <c r="X521" s="8"/>
      <c r="Y521" s="8"/>
      <c r="Z521" s="8"/>
    </row>
    <row r="522" spans="1:26" ht="13.15" x14ac:dyDescent="0.4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204"/>
      <c r="S522" s="8"/>
      <c r="T522" s="8"/>
      <c r="U522" s="8"/>
      <c r="V522" s="8"/>
      <c r="W522" s="8"/>
      <c r="X522" s="8"/>
      <c r="Y522" s="8"/>
      <c r="Z522" s="8"/>
    </row>
    <row r="523" spans="1:26" ht="13.15" x14ac:dyDescent="0.4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204"/>
      <c r="S523" s="8"/>
      <c r="T523" s="8"/>
      <c r="U523" s="8"/>
      <c r="V523" s="8"/>
      <c r="W523" s="8"/>
      <c r="X523" s="8"/>
      <c r="Y523" s="8"/>
      <c r="Z523" s="8"/>
    </row>
    <row r="524" spans="1:26" ht="13.15" x14ac:dyDescent="0.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204"/>
      <c r="S524" s="8"/>
      <c r="T524" s="8"/>
      <c r="U524" s="8"/>
      <c r="V524" s="8"/>
      <c r="W524" s="8"/>
      <c r="X524" s="8"/>
      <c r="Y524" s="8"/>
      <c r="Z524" s="8"/>
    </row>
    <row r="525" spans="1:26" ht="13.15" x14ac:dyDescent="0.4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204"/>
      <c r="S525" s="8"/>
      <c r="T525" s="8"/>
      <c r="U525" s="8"/>
      <c r="V525" s="8"/>
      <c r="W525" s="8"/>
      <c r="X525" s="8"/>
      <c r="Y525" s="8"/>
      <c r="Z525" s="8"/>
    </row>
    <row r="526" spans="1:26" ht="13.15" x14ac:dyDescent="0.4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204"/>
      <c r="S526" s="8"/>
      <c r="T526" s="8"/>
      <c r="U526" s="8"/>
      <c r="V526" s="8"/>
      <c r="W526" s="8"/>
      <c r="X526" s="8"/>
      <c r="Y526" s="8"/>
      <c r="Z526" s="8"/>
    </row>
    <row r="527" spans="1:26" ht="13.15" x14ac:dyDescent="0.4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204"/>
      <c r="S527" s="8"/>
      <c r="T527" s="8"/>
      <c r="U527" s="8"/>
      <c r="V527" s="8"/>
      <c r="W527" s="8"/>
      <c r="X527" s="8"/>
      <c r="Y527" s="8"/>
      <c r="Z527" s="8"/>
    </row>
    <row r="528" spans="1:26" ht="13.15" x14ac:dyDescent="0.4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204"/>
      <c r="S528" s="8"/>
      <c r="T528" s="8"/>
      <c r="U528" s="8"/>
      <c r="V528" s="8"/>
      <c r="W528" s="8"/>
      <c r="X528" s="8"/>
      <c r="Y528" s="8"/>
      <c r="Z528" s="8"/>
    </row>
    <row r="529" spans="1:26" ht="13.15" x14ac:dyDescent="0.4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204"/>
      <c r="S529" s="8"/>
      <c r="T529" s="8"/>
      <c r="U529" s="8"/>
      <c r="V529" s="8"/>
      <c r="W529" s="8"/>
      <c r="X529" s="8"/>
      <c r="Y529" s="8"/>
      <c r="Z529" s="8"/>
    </row>
    <row r="530" spans="1:26" ht="13.15" x14ac:dyDescent="0.4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204"/>
      <c r="S530" s="8"/>
      <c r="T530" s="8"/>
      <c r="U530" s="8"/>
      <c r="V530" s="8"/>
      <c r="W530" s="8"/>
      <c r="X530" s="8"/>
      <c r="Y530" s="8"/>
      <c r="Z530" s="8"/>
    </row>
    <row r="531" spans="1:26" ht="13.15" x14ac:dyDescent="0.4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204"/>
      <c r="S531" s="8"/>
      <c r="T531" s="8"/>
      <c r="U531" s="8"/>
      <c r="V531" s="8"/>
      <c r="W531" s="8"/>
      <c r="X531" s="8"/>
      <c r="Y531" s="8"/>
      <c r="Z531" s="8"/>
    </row>
    <row r="532" spans="1:26" ht="13.15" x14ac:dyDescent="0.4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204"/>
      <c r="S532" s="8"/>
      <c r="T532" s="8"/>
      <c r="U532" s="8"/>
      <c r="V532" s="8"/>
      <c r="W532" s="8"/>
      <c r="X532" s="8"/>
      <c r="Y532" s="8"/>
      <c r="Z532" s="8"/>
    </row>
    <row r="533" spans="1:26" ht="13.15" x14ac:dyDescent="0.4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204"/>
      <c r="S533" s="8"/>
      <c r="T533" s="8"/>
      <c r="U533" s="8"/>
      <c r="V533" s="8"/>
      <c r="W533" s="8"/>
      <c r="X533" s="8"/>
      <c r="Y533" s="8"/>
      <c r="Z533" s="8"/>
    </row>
    <row r="534" spans="1:26" ht="13.15" x14ac:dyDescent="0.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204"/>
      <c r="S534" s="8"/>
      <c r="T534" s="8"/>
      <c r="U534" s="8"/>
      <c r="V534" s="8"/>
      <c r="W534" s="8"/>
      <c r="X534" s="8"/>
      <c r="Y534" s="8"/>
      <c r="Z534" s="8"/>
    </row>
    <row r="535" spans="1:26" ht="13.15" x14ac:dyDescent="0.4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204"/>
      <c r="S535" s="8"/>
      <c r="T535" s="8"/>
      <c r="U535" s="8"/>
      <c r="V535" s="8"/>
      <c r="W535" s="8"/>
      <c r="X535" s="8"/>
      <c r="Y535" s="8"/>
      <c r="Z535" s="8"/>
    </row>
    <row r="536" spans="1:26" ht="13.15" x14ac:dyDescent="0.4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204"/>
      <c r="S536" s="8"/>
      <c r="T536" s="8"/>
      <c r="U536" s="8"/>
      <c r="V536" s="8"/>
      <c r="W536" s="8"/>
      <c r="X536" s="8"/>
      <c r="Y536" s="8"/>
      <c r="Z536" s="8"/>
    </row>
    <row r="537" spans="1:26" ht="13.15" x14ac:dyDescent="0.4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204"/>
      <c r="S537" s="8"/>
      <c r="T537" s="8"/>
      <c r="U537" s="8"/>
      <c r="V537" s="8"/>
      <c r="W537" s="8"/>
      <c r="X537" s="8"/>
      <c r="Y537" s="8"/>
      <c r="Z537" s="8"/>
    </row>
    <row r="538" spans="1:26" ht="13.15" x14ac:dyDescent="0.4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204"/>
      <c r="S538" s="8"/>
      <c r="T538" s="8"/>
      <c r="U538" s="8"/>
      <c r="V538" s="8"/>
      <c r="W538" s="8"/>
      <c r="X538" s="8"/>
      <c r="Y538" s="8"/>
      <c r="Z538" s="8"/>
    </row>
    <row r="539" spans="1:26" ht="13.15" x14ac:dyDescent="0.4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204"/>
      <c r="S539" s="8"/>
      <c r="T539" s="8"/>
      <c r="U539" s="8"/>
      <c r="V539" s="8"/>
      <c r="W539" s="8"/>
      <c r="X539" s="8"/>
      <c r="Y539" s="8"/>
      <c r="Z539" s="8"/>
    </row>
    <row r="540" spans="1:26" ht="13.15" x14ac:dyDescent="0.4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204"/>
      <c r="S540" s="8"/>
      <c r="T540" s="8"/>
      <c r="U540" s="8"/>
      <c r="V540" s="8"/>
      <c r="W540" s="8"/>
      <c r="X540" s="8"/>
      <c r="Y540" s="8"/>
      <c r="Z540" s="8"/>
    </row>
    <row r="541" spans="1:26" ht="13.15" x14ac:dyDescent="0.4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204"/>
      <c r="S541" s="8"/>
      <c r="T541" s="8"/>
      <c r="U541" s="8"/>
      <c r="V541" s="8"/>
      <c r="W541" s="8"/>
      <c r="X541" s="8"/>
      <c r="Y541" s="8"/>
      <c r="Z541" s="8"/>
    </row>
    <row r="542" spans="1:26" ht="13.15" x14ac:dyDescent="0.4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204"/>
      <c r="S542" s="8"/>
      <c r="T542" s="8"/>
      <c r="U542" s="8"/>
      <c r="V542" s="8"/>
      <c r="W542" s="8"/>
      <c r="X542" s="8"/>
      <c r="Y542" s="8"/>
      <c r="Z542" s="8"/>
    </row>
    <row r="543" spans="1:26" ht="13.15" x14ac:dyDescent="0.4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204"/>
      <c r="S543" s="8"/>
      <c r="T543" s="8"/>
      <c r="U543" s="8"/>
      <c r="V543" s="8"/>
      <c r="W543" s="8"/>
      <c r="X543" s="8"/>
      <c r="Y543" s="8"/>
      <c r="Z543" s="8"/>
    </row>
    <row r="544" spans="1:26" ht="13.15" x14ac:dyDescent="0.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204"/>
      <c r="S544" s="8"/>
      <c r="T544" s="8"/>
      <c r="U544" s="8"/>
      <c r="V544" s="8"/>
      <c r="W544" s="8"/>
      <c r="X544" s="8"/>
      <c r="Y544" s="8"/>
      <c r="Z544" s="8"/>
    </row>
    <row r="545" spans="1:26" ht="13.15" x14ac:dyDescent="0.4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204"/>
      <c r="S545" s="8"/>
      <c r="T545" s="8"/>
      <c r="U545" s="8"/>
      <c r="V545" s="8"/>
      <c r="W545" s="8"/>
      <c r="X545" s="8"/>
      <c r="Y545" s="8"/>
      <c r="Z545" s="8"/>
    </row>
    <row r="546" spans="1:26" ht="13.15" x14ac:dyDescent="0.4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204"/>
      <c r="S546" s="8"/>
      <c r="T546" s="8"/>
      <c r="U546" s="8"/>
      <c r="V546" s="8"/>
      <c r="W546" s="8"/>
      <c r="X546" s="8"/>
      <c r="Y546" s="8"/>
      <c r="Z546" s="8"/>
    </row>
    <row r="547" spans="1:26" ht="13.15" x14ac:dyDescent="0.4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204"/>
      <c r="S547" s="8"/>
      <c r="T547" s="8"/>
      <c r="U547" s="8"/>
      <c r="V547" s="8"/>
      <c r="W547" s="8"/>
      <c r="X547" s="8"/>
      <c r="Y547" s="8"/>
      <c r="Z547" s="8"/>
    </row>
    <row r="548" spans="1:26" ht="13.15" x14ac:dyDescent="0.4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204"/>
      <c r="S548" s="8"/>
      <c r="T548" s="8"/>
      <c r="U548" s="8"/>
      <c r="V548" s="8"/>
      <c r="W548" s="8"/>
      <c r="X548" s="8"/>
      <c r="Y548" s="8"/>
      <c r="Z548" s="8"/>
    </row>
    <row r="549" spans="1:26" ht="13.15" x14ac:dyDescent="0.4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204"/>
      <c r="S549" s="8"/>
      <c r="T549" s="8"/>
      <c r="U549" s="8"/>
      <c r="V549" s="8"/>
      <c r="W549" s="8"/>
      <c r="X549" s="8"/>
      <c r="Y549" s="8"/>
      <c r="Z549" s="8"/>
    </row>
    <row r="550" spans="1:26" ht="13.15" x14ac:dyDescent="0.4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204"/>
      <c r="S550" s="8"/>
      <c r="T550" s="8"/>
      <c r="U550" s="8"/>
      <c r="V550" s="8"/>
      <c r="W550" s="8"/>
      <c r="X550" s="8"/>
      <c r="Y550" s="8"/>
      <c r="Z550" s="8"/>
    </row>
    <row r="551" spans="1:26" ht="13.15" x14ac:dyDescent="0.4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204"/>
      <c r="S551" s="8"/>
      <c r="T551" s="8"/>
      <c r="U551" s="8"/>
      <c r="V551" s="8"/>
      <c r="W551" s="8"/>
      <c r="X551" s="8"/>
      <c r="Y551" s="8"/>
      <c r="Z551" s="8"/>
    </row>
    <row r="552" spans="1:26" ht="13.15" x14ac:dyDescent="0.4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204"/>
      <c r="S552" s="8"/>
      <c r="T552" s="8"/>
      <c r="U552" s="8"/>
      <c r="V552" s="8"/>
      <c r="W552" s="8"/>
      <c r="X552" s="8"/>
      <c r="Y552" s="8"/>
      <c r="Z552" s="8"/>
    </row>
    <row r="553" spans="1:26" ht="13.15" x14ac:dyDescent="0.4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204"/>
      <c r="S553" s="8"/>
      <c r="T553" s="8"/>
      <c r="U553" s="8"/>
      <c r="V553" s="8"/>
      <c r="W553" s="8"/>
      <c r="X553" s="8"/>
      <c r="Y553" s="8"/>
      <c r="Z553" s="8"/>
    </row>
    <row r="554" spans="1:26" ht="13.15" x14ac:dyDescent="0.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204"/>
      <c r="S554" s="8"/>
      <c r="T554" s="8"/>
      <c r="U554" s="8"/>
      <c r="V554" s="8"/>
      <c r="W554" s="8"/>
      <c r="X554" s="8"/>
      <c r="Y554" s="8"/>
      <c r="Z554" s="8"/>
    </row>
    <row r="555" spans="1:26" ht="13.15" x14ac:dyDescent="0.4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204"/>
      <c r="S555" s="8"/>
      <c r="T555" s="8"/>
      <c r="U555" s="8"/>
      <c r="V555" s="8"/>
      <c r="W555" s="8"/>
      <c r="X555" s="8"/>
      <c r="Y555" s="8"/>
      <c r="Z555" s="8"/>
    </row>
    <row r="556" spans="1:26" ht="13.15" x14ac:dyDescent="0.4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204"/>
      <c r="S556" s="8"/>
      <c r="T556" s="8"/>
      <c r="U556" s="8"/>
      <c r="V556" s="8"/>
      <c r="W556" s="8"/>
      <c r="X556" s="8"/>
      <c r="Y556" s="8"/>
      <c r="Z556" s="8"/>
    </row>
    <row r="557" spans="1:26" ht="13.15" x14ac:dyDescent="0.4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204"/>
      <c r="S557" s="8"/>
      <c r="T557" s="8"/>
      <c r="U557" s="8"/>
      <c r="V557" s="8"/>
      <c r="W557" s="8"/>
      <c r="X557" s="8"/>
      <c r="Y557" s="8"/>
      <c r="Z557" s="8"/>
    </row>
    <row r="558" spans="1:26" ht="13.15" x14ac:dyDescent="0.4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204"/>
      <c r="S558" s="8"/>
      <c r="T558" s="8"/>
      <c r="U558" s="8"/>
      <c r="V558" s="8"/>
      <c r="W558" s="8"/>
      <c r="X558" s="8"/>
      <c r="Y558" s="8"/>
      <c r="Z558" s="8"/>
    </row>
    <row r="559" spans="1:26" ht="13.15" x14ac:dyDescent="0.4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204"/>
      <c r="S559" s="8"/>
      <c r="T559" s="8"/>
      <c r="U559" s="8"/>
      <c r="V559" s="8"/>
      <c r="W559" s="8"/>
      <c r="X559" s="8"/>
      <c r="Y559" s="8"/>
      <c r="Z559" s="8"/>
    </row>
    <row r="560" spans="1:26" ht="13.15" x14ac:dyDescent="0.4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204"/>
      <c r="S560" s="8"/>
      <c r="T560" s="8"/>
      <c r="U560" s="8"/>
      <c r="V560" s="8"/>
      <c r="W560" s="8"/>
      <c r="X560" s="8"/>
      <c r="Y560" s="8"/>
      <c r="Z560" s="8"/>
    </row>
    <row r="561" spans="1:26" ht="13.15" x14ac:dyDescent="0.4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204"/>
      <c r="S561" s="8"/>
      <c r="T561" s="8"/>
      <c r="U561" s="8"/>
      <c r="V561" s="8"/>
      <c r="W561" s="8"/>
      <c r="X561" s="8"/>
      <c r="Y561" s="8"/>
      <c r="Z561" s="8"/>
    </row>
    <row r="562" spans="1:26" ht="13.15" x14ac:dyDescent="0.4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204"/>
      <c r="S562" s="8"/>
      <c r="T562" s="8"/>
      <c r="U562" s="8"/>
      <c r="V562" s="8"/>
      <c r="W562" s="8"/>
      <c r="X562" s="8"/>
      <c r="Y562" s="8"/>
      <c r="Z562" s="8"/>
    </row>
    <row r="563" spans="1:26" ht="13.15" x14ac:dyDescent="0.4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204"/>
      <c r="S563" s="8"/>
      <c r="T563" s="8"/>
      <c r="U563" s="8"/>
      <c r="V563" s="8"/>
      <c r="W563" s="8"/>
      <c r="X563" s="8"/>
      <c r="Y563" s="8"/>
      <c r="Z563" s="8"/>
    </row>
    <row r="564" spans="1:26" ht="13.15" x14ac:dyDescent="0.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204"/>
      <c r="S564" s="8"/>
      <c r="T564" s="8"/>
      <c r="U564" s="8"/>
      <c r="V564" s="8"/>
      <c r="W564" s="8"/>
      <c r="X564" s="8"/>
      <c r="Y564" s="8"/>
      <c r="Z564" s="8"/>
    </row>
    <row r="565" spans="1:26" ht="13.15" x14ac:dyDescent="0.4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204"/>
      <c r="S565" s="8"/>
      <c r="T565" s="8"/>
      <c r="U565" s="8"/>
      <c r="V565" s="8"/>
      <c r="W565" s="8"/>
      <c r="X565" s="8"/>
      <c r="Y565" s="8"/>
      <c r="Z565" s="8"/>
    </row>
    <row r="566" spans="1:26" ht="13.15" x14ac:dyDescent="0.4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204"/>
      <c r="S566" s="8"/>
      <c r="T566" s="8"/>
      <c r="U566" s="8"/>
      <c r="V566" s="8"/>
      <c r="W566" s="8"/>
      <c r="X566" s="8"/>
      <c r="Y566" s="8"/>
      <c r="Z566" s="8"/>
    </row>
    <row r="567" spans="1:26" ht="13.15" x14ac:dyDescent="0.4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204"/>
      <c r="S567" s="8"/>
      <c r="T567" s="8"/>
      <c r="U567" s="8"/>
      <c r="V567" s="8"/>
      <c r="W567" s="8"/>
      <c r="X567" s="8"/>
      <c r="Y567" s="8"/>
      <c r="Z567" s="8"/>
    </row>
    <row r="568" spans="1:26" ht="13.15" x14ac:dyDescent="0.4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204"/>
      <c r="S568" s="8"/>
      <c r="T568" s="8"/>
      <c r="U568" s="8"/>
      <c r="V568" s="8"/>
      <c r="W568" s="8"/>
      <c r="X568" s="8"/>
      <c r="Y568" s="8"/>
      <c r="Z568" s="8"/>
    </row>
    <row r="569" spans="1:26" ht="13.15" x14ac:dyDescent="0.4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204"/>
      <c r="S569" s="8"/>
      <c r="T569" s="8"/>
      <c r="U569" s="8"/>
      <c r="V569" s="8"/>
      <c r="W569" s="8"/>
      <c r="X569" s="8"/>
      <c r="Y569" s="8"/>
      <c r="Z569" s="8"/>
    </row>
    <row r="570" spans="1:26" ht="13.15" x14ac:dyDescent="0.4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204"/>
      <c r="S570" s="8"/>
      <c r="T570" s="8"/>
      <c r="U570" s="8"/>
      <c r="V570" s="8"/>
      <c r="W570" s="8"/>
      <c r="X570" s="8"/>
      <c r="Y570" s="8"/>
      <c r="Z570" s="8"/>
    </row>
    <row r="571" spans="1:26" ht="13.15" x14ac:dyDescent="0.4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204"/>
      <c r="S571" s="8"/>
      <c r="T571" s="8"/>
      <c r="U571" s="8"/>
      <c r="V571" s="8"/>
      <c r="W571" s="8"/>
      <c r="X571" s="8"/>
      <c r="Y571" s="8"/>
      <c r="Z571" s="8"/>
    </row>
    <row r="572" spans="1:26" ht="13.15" x14ac:dyDescent="0.4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204"/>
      <c r="S572" s="8"/>
      <c r="T572" s="8"/>
      <c r="U572" s="8"/>
      <c r="V572" s="8"/>
      <c r="W572" s="8"/>
      <c r="X572" s="8"/>
      <c r="Y572" s="8"/>
      <c r="Z572" s="8"/>
    </row>
    <row r="573" spans="1:26" ht="13.15" x14ac:dyDescent="0.4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204"/>
      <c r="S573" s="8"/>
      <c r="T573" s="8"/>
      <c r="U573" s="8"/>
      <c r="V573" s="8"/>
      <c r="W573" s="8"/>
      <c r="X573" s="8"/>
      <c r="Y573" s="8"/>
      <c r="Z573" s="8"/>
    </row>
    <row r="574" spans="1:26" ht="13.15" x14ac:dyDescent="0.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204"/>
      <c r="S574" s="8"/>
      <c r="T574" s="8"/>
      <c r="U574" s="8"/>
      <c r="V574" s="8"/>
      <c r="W574" s="8"/>
      <c r="X574" s="8"/>
      <c r="Y574" s="8"/>
      <c r="Z574" s="8"/>
    </row>
    <row r="575" spans="1:26" ht="13.15" x14ac:dyDescent="0.4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204"/>
      <c r="S575" s="8"/>
      <c r="T575" s="8"/>
      <c r="U575" s="8"/>
      <c r="V575" s="8"/>
      <c r="W575" s="8"/>
      <c r="X575" s="8"/>
      <c r="Y575" s="8"/>
      <c r="Z575" s="8"/>
    </row>
    <row r="576" spans="1:26" ht="13.15" x14ac:dyDescent="0.4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204"/>
      <c r="S576" s="8"/>
      <c r="T576" s="8"/>
      <c r="U576" s="8"/>
      <c r="V576" s="8"/>
      <c r="W576" s="8"/>
      <c r="X576" s="8"/>
      <c r="Y576" s="8"/>
      <c r="Z576" s="8"/>
    </row>
    <row r="577" spans="1:26" ht="13.15" x14ac:dyDescent="0.4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204"/>
      <c r="S577" s="8"/>
      <c r="T577" s="8"/>
      <c r="U577" s="8"/>
      <c r="V577" s="8"/>
      <c r="W577" s="8"/>
      <c r="X577" s="8"/>
      <c r="Y577" s="8"/>
      <c r="Z577" s="8"/>
    </row>
    <row r="578" spans="1:26" ht="13.15" x14ac:dyDescent="0.4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204"/>
      <c r="S578" s="8"/>
      <c r="T578" s="8"/>
      <c r="U578" s="8"/>
      <c r="V578" s="8"/>
      <c r="W578" s="8"/>
      <c r="X578" s="8"/>
      <c r="Y578" s="8"/>
      <c r="Z578" s="8"/>
    </row>
    <row r="579" spans="1:26" ht="13.15" x14ac:dyDescent="0.4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204"/>
      <c r="S579" s="8"/>
      <c r="T579" s="8"/>
      <c r="U579" s="8"/>
      <c r="V579" s="8"/>
      <c r="W579" s="8"/>
      <c r="X579" s="8"/>
      <c r="Y579" s="8"/>
      <c r="Z579" s="8"/>
    </row>
    <row r="580" spans="1:26" ht="13.15" x14ac:dyDescent="0.4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204"/>
      <c r="S580" s="8"/>
      <c r="T580" s="8"/>
      <c r="U580" s="8"/>
      <c r="V580" s="8"/>
      <c r="W580" s="8"/>
      <c r="X580" s="8"/>
      <c r="Y580" s="8"/>
      <c r="Z580" s="8"/>
    </row>
    <row r="581" spans="1:26" ht="13.15" x14ac:dyDescent="0.4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204"/>
      <c r="S581" s="8"/>
      <c r="T581" s="8"/>
      <c r="U581" s="8"/>
      <c r="V581" s="8"/>
      <c r="W581" s="8"/>
      <c r="X581" s="8"/>
      <c r="Y581" s="8"/>
      <c r="Z581" s="8"/>
    </row>
    <row r="582" spans="1:26" ht="13.15" x14ac:dyDescent="0.4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204"/>
      <c r="S582" s="8"/>
      <c r="T582" s="8"/>
      <c r="U582" s="8"/>
      <c r="V582" s="8"/>
      <c r="W582" s="8"/>
      <c r="X582" s="8"/>
      <c r="Y582" s="8"/>
      <c r="Z582" s="8"/>
    </row>
    <row r="583" spans="1:26" ht="13.15" x14ac:dyDescent="0.4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204"/>
      <c r="S583" s="8"/>
      <c r="T583" s="8"/>
      <c r="U583" s="8"/>
      <c r="V583" s="8"/>
      <c r="W583" s="8"/>
      <c r="X583" s="8"/>
      <c r="Y583" s="8"/>
      <c r="Z583" s="8"/>
    </row>
    <row r="584" spans="1:26" ht="13.15" x14ac:dyDescent="0.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204"/>
      <c r="S584" s="8"/>
      <c r="T584" s="8"/>
      <c r="U584" s="8"/>
      <c r="V584" s="8"/>
      <c r="W584" s="8"/>
      <c r="X584" s="8"/>
      <c r="Y584" s="8"/>
      <c r="Z584" s="8"/>
    </row>
    <row r="585" spans="1:26" ht="13.15" x14ac:dyDescent="0.4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204"/>
      <c r="S585" s="8"/>
      <c r="T585" s="8"/>
      <c r="U585" s="8"/>
      <c r="V585" s="8"/>
      <c r="W585" s="8"/>
      <c r="X585" s="8"/>
      <c r="Y585" s="8"/>
      <c r="Z585" s="8"/>
    </row>
    <row r="586" spans="1:26" ht="13.15" x14ac:dyDescent="0.4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204"/>
      <c r="S586" s="8"/>
      <c r="T586" s="8"/>
      <c r="U586" s="8"/>
      <c r="V586" s="8"/>
      <c r="W586" s="8"/>
      <c r="X586" s="8"/>
      <c r="Y586" s="8"/>
      <c r="Z586" s="8"/>
    </row>
    <row r="587" spans="1:26" ht="13.15" x14ac:dyDescent="0.4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204"/>
      <c r="S587" s="8"/>
      <c r="T587" s="8"/>
      <c r="U587" s="8"/>
      <c r="V587" s="8"/>
      <c r="W587" s="8"/>
      <c r="X587" s="8"/>
      <c r="Y587" s="8"/>
      <c r="Z587" s="8"/>
    </row>
    <row r="588" spans="1:26" ht="13.15" x14ac:dyDescent="0.4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204"/>
      <c r="S588" s="8"/>
      <c r="T588" s="8"/>
      <c r="U588" s="8"/>
      <c r="V588" s="8"/>
      <c r="W588" s="8"/>
      <c r="X588" s="8"/>
      <c r="Y588" s="8"/>
      <c r="Z588" s="8"/>
    </row>
    <row r="589" spans="1:26" ht="13.15" x14ac:dyDescent="0.4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204"/>
      <c r="S589" s="8"/>
      <c r="T589" s="8"/>
      <c r="U589" s="8"/>
      <c r="V589" s="8"/>
      <c r="W589" s="8"/>
      <c r="X589" s="8"/>
      <c r="Y589" s="8"/>
      <c r="Z589" s="8"/>
    </row>
    <row r="590" spans="1:26" ht="13.15" x14ac:dyDescent="0.4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204"/>
      <c r="S590" s="8"/>
      <c r="T590" s="8"/>
      <c r="U590" s="8"/>
      <c r="V590" s="8"/>
      <c r="W590" s="8"/>
      <c r="X590" s="8"/>
      <c r="Y590" s="8"/>
      <c r="Z590" s="8"/>
    </row>
    <row r="591" spans="1:26" ht="13.15" x14ac:dyDescent="0.4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204"/>
      <c r="S591" s="8"/>
      <c r="T591" s="8"/>
      <c r="U591" s="8"/>
      <c r="V591" s="8"/>
      <c r="W591" s="8"/>
      <c r="X591" s="8"/>
      <c r="Y591" s="8"/>
      <c r="Z591" s="8"/>
    </row>
    <row r="592" spans="1:26" ht="13.15" x14ac:dyDescent="0.4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204"/>
      <c r="S592" s="8"/>
      <c r="T592" s="8"/>
      <c r="U592" s="8"/>
      <c r="V592" s="8"/>
      <c r="W592" s="8"/>
      <c r="X592" s="8"/>
      <c r="Y592" s="8"/>
      <c r="Z592" s="8"/>
    </row>
    <row r="593" spans="1:26" ht="13.15" x14ac:dyDescent="0.4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204"/>
      <c r="S593" s="8"/>
      <c r="T593" s="8"/>
      <c r="U593" s="8"/>
      <c r="V593" s="8"/>
      <c r="W593" s="8"/>
      <c r="X593" s="8"/>
      <c r="Y593" s="8"/>
      <c r="Z593" s="8"/>
    </row>
    <row r="594" spans="1:26" ht="13.15" x14ac:dyDescent="0.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204"/>
      <c r="S594" s="8"/>
      <c r="T594" s="8"/>
      <c r="U594" s="8"/>
      <c r="V594" s="8"/>
      <c r="W594" s="8"/>
      <c r="X594" s="8"/>
      <c r="Y594" s="8"/>
      <c r="Z594" s="8"/>
    </row>
    <row r="595" spans="1:26" ht="13.15" x14ac:dyDescent="0.4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204"/>
      <c r="S595" s="8"/>
      <c r="T595" s="8"/>
      <c r="U595" s="8"/>
      <c r="V595" s="8"/>
      <c r="W595" s="8"/>
      <c r="X595" s="8"/>
      <c r="Y595" s="8"/>
      <c r="Z595" s="8"/>
    </row>
    <row r="596" spans="1:26" ht="13.15" x14ac:dyDescent="0.4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204"/>
      <c r="S596" s="8"/>
      <c r="T596" s="8"/>
      <c r="U596" s="8"/>
      <c r="V596" s="8"/>
      <c r="W596" s="8"/>
      <c r="X596" s="8"/>
      <c r="Y596" s="8"/>
      <c r="Z596" s="8"/>
    </row>
    <row r="597" spans="1:26" ht="13.15" x14ac:dyDescent="0.4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204"/>
      <c r="S597" s="8"/>
      <c r="T597" s="8"/>
      <c r="U597" s="8"/>
      <c r="V597" s="8"/>
      <c r="W597" s="8"/>
      <c r="X597" s="8"/>
      <c r="Y597" s="8"/>
      <c r="Z597" s="8"/>
    </row>
    <row r="598" spans="1:26" ht="13.15" x14ac:dyDescent="0.4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204"/>
      <c r="S598" s="8"/>
      <c r="T598" s="8"/>
      <c r="U598" s="8"/>
      <c r="V598" s="8"/>
      <c r="W598" s="8"/>
      <c r="X598" s="8"/>
      <c r="Y598" s="8"/>
      <c r="Z598" s="8"/>
    </row>
    <row r="599" spans="1:26" ht="13.15" x14ac:dyDescent="0.4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204"/>
      <c r="S599" s="8"/>
      <c r="T599" s="8"/>
      <c r="U599" s="8"/>
      <c r="V599" s="8"/>
      <c r="W599" s="8"/>
      <c r="X599" s="8"/>
      <c r="Y599" s="8"/>
      <c r="Z599" s="8"/>
    </row>
    <row r="600" spans="1:26" ht="13.15" x14ac:dyDescent="0.4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204"/>
      <c r="S600" s="8"/>
      <c r="T600" s="8"/>
      <c r="U600" s="8"/>
      <c r="V600" s="8"/>
      <c r="W600" s="8"/>
      <c r="X600" s="8"/>
      <c r="Y600" s="8"/>
      <c r="Z600" s="8"/>
    </row>
    <row r="601" spans="1:26" ht="13.15" x14ac:dyDescent="0.4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204"/>
      <c r="S601" s="8"/>
      <c r="T601" s="8"/>
      <c r="U601" s="8"/>
      <c r="V601" s="8"/>
      <c r="W601" s="8"/>
      <c r="X601" s="8"/>
      <c r="Y601" s="8"/>
      <c r="Z601" s="8"/>
    </row>
    <row r="602" spans="1:26" ht="13.15" x14ac:dyDescent="0.4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204"/>
      <c r="S602" s="8"/>
      <c r="T602" s="8"/>
      <c r="U602" s="8"/>
      <c r="V602" s="8"/>
      <c r="W602" s="8"/>
      <c r="X602" s="8"/>
      <c r="Y602" s="8"/>
      <c r="Z602" s="8"/>
    </row>
    <row r="603" spans="1:26" ht="13.15" x14ac:dyDescent="0.4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204"/>
      <c r="S603" s="8"/>
      <c r="T603" s="8"/>
      <c r="U603" s="8"/>
      <c r="V603" s="8"/>
      <c r="W603" s="8"/>
      <c r="X603" s="8"/>
      <c r="Y603" s="8"/>
      <c r="Z603" s="8"/>
    </row>
    <row r="604" spans="1:26" ht="13.15" x14ac:dyDescent="0.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204"/>
      <c r="S604" s="8"/>
      <c r="T604" s="8"/>
      <c r="U604" s="8"/>
      <c r="V604" s="8"/>
      <c r="W604" s="8"/>
      <c r="X604" s="8"/>
      <c r="Y604" s="8"/>
      <c r="Z604" s="8"/>
    </row>
    <row r="605" spans="1:26" ht="13.15" x14ac:dyDescent="0.4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204"/>
      <c r="S605" s="8"/>
      <c r="T605" s="8"/>
      <c r="U605" s="8"/>
      <c r="V605" s="8"/>
      <c r="W605" s="8"/>
      <c r="X605" s="8"/>
      <c r="Y605" s="8"/>
      <c r="Z605" s="8"/>
    </row>
    <row r="606" spans="1:26" ht="13.15" x14ac:dyDescent="0.4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204"/>
      <c r="S606" s="8"/>
      <c r="T606" s="8"/>
      <c r="U606" s="8"/>
      <c r="V606" s="8"/>
      <c r="W606" s="8"/>
      <c r="X606" s="8"/>
      <c r="Y606" s="8"/>
      <c r="Z606" s="8"/>
    </row>
    <row r="607" spans="1:26" ht="13.15" x14ac:dyDescent="0.4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204"/>
      <c r="S607" s="8"/>
      <c r="T607" s="8"/>
      <c r="U607" s="8"/>
      <c r="V607" s="8"/>
      <c r="W607" s="8"/>
      <c r="X607" s="8"/>
      <c r="Y607" s="8"/>
      <c r="Z607" s="8"/>
    </row>
    <row r="608" spans="1:26" ht="13.15" x14ac:dyDescent="0.4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204"/>
      <c r="S608" s="8"/>
      <c r="T608" s="8"/>
      <c r="U608" s="8"/>
      <c r="V608" s="8"/>
      <c r="W608" s="8"/>
      <c r="X608" s="8"/>
      <c r="Y608" s="8"/>
      <c r="Z608" s="8"/>
    </row>
    <row r="609" spans="1:26" ht="13.15" x14ac:dyDescent="0.4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204"/>
      <c r="S609" s="8"/>
      <c r="T609" s="8"/>
      <c r="U609" s="8"/>
      <c r="V609" s="8"/>
      <c r="W609" s="8"/>
      <c r="X609" s="8"/>
      <c r="Y609" s="8"/>
      <c r="Z609" s="8"/>
    </row>
    <row r="610" spans="1:26" ht="13.15" x14ac:dyDescent="0.4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204"/>
      <c r="S610" s="8"/>
      <c r="T610" s="8"/>
      <c r="U610" s="8"/>
      <c r="V610" s="8"/>
      <c r="W610" s="8"/>
      <c r="X610" s="8"/>
      <c r="Y610" s="8"/>
      <c r="Z610" s="8"/>
    </row>
    <row r="611" spans="1:26" ht="13.15" x14ac:dyDescent="0.4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204"/>
      <c r="S611" s="8"/>
      <c r="T611" s="8"/>
      <c r="U611" s="8"/>
      <c r="V611" s="8"/>
      <c r="W611" s="8"/>
      <c r="X611" s="8"/>
      <c r="Y611" s="8"/>
      <c r="Z611" s="8"/>
    </row>
    <row r="612" spans="1:26" ht="13.15" x14ac:dyDescent="0.4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204"/>
      <c r="S612" s="8"/>
      <c r="T612" s="8"/>
      <c r="U612" s="8"/>
      <c r="V612" s="8"/>
      <c r="W612" s="8"/>
      <c r="X612" s="8"/>
      <c r="Y612" s="8"/>
      <c r="Z612" s="8"/>
    </row>
    <row r="613" spans="1:26" ht="13.15" x14ac:dyDescent="0.4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204"/>
      <c r="S613" s="8"/>
      <c r="T613" s="8"/>
      <c r="U613" s="8"/>
      <c r="V613" s="8"/>
      <c r="W613" s="8"/>
      <c r="X613" s="8"/>
      <c r="Y613" s="8"/>
      <c r="Z613" s="8"/>
    </row>
    <row r="614" spans="1:26" ht="13.15" x14ac:dyDescent="0.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204"/>
      <c r="S614" s="8"/>
      <c r="T614" s="8"/>
      <c r="U614" s="8"/>
      <c r="V614" s="8"/>
      <c r="W614" s="8"/>
      <c r="X614" s="8"/>
      <c r="Y614" s="8"/>
      <c r="Z614" s="8"/>
    </row>
    <row r="615" spans="1:26" ht="13.15" x14ac:dyDescent="0.4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204"/>
      <c r="S615" s="8"/>
      <c r="T615" s="8"/>
      <c r="U615" s="8"/>
      <c r="V615" s="8"/>
      <c r="W615" s="8"/>
      <c r="X615" s="8"/>
      <c r="Y615" s="8"/>
      <c r="Z615" s="8"/>
    </row>
    <row r="616" spans="1:26" ht="13.15" x14ac:dyDescent="0.4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204"/>
      <c r="S616" s="8"/>
      <c r="T616" s="8"/>
      <c r="U616" s="8"/>
      <c r="V616" s="8"/>
      <c r="W616" s="8"/>
      <c r="X616" s="8"/>
      <c r="Y616" s="8"/>
      <c r="Z616" s="8"/>
    </row>
    <row r="617" spans="1:26" ht="13.15" x14ac:dyDescent="0.4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204"/>
      <c r="S617" s="8"/>
      <c r="T617" s="8"/>
      <c r="U617" s="8"/>
      <c r="V617" s="8"/>
      <c r="W617" s="8"/>
      <c r="X617" s="8"/>
      <c r="Y617" s="8"/>
      <c r="Z617" s="8"/>
    </row>
    <row r="618" spans="1:26" ht="13.15" x14ac:dyDescent="0.4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204"/>
      <c r="S618" s="8"/>
      <c r="T618" s="8"/>
      <c r="U618" s="8"/>
      <c r="V618" s="8"/>
      <c r="W618" s="8"/>
      <c r="X618" s="8"/>
      <c r="Y618" s="8"/>
      <c r="Z618" s="8"/>
    </row>
    <row r="619" spans="1:26" ht="13.15" x14ac:dyDescent="0.4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204"/>
      <c r="S619" s="8"/>
      <c r="T619" s="8"/>
      <c r="U619" s="8"/>
      <c r="V619" s="8"/>
      <c r="W619" s="8"/>
      <c r="X619" s="8"/>
      <c r="Y619" s="8"/>
      <c r="Z619" s="8"/>
    </row>
    <row r="620" spans="1:26" ht="13.15" x14ac:dyDescent="0.4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204"/>
      <c r="S620" s="8"/>
      <c r="T620" s="8"/>
      <c r="U620" s="8"/>
      <c r="V620" s="8"/>
      <c r="W620" s="8"/>
      <c r="X620" s="8"/>
      <c r="Y620" s="8"/>
      <c r="Z620" s="8"/>
    </row>
    <row r="621" spans="1:26" ht="13.15" x14ac:dyDescent="0.4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204"/>
      <c r="S621" s="8"/>
      <c r="T621" s="8"/>
      <c r="U621" s="8"/>
      <c r="V621" s="8"/>
      <c r="W621" s="8"/>
      <c r="X621" s="8"/>
      <c r="Y621" s="8"/>
      <c r="Z621" s="8"/>
    </row>
    <row r="622" spans="1:26" ht="13.15" x14ac:dyDescent="0.4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204"/>
      <c r="S622" s="8"/>
      <c r="T622" s="8"/>
      <c r="U622" s="8"/>
      <c r="V622" s="8"/>
      <c r="W622" s="8"/>
      <c r="X622" s="8"/>
      <c r="Y622" s="8"/>
      <c r="Z622" s="8"/>
    </row>
    <row r="623" spans="1:26" ht="13.15" x14ac:dyDescent="0.4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204"/>
      <c r="S623" s="8"/>
      <c r="T623" s="8"/>
      <c r="U623" s="8"/>
      <c r="V623" s="8"/>
      <c r="W623" s="8"/>
      <c r="X623" s="8"/>
      <c r="Y623" s="8"/>
      <c r="Z623" s="8"/>
    </row>
    <row r="624" spans="1:26" ht="13.15" x14ac:dyDescent="0.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204"/>
      <c r="S624" s="8"/>
      <c r="T624" s="8"/>
      <c r="U624" s="8"/>
      <c r="V624" s="8"/>
      <c r="W624" s="8"/>
      <c r="X624" s="8"/>
      <c r="Y624" s="8"/>
      <c r="Z624" s="8"/>
    </row>
    <row r="625" spans="1:26" ht="13.15" x14ac:dyDescent="0.4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204"/>
      <c r="S625" s="8"/>
      <c r="T625" s="8"/>
      <c r="U625" s="8"/>
      <c r="V625" s="8"/>
      <c r="W625" s="8"/>
      <c r="X625" s="8"/>
      <c r="Y625" s="8"/>
      <c r="Z625" s="8"/>
    </row>
    <row r="626" spans="1:26" ht="13.15" x14ac:dyDescent="0.4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204"/>
      <c r="S626" s="8"/>
      <c r="T626" s="8"/>
      <c r="U626" s="8"/>
      <c r="V626" s="8"/>
      <c r="W626" s="8"/>
      <c r="X626" s="8"/>
      <c r="Y626" s="8"/>
      <c r="Z626" s="8"/>
    </row>
    <row r="627" spans="1:26" ht="13.15" x14ac:dyDescent="0.4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204"/>
      <c r="S627" s="8"/>
      <c r="T627" s="8"/>
      <c r="U627" s="8"/>
      <c r="V627" s="8"/>
      <c r="W627" s="8"/>
      <c r="X627" s="8"/>
      <c r="Y627" s="8"/>
      <c r="Z627" s="8"/>
    </row>
    <row r="628" spans="1:26" ht="13.15" x14ac:dyDescent="0.4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204"/>
      <c r="S628" s="8"/>
      <c r="T628" s="8"/>
      <c r="U628" s="8"/>
      <c r="V628" s="8"/>
      <c r="W628" s="8"/>
      <c r="X628" s="8"/>
      <c r="Y628" s="8"/>
      <c r="Z628" s="8"/>
    </row>
    <row r="629" spans="1:26" ht="13.15" x14ac:dyDescent="0.4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204"/>
      <c r="S629" s="8"/>
      <c r="T629" s="8"/>
      <c r="U629" s="8"/>
      <c r="V629" s="8"/>
      <c r="W629" s="8"/>
      <c r="X629" s="8"/>
      <c r="Y629" s="8"/>
      <c r="Z629" s="8"/>
    </row>
    <row r="630" spans="1:26" ht="13.15" x14ac:dyDescent="0.4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204"/>
      <c r="S630" s="8"/>
      <c r="T630" s="8"/>
      <c r="U630" s="8"/>
      <c r="V630" s="8"/>
      <c r="W630" s="8"/>
      <c r="X630" s="8"/>
      <c r="Y630" s="8"/>
      <c r="Z630" s="8"/>
    </row>
    <row r="631" spans="1:26" ht="13.15" x14ac:dyDescent="0.4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204"/>
      <c r="S631" s="8"/>
      <c r="T631" s="8"/>
      <c r="U631" s="8"/>
      <c r="V631" s="8"/>
      <c r="W631" s="8"/>
      <c r="X631" s="8"/>
      <c r="Y631" s="8"/>
      <c r="Z631" s="8"/>
    </row>
    <row r="632" spans="1:26" ht="13.15" x14ac:dyDescent="0.4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204"/>
      <c r="S632" s="8"/>
      <c r="T632" s="8"/>
      <c r="U632" s="8"/>
      <c r="V632" s="8"/>
      <c r="W632" s="8"/>
      <c r="X632" s="8"/>
      <c r="Y632" s="8"/>
      <c r="Z632" s="8"/>
    </row>
    <row r="633" spans="1:26" ht="13.15" x14ac:dyDescent="0.4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204"/>
      <c r="S633" s="8"/>
      <c r="T633" s="8"/>
      <c r="U633" s="8"/>
      <c r="V633" s="8"/>
      <c r="W633" s="8"/>
      <c r="X633" s="8"/>
      <c r="Y633" s="8"/>
      <c r="Z633" s="8"/>
    </row>
    <row r="634" spans="1:26" ht="13.15" x14ac:dyDescent="0.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204"/>
      <c r="S634" s="8"/>
      <c r="T634" s="8"/>
      <c r="U634" s="8"/>
      <c r="V634" s="8"/>
      <c r="W634" s="8"/>
      <c r="X634" s="8"/>
      <c r="Y634" s="8"/>
      <c r="Z634" s="8"/>
    </row>
    <row r="635" spans="1:26" ht="13.15" x14ac:dyDescent="0.4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204"/>
      <c r="S635" s="8"/>
      <c r="T635" s="8"/>
      <c r="U635" s="8"/>
      <c r="V635" s="8"/>
      <c r="W635" s="8"/>
      <c r="X635" s="8"/>
      <c r="Y635" s="8"/>
      <c r="Z635" s="8"/>
    </row>
    <row r="636" spans="1:26" ht="13.15" x14ac:dyDescent="0.4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204"/>
      <c r="S636" s="8"/>
      <c r="T636" s="8"/>
      <c r="U636" s="8"/>
      <c r="V636" s="8"/>
      <c r="W636" s="8"/>
      <c r="X636" s="8"/>
      <c r="Y636" s="8"/>
      <c r="Z636" s="8"/>
    </row>
    <row r="637" spans="1:26" ht="13.15" x14ac:dyDescent="0.4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204"/>
      <c r="S637" s="8"/>
      <c r="T637" s="8"/>
      <c r="U637" s="8"/>
      <c r="V637" s="8"/>
      <c r="W637" s="8"/>
      <c r="X637" s="8"/>
      <c r="Y637" s="8"/>
      <c r="Z637" s="8"/>
    </row>
    <row r="638" spans="1:26" ht="13.15" x14ac:dyDescent="0.4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204"/>
      <c r="S638" s="8"/>
      <c r="T638" s="8"/>
      <c r="U638" s="8"/>
      <c r="V638" s="8"/>
      <c r="W638" s="8"/>
      <c r="X638" s="8"/>
      <c r="Y638" s="8"/>
      <c r="Z638" s="8"/>
    </row>
    <row r="639" spans="1:26" ht="13.15" x14ac:dyDescent="0.4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204"/>
      <c r="S639" s="8"/>
      <c r="T639" s="8"/>
      <c r="U639" s="8"/>
      <c r="V639" s="8"/>
      <c r="W639" s="8"/>
      <c r="X639" s="8"/>
      <c r="Y639" s="8"/>
      <c r="Z639" s="8"/>
    </row>
    <row r="640" spans="1:26" ht="13.15" x14ac:dyDescent="0.4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204"/>
      <c r="S640" s="8"/>
      <c r="T640" s="8"/>
      <c r="U640" s="8"/>
      <c r="V640" s="8"/>
      <c r="W640" s="8"/>
      <c r="X640" s="8"/>
      <c r="Y640" s="8"/>
      <c r="Z640" s="8"/>
    </row>
    <row r="641" spans="1:26" ht="13.15" x14ac:dyDescent="0.4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204"/>
      <c r="S641" s="8"/>
      <c r="T641" s="8"/>
      <c r="U641" s="8"/>
      <c r="V641" s="8"/>
      <c r="W641" s="8"/>
      <c r="X641" s="8"/>
      <c r="Y641" s="8"/>
      <c r="Z641" s="8"/>
    </row>
    <row r="642" spans="1:26" ht="13.15" x14ac:dyDescent="0.4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204"/>
      <c r="S642" s="8"/>
      <c r="T642" s="8"/>
      <c r="U642" s="8"/>
      <c r="V642" s="8"/>
      <c r="W642" s="8"/>
      <c r="X642" s="8"/>
      <c r="Y642" s="8"/>
      <c r="Z642" s="8"/>
    </row>
    <row r="643" spans="1:26" ht="13.15" x14ac:dyDescent="0.4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204"/>
      <c r="S643" s="8"/>
      <c r="T643" s="8"/>
      <c r="U643" s="8"/>
      <c r="V643" s="8"/>
      <c r="W643" s="8"/>
      <c r="X643" s="8"/>
      <c r="Y643" s="8"/>
      <c r="Z643" s="8"/>
    </row>
    <row r="644" spans="1:26" ht="13.15" x14ac:dyDescent="0.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204"/>
      <c r="S644" s="8"/>
      <c r="T644" s="8"/>
      <c r="U644" s="8"/>
      <c r="V644" s="8"/>
      <c r="W644" s="8"/>
      <c r="X644" s="8"/>
      <c r="Y644" s="8"/>
      <c r="Z644" s="8"/>
    </row>
    <row r="645" spans="1:26" ht="13.15" x14ac:dyDescent="0.4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204"/>
      <c r="S645" s="8"/>
      <c r="T645" s="8"/>
      <c r="U645" s="8"/>
      <c r="V645" s="8"/>
      <c r="W645" s="8"/>
      <c r="X645" s="8"/>
      <c r="Y645" s="8"/>
      <c r="Z645" s="8"/>
    </row>
    <row r="646" spans="1:26" ht="13.15" x14ac:dyDescent="0.4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204"/>
      <c r="S646" s="8"/>
      <c r="T646" s="8"/>
      <c r="U646" s="8"/>
      <c r="V646" s="8"/>
      <c r="W646" s="8"/>
      <c r="X646" s="8"/>
      <c r="Y646" s="8"/>
      <c r="Z646" s="8"/>
    </row>
    <row r="647" spans="1:26" ht="13.15" x14ac:dyDescent="0.4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204"/>
      <c r="S647" s="8"/>
      <c r="T647" s="8"/>
      <c r="U647" s="8"/>
      <c r="V647" s="8"/>
      <c r="W647" s="8"/>
      <c r="X647" s="8"/>
      <c r="Y647" s="8"/>
      <c r="Z647" s="8"/>
    </row>
    <row r="648" spans="1:26" ht="13.15" x14ac:dyDescent="0.4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204"/>
      <c r="S648" s="8"/>
      <c r="T648" s="8"/>
      <c r="U648" s="8"/>
      <c r="V648" s="8"/>
      <c r="W648" s="8"/>
      <c r="X648" s="8"/>
      <c r="Y648" s="8"/>
      <c r="Z648" s="8"/>
    </row>
    <row r="649" spans="1:26" ht="13.15" x14ac:dyDescent="0.4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204"/>
      <c r="S649" s="8"/>
      <c r="T649" s="8"/>
      <c r="U649" s="8"/>
      <c r="V649" s="8"/>
      <c r="W649" s="8"/>
      <c r="X649" s="8"/>
      <c r="Y649" s="8"/>
      <c r="Z649" s="8"/>
    </row>
    <row r="650" spans="1:26" ht="13.15" x14ac:dyDescent="0.4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204"/>
      <c r="S650" s="8"/>
      <c r="T650" s="8"/>
      <c r="U650" s="8"/>
      <c r="V650" s="8"/>
      <c r="W650" s="8"/>
      <c r="X650" s="8"/>
      <c r="Y650" s="8"/>
      <c r="Z650" s="8"/>
    </row>
    <row r="651" spans="1:26" ht="13.15" x14ac:dyDescent="0.4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204"/>
      <c r="S651" s="8"/>
      <c r="T651" s="8"/>
      <c r="U651" s="8"/>
      <c r="V651" s="8"/>
      <c r="W651" s="8"/>
      <c r="X651" s="8"/>
      <c r="Y651" s="8"/>
      <c r="Z651" s="8"/>
    </row>
    <row r="652" spans="1:26" ht="13.15" x14ac:dyDescent="0.4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204"/>
      <c r="S652" s="8"/>
      <c r="T652" s="8"/>
      <c r="U652" s="8"/>
      <c r="V652" s="8"/>
      <c r="W652" s="8"/>
      <c r="X652" s="8"/>
      <c r="Y652" s="8"/>
      <c r="Z652" s="8"/>
    </row>
    <row r="653" spans="1:26" ht="13.15" x14ac:dyDescent="0.4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204"/>
      <c r="S653" s="8"/>
      <c r="T653" s="8"/>
      <c r="U653" s="8"/>
      <c r="V653" s="8"/>
      <c r="W653" s="8"/>
      <c r="X653" s="8"/>
      <c r="Y653" s="8"/>
      <c r="Z653" s="8"/>
    </row>
    <row r="654" spans="1:26" ht="13.15" x14ac:dyDescent="0.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204"/>
      <c r="S654" s="8"/>
      <c r="T654" s="8"/>
      <c r="U654" s="8"/>
      <c r="V654" s="8"/>
      <c r="W654" s="8"/>
      <c r="X654" s="8"/>
      <c r="Y654" s="8"/>
      <c r="Z654" s="8"/>
    </row>
    <row r="655" spans="1:26" ht="13.15" x14ac:dyDescent="0.4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204"/>
      <c r="S655" s="8"/>
      <c r="T655" s="8"/>
      <c r="U655" s="8"/>
      <c r="V655" s="8"/>
      <c r="W655" s="8"/>
      <c r="X655" s="8"/>
      <c r="Y655" s="8"/>
      <c r="Z655" s="8"/>
    </row>
    <row r="656" spans="1:26" ht="13.15" x14ac:dyDescent="0.4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204"/>
      <c r="S656" s="8"/>
      <c r="T656" s="8"/>
      <c r="U656" s="8"/>
      <c r="V656" s="8"/>
      <c r="W656" s="8"/>
      <c r="X656" s="8"/>
      <c r="Y656" s="8"/>
      <c r="Z656" s="8"/>
    </row>
    <row r="657" spans="1:26" ht="13.15" x14ac:dyDescent="0.4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204"/>
      <c r="S657" s="8"/>
      <c r="T657" s="8"/>
      <c r="U657" s="8"/>
      <c r="V657" s="8"/>
      <c r="W657" s="8"/>
      <c r="X657" s="8"/>
      <c r="Y657" s="8"/>
      <c r="Z657" s="8"/>
    </row>
    <row r="658" spans="1:26" ht="13.15" x14ac:dyDescent="0.4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204"/>
      <c r="S658" s="8"/>
      <c r="T658" s="8"/>
      <c r="U658" s="8"/>
      <c r="V658" s="8"/>
      <c r="W658" s="8"/>
      <c r="X658" s="8"/>
      <c r="Y658" s="8"/>
      <c r="Z658" s="8"/>
    </row>
    <row r="659" spans="1:26" ht="13.15" x14ac:dyDescent="0.4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204"/>
      <c r="S659" s="8"/>
      <c r="T659" s="8"/>
      <c r="U659" s="8"/>
      <c r="V659" s="8"/>
      <c r="W659" s="8"/>
      <c r="X659" s="8"/>
      <c r="Y659" s="8"/>
      <c r="Z659" s="8"/>
    </row>
    <row r="660" spans="1:26" ht="13.15" x14ac:dyDescent="0.4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204"/>
      <c r="S660" s="8"/>
      <c r="T660" s="8"/>
      <c r="U660" s="8"/>
      <c r="V660" s="8"/>
      <c r="W660" s="8"/>
      <c r="X660" s="8"/>
      <c r="Y660" s="8"/>
      <c r="Z660" s="8"/>
    </row>
    <row r="661" spans="1:26" ht="13.15" x14ac:dyDescent="0.4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204"/>
      <c r="S661" s="8"/>
      <c r="T661" s="8"/>
      <c r="U661" s="8"/>
      <c r="V661" s="8"/>
      <c r="W661" s="8"/>
      <c r="X661" s="8"/>
      <c r="Y661" s="8"/>
      <c r="Z661" s="8"/>
    </row>
    <row r="662" spans="1:26" ht="13.15" x14ac:dyDescent="0.4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204"/>
      <c r="S662" s="8"/>
      <c r="T662" s="8"/>
      <c r="U662" s="8"/>
      <c r="V662" s="8"/>
      <c r="W662" s="8"/>
      <c r="X662" s="8"/>
      <c r="Y662" s="8"/>
      <c r="Z662" s="8"/>
    </row>
    <row r="663" spans="1:26" ht="13.15" x14ac:dyDescent="0.4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204"/>
      <c r="S663" s="8"/>
      <c r="T663" s="8"/>
      <c r="U663" s="8"/>
      <c r="V663" s="8"/>
      <c r="W663" s="8"/>
      <c r="X663" s="8"/>
      <c r="Y663" s="8"/>
      <c r="Z663" s="8"/>
    </row>
    <row r="664" spans="1:26" ht="13.15" x14ac:dyDescent="0.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204"/>
      <c r="S664" s="8"/>
      <c r="T664" s="8"/>
      <c r="U664" s="8"/>
      <c r="V664" s="8"/>
      <c r="W664" s="8"/>
      <c r="X664" s="8"/>
      <c r="Y664" s="8"/>
      <c r="Z664" s="8"/>
    </row>
    <row r="665" spans="1:26" ht="13.15" x14ac:dyDescent="0.4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204"/>
      <c r="S665" s="8"/>
      <c r="T665" s="8"/>
      <c r="U665" s="8"/>
      <c r="V665" s="8"/>
      <c r="W665" s="8"/>
      <c r="X665" s="8"/>
      <c r="Y665" s="8"/>
      <c r="Z665" s="8"/>
    </row>
    <row r="666" spans="1:26" ht="13.15" x14ac:dyDescent="0.4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204"/>
      <c r="S666" s="8"/>
      <c r="T666" s="8"/>
      <c r="U666" s="8"/>
      <c r="V666" s="8"/>
      <c r="W666" s="8"/>
      <c r="X666" s="8"/>
      <c r="Y666" s="8"/>
      <c r="Z666" s="8"/>
    </row>
    <row r="667" spans="1:26" ht="13.15" x14ac:dyDescent="0.4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204"/>
      <c r="S667" s="8"/>
      <c r="T667" s="8"/>
      <c r="U667" s="8"/>
      <c r="V667" s="8"/>
      <c r="W667" s="8"/>
      <c r="X667" s="8"/>
      <c r="Y667" s="8"/>
      <c r="Z667" s="8"/>
    </row>
    <row r="668" spans="1:26" ht="13.15" x14ac:dyDescent="0.4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204"/>
      <c r="S668" s="8"/>
      <c r="T668" s="8"/>
      <c r="U668" s="8"/>
      <c r="V668" s="8"/>
      <c r="W668" s="8"/>
      <c r="X668" s="8"/>
      <c r="Y668" s="8"/>
      <c r="Z668" s="8"/>
    </row>
    <row r="669" spans="1:26" ht="13.15" x14ac:dyDescent="0.4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204"/>
      <c r="S669" s="8"/>
      <c r="T669" s="8"/>
      <c r="U669" s="8"/>
      <c r="V669" s="8"/>
      <c r="W669" s="8"/>
      <c r="X669" s="8"/>
      <c r="Y669" s="8"/>
      <c r="Z669" s="8"/>
    </row>
    <row r="670" spans="1:26" ht="13.15" x14ac:dyDescent="0.4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204"/>
      <c r="S670" s="8"/>
      <c r="T670" s="8"/>
      <c r="U670" s="8"/>
      <c r="V670" s="8"/>
      <c r="W670" s="8"/>
      <c r="X670" s="8"/>
      <c r="Y670" s="8"/>
      <c r="Z670" s="8"/>
    </row>
    <row r="671" spans="1:26" ht="13.15" x14ac:dyDescent="0.4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204"/>
      <c r="S671" s="8"/>
      <c r="T671" s="8"/>
      <c r="U671" s="8"/>
      <c r="V671" s="8"/>
      <c r="W671" s="8"/>
      <c r="X671" s="8"/>
      <c r="Y671" s="8"/>
      <c r="Z671" s="8"/>
    </row>
    <row r="672" spans="1:26" ht="13.15" x14ac:dyDescent="0.4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204"/>
      <c r="S672" s="8"/>
      <c r="T672" s="8"/>
      <c r="U672" s="8"/>
      <c r="V672" s="8"/>
      <c r="W672" s="8"/>
      <c r="X672" s="8"/>
      <c r="Y672" s="8"/>
      <c r="Z672" s="8"/>
    </row>
    <row r="673" spans="1:26" ht="13.15" x14ac:dyDescent="0.4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204"/>
      <c r="S673" s="8"/>
      <c r="T673" s="8"/>
      <c r="U673" s="8"/>
      <c r="V673" s="8"/>
      <c r="W673" s="8"/>
      <c r="X673" s="8"/>
      <c r="Y673" s="8"/>
      <c r="Z673" s="8"/>
    </row>
    <row r="674" spans="1:26" ht="13.15" x14ac:dyDescent="0.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204"/>
      <c r="S674" s="8"/>
      <c r="T674" s="8"/>
      <c r="U674" s="8"/>
      <c r="V674" s="8"/>
      <c r="W674" s="8"/>
      <c r="X674" s="8"/>
      <c r="Y674" s="8"/>
      <c r="Z674" s="8"/>
    </row>
    <row r="675" spans="1:26" ht="13.15" x14ac:dyDescent="0.4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204"/>
      <c r="S675" s="8"/>
      <c r="T675" s="8"/>
      <c r="U675" s="8"/>
      <c r="V675" s="8"/>
      <c r="W675" s="8"/>
      <c r="X675" s="8"/>
      <c r="Y675" s="8"/>
      <c r="Z675" s="8"/>
    </row>
    <row r="676" spans="1:26" ht="13.15" x14ac:dyDescent="0.4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204"/>
      <c r="S676" s="8"/>
      <c r="T676" s="8"/>
      <c r="U676" s="8"/>
      <c r="V676" s="8"/>
      <c r="W676" s="8"/>
      <c r="X676" s="8"/>
      <c r="Y676" s="8"/>
      <c r="Z676" s="8"/>
    </row>
    <row r="677" spans="1:26" ht="13.15" x14ac:dyDescent="0.4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204"/>
      <c r="S677" s="8"/>
      <c r="T677" s="8"/>
      <c r="U677" s="8"/>
      <c r="V677" s="8"/>
      <c r="W677" s="8"/>
      <c r="X677" s="8"/>
      <c r="Y677" s="8"/>
      <c r="Z677" s="8"/>
    </row>
    <row r="678" spans="1:26" ht="13.15" x14ac:dyDescent="0.4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204"/>
      <c r="S678" s="8"/>
      <c r="T678" s="8"/>
      <c r="U678" s="8"/>
      <c r="V678" s="8"/>
      <c r="W678" s="8"/>
      <c r="X678" s="8"/>
      <c r="Y678" s="8"/>
      <c r="Z678" s="8"/>
    </row>
    <row r="679" spans="1:26" ht="13.15" x14ac:dyDescent="0.4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204"/>
      <c r="S679" s="8"/>
      <c r="T679" s="8"/>
      <c r="U679" s="8"/>
      <c r="V679" s="8"/>
      <c r="W679" s="8"/>
      <c r="X679" s="8"/>
      <c r="Y679" s="8"/>
      <c r="Z679" s="8"/>
    </row>
    <row r="680" spans="1:26" ht="13.15" x14ac:dyDescent="0.4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204"/>
      <c r="S680" s="8"/>
      <c r="T680" s="8"/>
      <c r="U680" s="8"/>
      <c r="V680" s="8"/>
      <c r="W680" s="8"/>
      <c r="X680" s="8"/>
      <c r="Y680" s="8"/>
      <c r="Z680" s="8"/>
    </row>
    <row r="681" spans="1:26" ht="13.15" x14ac:dyDescent="0.4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204"/>
      <c r="S681" s="8"/>
      <c r="T681" s="8"/>
      <c r="U681" s="8"/>
      <c r="V681" s="8"/>
      <c r="W681" s="8"/>
      <c r="X681" s="8"/>
      <c r="Y681" s="8"/>
      <c r="Z681" s="8"/>
    </row>
    <row r="682" spans="1:26" ht="13.15" x14ac:dyDescent="0.4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204"/>
      <c r="S682" s="8"/>
      <c r="T682" s="8"/>
      <c r="U682" s="8"/>
      <c r="V682" s="8"/>
      <c r="W682" s="8"/>
      <c r="X682" s="8"/>
      <c r="Y682" s="8"/>
      <c r="Z682" s="8"/>
    </row>
    <row r="683" spans="1:26" ht="13.15" x14ac:dyDescent="0.4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204"/>
      <c r="S683" s="8"/>
      <c r="T683" s="8"/>
      <c r="U683" s="8"/>
      <c r="V683" s="8"/>
      <c r="W683" s="8"/>
      <c r="X683" s="8"/>
      <c r="Y683" s="8"/>
      <c r="Z683" s="8"/>
    </row>
    <row r="684" spans="1:26" ht="13.15" x14ac:dyDescent="0.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204"/>
      <c r="S684" s="8"/>
      <c r="T684" s="8"/>
      <c r="U684" s="8"/>
      <c r="V684" s="8"/>
      <c r="W684" s="8"/>
      <c r="X684" s="8"/>
      <c r="Y684" s="8"/>
      <c r="Z684" s="8"/>
    </row>
    <row r="685" spans="1:26" ht="13.15" x14ac:dyDescent="0.4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204"/>
      <c r="S685" s="8"/>
      <c r="T685" s="8"/>
      <c r="U685" s="8"/>
      <c r="V685" s="8"/>
      <c r="W685" s="8"/>
      <c r="X685" s="8"/>
      <c r="Y685" s="8"/>
      <c r="Z685" s="8"/>
    </row>
    <row r="686" spans="1:26" ht="13.15" x14ac:dyDescent="0.4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204"/>
      <c r="S686" s="8"/>
      <c r="T686" s="8"/>
      <c r="U686" s="8"/>
      <c r="V686" s="8"/>
      <c r="W686" s="8"/>
      <c r="X686" s="8"/>
      <c r="Y686" s="8"/>
      <c r="Z686" s="8"/>
    </row>
    <row r="687" spans="1:26" ht="13.15" x14ac:dyDescent="0.4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204"/>
      <c r="S687" s="8"/>
      <c r="T687" s="8"/>
      <c r="U687" s="8"/>
      <c r="V687" s="8"/>
      <c r="W687" s="8"/>
      <c r="X687" s="8"/>
      <c r="Y687" s="8"/>
      <c r="Z687" s="8"/>
    </row>
    <row r="688" spans="1:26" ht="13.15" x14ac:dyDescent="0.4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204"/>
      <c r="S688" s="8"/>
      <c r="T688" s="8"/>
      <c r="U688" s="8"/>
      <c r="V688" s="8"/>
      <c r="W688" s="8"/>
      <c r="X688" s="8"/>
      <c r="Y688" s="8"/>
      <c r="Z688" s="8"/>
    </row>
    <row r="689" spans="1:26" ht="13.15" x14ac:dyDescent="0.4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204"/>
      <c r="S689" s="8"/>
      <c r="T689" s="8"/>
      <c r="U689" s="8"/>
      <c r="V689" s="8"/>
      <c r="W689" s="8"/>
      <c r="X689" s="8"/>
      <c r="Y689" s="8"/>
      <c r="Z689" s="8"/>
    </row>
    <row r="690" spans="1:26" ht="13.15" x14ac:dyDescent="0.4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204"/>
      <c r="S690" s="8"/>
      <c r="T690" s="8"/>
      <c r="U690" s="8"/>
      <c r="V690" s="8"/>
      <c r="W690" s="8"/>
      <c r="X690" s="8"/>
      <c r="Y690" s="8"/>
      <c r="Z690" s="8"/>
    </row>
    <row r="691" spans="1:26" ht="13.15" x14ac:dyDescent="0.4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204"/>
      <c r="S691" s="8"/>
      <c r="T691" s="8"/>
      <c r="U691" s="8"/>
      <c r="V691" s="8"/>
      <c r="W691" s="8"/>
      <c r="X691" s="8"/>
      <c r="Y691" s="8"/>
      <c r="Z691" s="8"/>
    </row>
    <row r="692" spans="1:26" ht="13.15" x14ac:dyDescent="0.4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204"/>
      <c r="S692" s="8"/>
      <c r="T692" s="8"/>
      <c r="U692" s="8"/>
      <c r="V692" s="8"/>
      <c r="W692" s="8"/>
      <c r="X692" s="8"/>
      <c r="Y692" s="8"/>
      <c r="Z692" s="8"/>
    </row>
    <row r="693" spans="1:26" ht="13.15" x14ac:dyDescent="0.4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204"/>
      <c r="S693" s="8"/>
      <c r="T693" s="8"/>
      <c r="U693" s="8"/>
      <c r="V693" s="8"/>
      <c r="W693" s="8"/>
      <c r="X693" s="8"/>
      <c r="Y693" s="8"/>
      <c r="Z693" s="8"/>
    </row>
    <row r="694" spans="1:26" ht="13.15" x14ac:dyDescent="0.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204"/>
      <c r="S694" s="8"/>
      <c r="T694" s="8"/>
      <c r="U694" s="8"/>
      <c r="V694" s="8"/>
      <c r="W694" s="8"/>
      <c r="X694" s="8"/>
      <c r="Y694" s="8"/>
      <c r="Z694" s="8"/>
    </row>
    <row r="695" spans="1:26" ht="13.15" x14ac:dyDescent="0.4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204"/>
      <c r="S695" s="8"/>
      <c r="T695" s="8"/>
      <c r="U695" s="8"/>
      <c r="V695" s="8"/>
      <c r="W695" s="8"/>
      <c r="X695" s="8"/>
      <c r="Y695" s="8"/>
      <c r="Z695" s="8"/>
    </row>
    <row r="696" spans="1:26" ht="13.15" x14ac:dyDescent="0.4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204"/>
      <c r="S696" s="8"/>
      <c r="T696" s="8"/>
      <c r="U696" s="8"/>
      <c r="V696" s="8"/>
      <c r="W696" s="8"/>
      <c r="X696" s="8"/>
      <c r="Y696" s="8"/>
      <c r="Z696" s="8"/>
    </row>
    <row r="697" spans="1:26" ht="13.15" x14ac:dyDescent="0.4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204"/>
      <c r="S697" s="8"/>
      <c r="T697" s="8"/>
      <c r="U697" s="8"/>
      <c r="V697" s="8"/>
      <c r="W697" s="8"/>
      <c r="X697" s="8"/>
      <c r="Y697" s="8"/>
      <c r="Z697" s="8"/>
    </row>
    <row r="698" spans="1:26" ht="13.15" x14ac:dyDescent="0.4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204"/>
      <c r="S698" s="8"/>
      <c r="T698" s="8"/>
      <c r="U698" s="8"/>
      <c r="V698" s="8"/>
      <c r="W698" s="8"/>
      <c r="X698" s="8"/>
      <c r="Y698" s="8"/>
      <c r="Z698" s="8"/>
    </row>
    <row r="699" spans="1:26" ht="13.15" x14ac:dyDescent="0.4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204"/>
      <c r="S699" s="8"/>
      <c r="T699" s="8"/>
      <c r="U699" s="8"/>
      <c r="V699" s="8"/>
      <c r="W699" s="8"/>
      <c r="X699" s="8"/>
      <c r="Y699" s="8"/>
      <c r="Z699" s="8"/>
    </row>
    <row r="700" spans="1:26" ht="13.15" x14ac:dyDescent="0.4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204"/>
      <c r="S700" s="8"/>
      <c r="T700" s="8"/>
      <c r="U700" s="8"/>
      <c r="V700" s="8"/>
      <c r="W700" s="8"/>
      <c r="X700" s="8"/>
      <c r="Y700" s="8"/>
      <c r="Z700" s="8"/>
    </row>
    <row r="701" spans="1:26" ht="13.15" x14ac:dyDescent="0.4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204"/>
      <c r="S701" s="8"/>
      <c r="T701" s="8"/>
      <c r="U701" s="8"/>
      <c r="V701" s="8"/>
      <c r="W701" s="8"/>
      <c r="X701" s="8"/>
      <c r="Y701" s="8"/>
      <c r="Z701" s="8"/>
    </row>
    <row r="702" spans="1:26" ht="13.15" x14ac:dyDescent="0.4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204"/>
      <c r="S702" s="8"/>
      <c r="T702" s="8"/>
      <c r="U702" s="8"/>
      <c r="V702" s="8"/>
      <c r="W702" s="8"/>
      <c r="X702" s="8"/>
      <c r="Y702" s="8"/>
      <c r="Z702" s="8"/>
    </row>
    <row r="703" spans="1:26" ht="13.15" x14ac:dyDescent="0.4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204"/>
      <c r="S703" s="8"/>
      <c r="T703" s="8"/>
      <c r="U703" s="8"/>
      <c r="V703" s="8"/>
      <c r="W703" s="8"/>
      <c r="X703" s="8"/>
      <c r="Y703" s="8"/>
      <c r="Z703" s="8"/>
    </row>
    <row r="704" spans="1:26" ht="13.15" x14ac:dyDescent="0.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204"/>
      <c r="S704" s="8"/>
      <c r="T704" s="8"/>
      <c r="U704" s="8"/>
      <c r="V704" s="8"/>
      <c r="W704" s="8"/>
      <c r="X704" s="8"/>
      <c r="Y704" s="8"/>
      <c r="Z704" s="8"/>
    </row>
    <row r="705" spans="1:26" ht="13.15" x14ac:dyDescent="0.4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204"/>
      <c r="S705" s="8"/>
      <c r="T705" s="8"/>
      <c r="U705" s="8"/>
      <c r="V705" s="8"/>
      <c r="W705" s="8"/>
      <c r="X705" s="8"/>
      <c r="Y705" s="8"/>
      <c r="Z705" s="8"/>
    </row>
    <row r="706" spans="1:26" ht="13.15" x14ac:dyDescent="0.4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204"/>
      <c r="S706" s="8"/>
      <c r="T706" s="8"/>
      <c r="U706" s="8"/>
      <c r="V706" s="8"/>
      <c r="W706" s="8"/>
      <c r="X706" s="8"/>
      <c r="Y706" s="8"/>
      <c r="Z706" s="8"/>
    </row>
    <row r="707" spans="1:26" ht="13.15" x14ac:dyDescent="0.4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204"/>
      <c r="S707" s="8"/>
      <c r="T707" s="8"/>
      <c r="U707" s="8"/>
      <c r="V707" s="8"/>
      <c r="W707" s="8"/>
      <c r="X707" s="8"/>
      <c r="Y707" s="8"/>
      <c r="Z707" s="8"/>
    </row>
    <row r="708" spans="1:26" ht="13.15" x14ac:dyDescent="0.4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204"/>
      <c r="S708" s="8"/>
      <c r="T708" s="8"/>
      <c r="U708" s="8"/>
      <c r="V708" s="8"/>
      <c r="W708" s="8"/>
      <c r="X708" s="8"/>
      <c r="Y708" s="8"/>
      <c r="Z708" s="8"/>
    </row>
    <row r="709" spans="1:26" ht="13.15" x14ac:dyDescent="0.4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204"/>
      <c r="S709" s="8"/>
      <c r="T709" s="8"/>
      <c r="U709" s="8"/>
      <c r="V709" s="8"/>
      <c r="W709" s="8"/>
      <c r="X709" s="8"/>
      <c r="Y709" s="8"/>
      <c r="Z709" s="8"/>
    </row>
    <row r="710" spans="1:26" ht="13.15" x14ac:dyDescent="0.4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204"/>
      <c r="S710" s="8"/>
      <c r="T710" s="8"/>
      <c r="U710" s="8"/>
      <c r="V710" s="8"/>
      <c r="W710" s="8"/>
      <c r="X710" s="8"/>
      <c r="Y710" s="8"/>
      <c r="Z710" s="8"/>
    </row>
    <row r="711" spans="1:26" ht="13.15" x14ac:dyDescent="0.4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204"/>
      <c r="S711" s="8"/>
      <c r="T711" s="8"/>
      <c r="U711" s="8"/>
      <c r="V711" s="8"/>
      <c r="W711" s="8"/>
      <c r="X711" s="8"/>
      <c r="Y711" s="8"/>
      <c r="Z711" s="8"/>
    </row>
    <row r="712" spans="1:26" ht="13.15" x14ac:dyDescent="0.4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204"/>
      <c r="S712" s="8"/>
      <c r="T712" s="8"/>
      <c r="U712" s="8"/>
      <c r="V712" s="8"/>
      <c r="W712" s="8"/>
      <c r="X712" s="8"/>
      <c r="Y712" s="8"/>
      <c r="Z712" s="8"/>
    </row>
    <row r="713" spans="1:26" ht="13.15" x14ac:dyDescent="0.4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204"/>
      <c r="S713" s="8"/>
      <c r="T713" s="8"/>
      <c r="U713" s="8"/>
      <c r="V713" s="8"/>
      <c r="W713" s="8"/>
      <c r="X713" s="8"/>
      <c r="Y713" s="8"/>
      <c r="Z713" s="8"/>
    </row>
    <row r="714" spans="1:26" ht="13.15" x14ac:dyDescent="0.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204"/>
      <c r="S714" s="8"/>
      <c r="T714" s="8"/>
      <c r="U714" s="8"/>
      <c r="V714" s="8"/>
      <c r="W714" s="8"/>
      <c r="X714" s="8"/>
      <c r="Y714" s="8"/>
      <c r="Z714" s="8"/>
    </row>
    <row r="715" spans="1:26" ht="13.15" x14ac:dyDescent="0.4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204"/>
      <c r="S715" s="8"/>
      <c r="T715" s="8"/>
      <c r="U715" s="8"/>
      <c r="V715" s="8"/>
      <c r="W715" s="8"/>
      <c r="X715" s="8"/>
      <c r="Y715" s="8"/>
      <c r="Z715" s="8"/>
    </row>
    <row r="716" spans="1:26" ht="13.15" x14ac:dyDescent="0.4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204"/>
      <c r="S716" s="8"/>
      <c r="T716" s="8"/>
      <c r="U716" s="8"/>
      <c r="V716" s="8"/>
      <c r="W716" s="8"/>
      <c r="X716" s="8"/>
      <c r="Y716" s="8"/>
      <c r="Z716" s="8"/>
    </row>
    <row r="717" spans="1:26" ht="13.15" x14ac:dyDescent="0.4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204"/>
      <c r="S717" s="8"/>
      <c r="T717" s="8"/>
      <c r="U717" s="8"/>
      <c r="V717" s="8"/>
      <c r="W717" s="8"/>
      <c r="X717" s="8"/>
      <c r="Y717" s="8"/>
      <c r="Z717" s="8"/>
    </row>
    <row r="718" spans="1:26" ht="13.15" x14ac:dyDescent="0.4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204"/>
      <c r="S718" s="8"/>
      <c r="T718" s="8"/>
      <c r="U718" s="8"/>
      <c r="V718" s="8"/>
      <c r="W718" s="8"/>
      <c r="X718" s="8"/>
      <c r="Y718" s="8"/>
      <c r="Z718" s="8"/>
    </row>
    <row r="719" spans="1:26" ht="13.15" x14ac:dyDescent="0.4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204"/>
      <c r="S719" s="8"/>
      <c r="T719" s="8"/>
      <c r="U719" s="8"/>
      <c r="V719" s="8"/>
      <c r="W719" s="8"/>
      <c r="X719" s="8"/>
      <c r="Y719" s="8"/>
      <c r="Z719" s="8"/>
    </row>
    <row r="720" spans="1:26" ht="13.15" x14ac:dyDescent="0.4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204"/>
      <c r="S720" s="8"/>
      <c r="T720" s="8"/>
      <c r="U720" s="8"/>
      <c r="V720" s="8"/>
      <c r="W720" s="8"/>
      <c r="X720" s="8"/>
      <c r="Y720" s="8"/>
      <c r="Z720" s="8"/>
    </row>
    <row r="721" spans="1:26" ht="13.15" x14ac:dyDescent="0.4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204"/>
      <c r="S721" s="8"/>
      <c r="T721" s="8"/>
      <c r="U721" s="8"/>
      <c r="V721" s="8"/>
      <c r="W721" s="8"/>
      <c r="X721" s="8"/>
      <c r="Y721" s="8"/>
      <c r="Z721" s="8"/>
    </row>
    <row r="722" spans="1:26" ht="13.15" x14ac:dyDescent="0.4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204"/>
      <c r="S722" s="8"/>
      <c r="T722" s="8"/>
      <c r="U722" s="8"/>
      <c r="V722" s="8"/>
      <c r="W722" s="8"/>
      <c r="X722" s="8"/>
      <c r="Y722" s="8"/>
      <c r="Z722" s="8"/>
    </row>
    <row r="723" spans="1:26" ht="13.15" x14ac:dyDescent="0.4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204"/>
      <c r="S723" s="8"/>
      <c r="T723" s="8"/>
      <c r="U723" s="8"/>
      <c r="V723" s="8"/>
      <c r="W723" s="8"/>
      <c r="X723" s="8"/>
      <c r="Y723" s="8"/>
      <c r="Z723" s="8"/>
    </row>
    <row r="724" spans="1:26" ht="13.15" x14ac:dyDescent="0.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204"/>
      <c r="S724" s="8"/>
      <c r="T724" s="8"/>
      <c r="U724" s="8"/>
      <c r="V724" s="8"/>
      <c r="W724" s="8"/>
      <c r="X724" s="8"/>
      <c r="Y724" s="8"/>
      <c r="Z724" s="8"/>
    </row>
    <row r="725" spans="1:26" ht="13.15" x14ac:dyDescent="0.4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204"/>
      <c r="S725" s="8"/>
      <c r="T725" s="8"/>
      <c r="U725" s="8"/>
      <c r="V725" s="8"/>
      <c r="W725" s="8"/>
      <c r="X725" s="8"/>
      <c r="Y725" s="8"/>
      <c r="Z725" s="8"/>
    </row>
    <row r="726" spans="1:26" ht="13.15" x14ac:dyDescent="0.4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204"/>
      <c r="S726" s="8"/>
      <c r="T726" s="8"/>
      <c r="U726" s="8"/>
      <c r="V726" s="8"/>
      <c r="W726" s="8"/>
      <c r="X726" s="8"/>
      <c r="Y726" s="8"/>
      <c r="Z726" s="8"/>
    </row>
    <row r="727" spans="1:26" ht="13.15" x14ac:dyDescent="0.4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204"/>
      <c r="S727" s="8"/>
      <c r="T727" s="8"/>
      <c r="U727" s="8"/>
      <c r="V727" s="8"/>
      <c r="W727" s="8"/>
      <c r="X727" s="8"/>
      <c r="Y727" s="8"/>
      <c r="Z727" s="8"/>
    </row>
    <row r="728" spans="1:26" ht="13.15" x14ac:dyDescent="0.4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204"/>
      <c r="S728" s="8"/>
      <c r="T728" s="8"/>
      <c r="U728" s="8"/>
      <c r="V728" s="8"/>
      <c r="W728" s="8"/>
      <c r="X728" s="8"/>
      <c r="Y728" s="8"/>
      <c r="Z728" s="8"/>
    </row>
    <row r="729" spans="1:26" ht="13.15" x14ac:dyDescent="0.4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204"/>
      <c r="S729" s="8"/>
      <c r="T729" s="8"/>
      <c r="U729" s="8"/>
      <c r="V729" s="8"/>
      <c r="W729" s="8"/>
      <c r="X729" s="8"/>
      <c r="Y729" s="8"/>
      <c r="Z729" s="8"/>
    </row>
    <row r="730" spans="1:26" ht="13.15" x14ac:dyDescent="0.4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204"/>
      <c r="S730" s="8"/>
      <c r="T730" s="8"/>
      <c r="U730" s="8"/>
      <c r="V730" s="8"/>
      <c r="W730" s="8"/>
      <c r="X730" s="8"/>
      <c r="Y730" s="8"/>
      <c r="Z730" s="8"/>
    </row>
    <row r="731" spans="1:26" ht="13.15" x14ac:dyDescent="0.4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204"/>
      <c r="S731" s="8"/>
      <c r="T731" s="8"/>
      <c r="U731" s="8"/>
      <c r="V731" s="8"/>
      <c r="W731" s="8"/>
      <c r="X731" s="8"/>
      <c r="Y731" s="8"/>
      <c r="Z731" s="8"/>
    </row>
    <row r="732" spans="1:26" ht="13.15" x14ac:dyDescent="0.4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204"/>
      <c r="S732" s="8"/>
      <c r="T732" s="8"/>
      <c r="U732" s="8"/>
      <c r="V732" s="8"/>
      <c r="W732" s="8"/>
      <c r="X732" s="8"/>
      <c r="Y732" s="8"/>
      <c r="Z732" s="8"/>
    </row>
    <row r="733" spans="1:26" ht="13.15" x14ac:dyDescent="0.4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204"/>
      <c r="S733" s="8"/>
      <c r="T733" s="8"/>
      <c r="U733" s="8"/>
      <c r="V733" s="8"/>
      <c r="W733" s="8"/>
      <c r="X733" s="8"/>
      <c r="Y733" s="8"/>
      <c r="Z733" s="8"/>
    </row>
    <row r="734" spans="1:26" ht="13.15" x14ac:dyDescent="0.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204"/>
      <c r="S734" s="8"/>
      <c r="T734" s="8"/>
      <c r="U734" s="8"/>
      <c r="V734" s="8"/>
      <c r="W734" s="8"/>
      <c r="X734" s="8"/>
      <c r="Y734" s="8"/>
      <c r="Z734" s="8"/>
    </row>
    <row r="735" spans="1:26" ht="13.15" x14ac:dyDescent="0.4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204"/>
      <c r="S735" s="8"/>
      <c r="T735" s="8"/>
      <c r="U735" s="8"/>
      <c r="V735" s="8"/>
      <c r="W735" s="8"/>
      <c r="X735" s="8"/>
      <c r="Y735" s="8"/>
      <c r="Z735" s="8"/>
    </row>
    <row r="736" spans="1:26" ht="13.15" x14ac:dyDescent="0.4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204"/>
      <c r="S736" s="8"/>
      <c r="T736" s="8"/>
      <c r="U736" s="8"/>
      <c r="V736" s="8"/>
      <c r="W736" s="8"/>
      <c r="X736" s="8"/>
      <c r="Y736" s="8"/>
      <c r="Z736" s="8"/>
    </row>
    <row r="737" spans="1:26" ht="13.15" x14ac:dyDescent="0.4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204"/>
      <c r="S737" s="8"/>
      <c r="T737" s="8"/>
      <c r="U737" s="8"/>
      <c r="V737" s="8"/>
      <c r="W737" s="8"/>
      <c r="X737" s="8"/>
      <c r="Y737" s="8"/>
      <c r="Z737" s="8"/>
    </row>
    <row r="738" spans="1:26" ht="13.15" x14ac:dyDescent="0.4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204"/>
      <c r="S738" s="8"/>
      <c r="T738" s="8"/>
      <c r="U738" s="8"/>
      <c r="V738" s="8"/>
      <c r="W738" s="8"/>
      <c r="X738" s="8"/>
      <c r="Y738" s="8"/>
      <c r="Z738" s="8"/>
    </row>
    <row r="739" spans="1:26" ht="13.15" x14ac:dyDescent="0.4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204"/>
      <c r="S739" s="8"/>
      <c r="T739" s="8"/>
      <c r="U739" s="8"/>
      <c r="V739" s="8"/>
      <c r="W739" s="8"/>
      <c r="X739" s="8"/>
      <c r="Y739" s="8"/>
      <c r="Z739" s="8"/>
    </row>
    <row r="740" spans="1:26" ht="13.15" x14ac:dyDescent="0.4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204"/>
      <c r="S740" s="8"/>
      <c r="T740" s="8"/>
      <c r="U740" s="8"/>
      <c r="V740" s="8"/>
      <c r="W740" s="8"/>
      <c r="X740" s="8"/>
      <c r="Y740" s="8"/>
      <c r="Z740" s="8"/>
    </row>
    <row r="741" spans="1:26" ht="13.15" x14ac:dyDescent="0.4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204"/>
      <c r="S741" s="8"/>
      <c r="T741" s="8"/>
      <c r="U741" s="8"/>
      <c r="V741" s="8"/>
      <c r="W741" s="8"/>
      <c r="X741" s="8"/>
      <c r="Y741" s="8"/>
      <c r="Z741" s="8"/>
    </row>
    <row r="742" spans="1:26" ht="13.15" x14ac:dyDescent="0.4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204"/>
      <c r="S742" s="8"/>
      <c r="T742" s="8"/>
      <c r="U742" s="8"/>
      <c r="V742" s="8"/>
      <c r="W742" s="8"/>
      <c r="X742" s="8"/>
      <c r="Y742" s="8"/>
      <c r="Z742" s="8"/>
    </row>
    <row r="743" spans="1:26" ht="13.15" x14ac:dyDescent="0.4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204"/>
      <c r="S743" s="8"/>
      <c r="T743" s="8"/>
      <c r="U743" s="8"/>
      <c r="V743" s="8"/>
      <c r="W743" s="8"/>
      <c r="X743" s="8"/>
      <c r="Y743" s="8"/>
      <c r="Z743" s="8"/>
    </row>
    <row r="744" spans="1:26" ht="13.15" x14ac:dyDescent="0.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204"/>
      <c r="S744" s="8"/>
      <c r="T744" s="8"/>
      <c r="U744" s="8"/>
      <c r="V744" s="8"/>
      <c r="W744" s="8"/>
      <c r="X744" s="8"/>
      <c r="Y744" s="8"/>
      <c r="Z744" s="8"/>
    </row>
    <row r="745" spans="1:26" ht="13.15" x14ac:dyDescent="0.4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204"/>
      <c r="S745" s="8"/>
      <c r="T745" s="8"/>
      <c r="U745" s="8"/>
      <c r="V745" s="8"/>
      <c r="W745" s="8"/>
      <c r="X745" s="8"/>
      <c r="Y745" s="8"/>
      <c r="Z745" s="8"/>
    </row>
    <row r="746" spans="1:26" ht="13.15" x14ac:dyDescent="0.4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204"/>
      <c r="S746" s="8"/>
      <c r="T746" s="8"/>
      <c r="U746" s="8"/>
      <c r="V746" s="8"/>
      <c r="W746" s="8"/>
      <c r="X746" s="8"/>
      <c r="Y746" s="8"/>
      <c r="Z746" s="8"/>
    </row>
    <row r="747" spans="1:26" ht="13.15" x14ac:dyDescent="0.4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204"/>
      <c r="S747" s="8"/>
      <c r="T747" s="8"/>
      <c r="U747" s="8"/>
      <c r="V747" s="8"/>
      <c r="W747" s="8"/>
      <c r="X747" s="8"/>
      <c r="Y747" s="8"/>
      <c r="Z747" s="8"/>
    </row>
    <row r="748" spans="1:26" ht="13.15" x14ac:dyDescent="0.4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204"/>
      <c r="S748" s="8"/>
      <c r="T748" s="8"/>
      <c r="U748" s="8"/>
      <c r="V748" s="8"/>
      <c r="W748" s="8"/>
      <c r="X748" s="8"/>
      <c r="Y748" s="8"/>
      <c r="Z748" s="8"/>
    </row>
    <row r="749" spans="1:26" ht="13.15" x14ac:dyDescent="0.4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204"/>
      <c r="S749" s="8"/>
      <c r="T749" s="8"/>
      <c r="U749" s="8"/>
      <c r="V749" s="8"/>
      <c r="W749" s="8"/>
      <c r="X749" s="8"/>
      <c r="Y749" s="8"/>
      <c r="Z749" s="8"/>
    </row>
    <row r="750" spans="1:26" ht="13.15" x14ac:dyDescent="0.4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204"/>
      <c r="S750" s="8"/>
      <c r="T750" s="8"/>
      <c r="U750" s="8"/>
      <c r="V750" s="8"/>
      <c r="W750" s="8"/>
      <c r="X750" s="8"/>
      <c r="Y750" s="8"/>
      <c r="Z750" s="8"/>
    </row>
    <row r="751" spans="1:26" ht="13.15" x14ac:dyDescent="0.4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204"/>
      <c r="S751" s="8"/>
      <c r="T751" s="8"/>
      <c r="U751" s="8"/>
      <c r="V751" s="8"/>
      <c r="W751" s="8"/>
      <c r="X751" s="8"/>
      <c r="Y751" s="8"/>
      <c r="Z751" s="8"/>
    </row>
    <row r="752" spans="1:26" ht="13.15" x14ac:dyDescent="0.4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204"/>
      <c r="S752" s="8"/>
      <c r="T752" s="8"/>
      <c r="U752" s="8"/>
      <c r="V752" s="8"/>
      <c r="W752" s="8"/>
      <c r="X752" s="8"/>
      <c r="Y752" s="8"/>
      <c r="Z752" s="8"/>
    </row>
    <row r="753" spans="1:26" ht="13.15" x14ac:dyDescent="0.4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204"/>
      <c r="S753" s="8"/>
      <c r="T753" s="8"/>
      <c r="U753" s="8"/>
      <c r="V753" s="8"/>
      <c r="W753" s="8"/>
      <c r="X753" s="8"/>
      <c r="Y753" s="8"/>
      <c r="Z753" s="8"/>
    </row>
    <row r="754" spans="1:26" ht="13.15" x14ac:dyDescent="0.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204"/>
      <c r="S754" s="8"/>
      <c r="T754" s="8"/>
      <c r="U754" s="8"/>
      <c r="V754" s="8"/>
      <c r="W754" s="8"/>
      <c r="X754" s="8"/>
      <c r="Y754" s="8"/>
      <c r="Z754" s="8"/>
    </row>
    <row r="755" spans="1:26" ht="13.15" x14ac:dyDescent="0.4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204"/>
      <c r="S755" s="8"/>
      <c r="T755" s="8"/>
      <c r="U755" s="8"/>
      <c r="V755" s="8"/>
      <c r="W755" s="8"/>
      <c r="X755" s="8"/>
      <c r="Y755" s="8"/>
      <c r="Z755" s="8"/>
    </row>
    <row r="756" spans="1:26" ht="13.15" x14ac:dyDescent="0.4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204"/>
      <c r="S756" s="8"/>
      <c r="T756" s="8"/>
      <c r="U756" s="8"/>
      <c r="V756" s="8"/>
      <c r="W756" s="8"/>
      <c r="X756" s="8"/>
      <c r="Y756" s="8"/>
      <c r="Z756" s="8"/>
    </row>
    <row r="757" spans="1:26" ht="13.15" x14ac:dyDescent="0.4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204"/>
      <c r="S757" s="8"/>
      <c r="T757" s="8"/>
      <c r="U757" s="8"/>
      <c r="V757" s="8"/>
      <c r="W757" s="8"/>
      <c r="X757" s="8"/>
      <c r="Y757" s="8"/>
      <c r="Z757" s="8"/>
    </row>
    <row r="758" spans="1:26" ht="13.15" x14ac:dyDescent="0.4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204"/>
      <c r="S758" s="8"/>
      <c r="T758" s="8"/>
      <c r="U758" s="8"/>
      <c r="V758" s="8"/>
      <c r="W758" s="8"/>
      <c r="X758" s="8"/>
      <c r="Y758" s="8"/>
      <c r="Z758" s="8"/>
    </row>
    <row r="759" spans="1:26" ht="13.15" x14ac:dyDescent="0.4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204"/>
      <c r="S759" s="8"/>
      <c r="T759" s="8"/>
      <c r="U759" s="8"/>
      <c r="V759" s="8"/>
      <c r="W759" s="8"/>
      <c r="X759" s="8"/>
      <c r="Y759" s="8"/>
      <c r="Z759" s="8"/>
    </row>
    <row r="760" spans="1:26" ht="13.15" x14ac:dyDescent="0.4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204"/>
      <c r="S760" s="8"/>
      <c r="T760" s="8"/>
      <c r="U760" s="8"/>
      <c r="V760" s="8"/>
      <c r="W760" s="8"/>
      <c r="X760" s="8"/>
      <c r="Y760" s="8"/>
      <c r="Z760" s="8"/>
    </row>
    <row r="761" spans="1:26" ht="13.15" x14ac:dyDescent="0.4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204"/>
      <c r="S761" s="8"/>
      <c r="T761" s="8"/>
      <c r="U761" s="8"/>
      <c r="V761" s="8"/>
      <c r="W761" s="8"/>
      <c r="X761" s="8"/>
      <c r="Y761" s="8"/>
      <c r="Z761" s="8"/>
    </row>
    <row r="762" spans="1:26" ht="13.15" x14ac:dyDescent="0.4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204"/>
      <c r="S762" s="8"/>
      <c r="T762" s="8"/>
      <c r="U762" s="8"/>
      <c r="V762" s="8"/>
      <c r="W762" s="8"/>
      <c r="X762" s="8"/>
      <c r="Y762" s="8"/>
      <c r="Z762" s="8"/>
    </row>
    <row r="763" spans="1:26" ht="13.15" x14ac:dyDescent="0.4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204"/>
      <c r="S763" s="8"/>
      <c r="T763" s="8"/>
      <c r="U763" s="8"/>
      <c r="V763" s="8"/>
      <c r="W763" s="8"/>
      <c r="X763" s="8"/>
      <c r="Y763" s="8"/>
      <c r="Z763" s="8"/>
    </row>
    <row r="764" spans="1:26" ht="13.15" x14ac:dyDescent="0.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204"/>
      <c r="S764" s="8"/>
      <c r="T764" s="8"/>
      <c r="U764" s="8"/>
      <c r="V764" s="8"/>
      <c r="W764" s="8"/>
      <c r="X764" s="8"/>
      <c r="Y764" s="8"/>
      <c r="Z764" s="8"/>
    </row>
    <row r="765" spans="1:26" ht="13.15" x14ac:dyDescent="0.4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204"/>
      <c r="S765" s="8"/>
      <c r="T765" s="8"/>
      <c r="U765" s="8"/>
      <c r="V765" s="8"/>
      <c r="W765" s="8"/>
      <c r="X765" s="8"/>
      <c r="Y765" s="8"/>
      <c r="Z765" s="8"/>
    </row>
    <row r="766" spans="1:26" ht="13.15" x14ac:dyDescent="0.4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204"/>
      <c r="S766" s="8"/>
      <c r="T766" s="8"/>
      <c r="U766" s="8"/>
      <c r="V766" s="8"/>
      <c r="W766" s="8"/>
      <c r="X766" s="8"/>
      <c r="Y766" s="8"/>
      <c r="Z766" s="8"/>
    </row>
    <row r="767" spans="1:26" ht="13.15" x14ac:dyDescent="0.4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204"/>
      <c r="S767" s="8"/>
      <c r="T767" s="8"/>
      <c r="U767" s="8"/>
      <c r="V767" s="8"/>
      <c r="W767" s="8"/>
      <c r="X767" s="8"/>
      <c r="Y767" s="8"/>
      <c r="Z767" s="8"/>
    </row>
    <row r="768" spans="1:26" ht="13.15" x14ac:dyDescent="0.4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204"/>
      <c r="S768" s="8"/>
      <c r="T768" s="8"/>
      <c r="U768" s="8"/>
      <c r="V768" s="8"/>
      <c r="W768" s="8"/>
      <c r="X768" s="8"/>
      <c r="Y768" s="8"/>
      <c r="Z768" s="8"/>
    </row>
    <row r="769" spans="1:26" ht="13.15" x14ac:dyDescent="0.4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204"/>
      <c r="S769" s="8"/>
      <c r="T769" s="8"/>
      <c r="U769" s="8"/>
      <c r="V769" s="8"/>
      <c r="W769" s="8"/>
      <c r="X769" s="8"/>
      <c r="Y769" s="8"/>
      <c r="Z769" s="8"/>
    </row>
    <row r="770" spans="1:26" ht="13.15" x14ac:dyDescent="0.4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204"/>
      <c r="S770" s="8"/>
      <c r="T770" s="8"/>
      <c r="U770" s="8"/>
      <c r="V770" s="8"/>
      <c r="W770" s="8"/>
      <c r="X770" s="8"/>
      <c r="Y770" s="8"/>
      <c r="Z770" s="8"/>
    </row>
    <row r="771" spans="1:26" ht="13.15" x14ac:dyDescent="0.4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204"/>
      <c r="S771" s="8"/>
      <c r="T771" s="8"/>
      <c r="U771" s="8"/>
      <c r="V771" s="8"/>
      <c r="W771" s="8"/>
      <c r="X771" s="8"/>
      <c r="Y771" s="8"/>
      <c r="Z771" s="8"/>
    </row>
    <row r="772" spans="1:26" ht="13.15" x14ac:dyDescent="0.4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204"/>
      <c r="S772" s="8"/>
      <c r="T772" s="8"/>
      <c r="U772" s="8"/>
      <c r="V772" s="8"/>
      <c r="W772" s="8"/>
      <c r="X772" s="8"/>
      <c r="Y772" s="8"/>
      <c r="Z772" s="8"/>
    </row>
    <row r="773" spans="1:26" ht="13.15" x14ac:dyDescent="0.4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204"/>
      <c r="S773" s="8"/>
      <c r="T773" s="8"/>
      <c r="U773" s="8"/>
      <c r="V773" s="8"/>
      <c r="W773" s="8"/>
      <c r="X773" s="8"/>
      <c r="Y773" s="8"/>
      <c r="Z773" s="8"/>
    </row>
    <row r="774" spans="1:26" ht="13.15" x14ac:dyDescent="0.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204"/>
      <c r="S774" s="8"/>
      <c r="T774" s="8"/>
      <c r="U774" s="8"/>
      <c r="V774" s="8"/>
      <c r="W774" s="8"/>
      <c r="X774" s="8"/>
      <c r="Y774" s="8"/>
      <c r="Z774" s="8"/>
    </row>
    <row r="775" spans="1:26" ht="13.15" x14ac:dyDescent="0.4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204"/>
      <c r="S775" s="8"/>
      <c r="T775" s="8"/>
      <c r="U775" s="8"/>
      <c r="V775" s="8"/>
      <c r="W775" s="8"/>
      <c r="X775" s="8"/>
      <c r="Y775" s="8"/>
      <c r="Z775" s="8"/>
    </row>
    <row r="776" spans="1:26" ht="13.15" x14ac:dyDescent="0.4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204"/>
      <c r="S776" s="8"/>
      <c r="T776" s="8"/>
      <c r="U776" s="8"/>
      <c r="V776" s="8"/>
      <c r="W776" s="8"/>
      <c r="X776" s="8"/>
      <c r="Y776" s="8"/>
      <c r="Z776" s="8"/>
    </row>
    <row r="777" spans="1:26" ht="13.15" x14ac:dyDescent="0.4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204"/>
      <c r="S777" s="8"/>
      <c r="T777" s="8"/>
      <c r="U777" s="8"/>
      <c r="V777" s="8"/>
      <c r="W777" s="8"/>
      <c r="X777" s="8"/>
      <c r="Y777" s="8"/>
      <c r="Z777" s="8"/>
    </row>
    <row r="778" spans="1:26" ht="13.15" x14ac:dyDescent="0.4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204"/>
      <c r="S778" s="8"/>
      <c r="T778" s="8"/>
      <c r="U778" s="8"/>
      <c r="V778" s="8"/>
      <c r="W778" s="8"/>
      <c r="X778" s="8"/>
      <c r="Y778" s="8"/>
      <c r="Z778" s="8"/>
    </row>
    <row r="779" spans="1:26" ht="13.15" x14ac:dyDescent="0.4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204"/>
      <c r="S779" s="8"/>
      <c r="T779" s="8"/>
      <c r="U779" s="8"/>
      <c r="V779" s="8"/>
      <c r="W779" s="8"/>
      <c r="X779" s="8"/>
      <c r="Y779" s="8"/>
      <c r="Z779" s="8"/>
    </row>
    <row r="780" spans="1:26" ht="13.15" x14ac:dyDescent="0.4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204"/>
      <c r="S780" s="8"/>
      <c r="T780" s="8"/>
      <c r="U780" s="8"/>
      <c r="V780" s="8"/>
      <c r="W780" s="8"/>
      <c r="X780" s="8"/>
      <c r="Y780" s="8"/>
      <c r="Z780" s="8"/>
    </row>
    <row r="781" spans="1:26" ht="13.15" x14ac:dyDescent="0.4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204"/>
      <c r="S781" s="8"/>
      <c r="T781" s="8"/>
      <c r="U781" s="8"/>
      <c r="V781" s="8"/>
      <c r="W781" s="8"/>
      <c r="X781" s="8"/>
      <c r="Y781" s="8"/>
      <c r="Z781" s="8"/>
    </row>
    <row r="782" spans="1:26" ht="13.15" x14ac:dyDescent="0.4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204"/>
      <c r="S782" s="8"/>
      <c r="T782" s="8"/>
      <c r="U782" s="8"/>
      <c r="V782" s="8"/>
      <c r="W782" s="8"/>
      <c r="X782" s="8"/>
      <c r="Y782" s="8"/>
      <c r="Z782" s="8"/>
    </row>
    <row r="783" spans="1:26" ht="13.15" x14ac:dyDescent="0.4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204"/>
      <c r="S783" s="8"/>
      <c r="T783" s="8"/>
      <c r="U783" s="8"/>
      <c r="V783" s="8"/>
      <c r="W783" s="8"/>
      <c r="X783" s="8"/>
      <c r="Y783" s="8"/>
      <c r="Z783" s="8"/>
    </row>
    <row r="784" spans="1:26" ht="13.15" x14ac:dyDescent="0.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204"/>
      <c r="S784" s="8"/>
      <c r="T784" s="8"/>
      <c r="U784" s="8"/>
      <c r="V784" s="8"/>
      <c r="W784" s="8"/>
      <c r="X784" s="8"/>
      <c r="Y784" s="8"/>
      <c r="Z784" s="8"/>
    </row>
    <row r="785" spans="1:26" ht="13.15" x14ac:dyDescent="0.4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204"/>
      <c r="S785" s="8"/>
      <c r="T785" s="8"/>
      <c r="U785" s="8"/>
      <c r="V785" s="8"/>
      <c r="W785" s="8"/>
      <c r="X785" s="8"/>
      <c r="Y785" s="8"/>
      <c r="Z785" s="8"/>
    </row>
    <row r="786" spans="1:26" ht="13.15" x14ac:dyDescent="0.4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204"/>
      <c r="S786" s="8"/>
      <c r="T786" s="8"/>
      <c r="U786" s="8"/>
      <c r="V786" s="8"/>
      <c r="W786" s="8"/>
      <c r="X786" s="8"/>
      <c r="Y786" s="8"/>
      <c r="Z786" s="8"/>
    </row>
    <row r="787" spans="1:26" ht="13.15" x14ac:dyDescent="0.4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204"/>
      <c r="S787" s="8"/>
      <c r="T787" s="8"/>
      <c r="U787" s="8"/>
      <c r="V787" s="8"/>
      <c r="W787" s="8"/>
      <c r="X787" s="8"/>
      <c r="Y787" s="8"/>
      <c r="Z787" s="8"/>
    </row>
    <row r="788" spans="1:26" ht="13.15" x14ac:dyDescent="0.4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204"/>
      <c r="S788" s="8"/>
      <c r="T788" s="8"/>
      <c r="U788" s="8"/>
      <c r="V788" s="8"/>
      <c r="W788" s="8"/>
      <c r="X788" s="8"/>
      <c r="Y788" s="8"/>
      <c r="Z788" s="8"/>
    </row>
    <row r="789" spans="1:26" ht="13.15" x14ac:dyDescent="0.4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204"/>
      <c r="S789" s="8"/>
      <c r="T789" s="8"/>
      <c r="U789" s="8"/>
      <c r="V789" s="8"/>
      <c r="W789" s="8"/>
      <c r="X789" s="8"/>
      <c r="Y789" s="8"/>
      <c r="Z789" s="8"/>
    </row>
    <row r="790" spans="1:26" ht="13.15" x14ac:dyDescent="0.4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204"/>
      <c r="S790" s="8"/>
      <c r="T790" s="8"/>
      <c r="U790" s="8"/>
      <c r="V790" s="8"/>
      <c r="W790" s="8"/>
      <c r="X790" s="8"/>
      <c r="Y790" s="8"/>
      <c r="Z790" s="8"/>
    </row>
    <row r="791" spans="1:26" ht="13.15" x14ac:dyDescent="0.4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204"/>
      <c r="S791" s="8"/>
      <c r="T791" s="8"/>
      <c r="U791" s="8"/>
      <c r="V791" s="8"/>
      <c r="W791" s="8"/>
      <c r="X791" s="8"/>
      <c r="Y791" s="8"/>
      <c r="Z791" s="8"/>
    </row>
    <row r="792" spans="1:26" ht="13.15" x14ac:dyDescent="0.4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204"/>
      <c r="S792" s="8"/>
      <c r="T792" s="8"/>
      <c r="U792" s="8"/>
      <c r="V792" s="8"/>
      <c r="W792" s="8"/>
      <c r="X792" s="8"/>
      <c r="Y792" s="8"/>
      <c r="Z792" s="8"/>
    </row>
    <row r="793" spans="1:26" ht="13.15" x14ac:dyDescent="0.4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204"/>
      <c r="S793" s="8"/>
      <c r="T793" s="8"/>
      <c r="U793" s="8"/>
      <c r="V793" s="8"/>
      <c r="W793" s="8"/>
      <c r="X793" s="8"/>
      <c r="Y793" s="8"/>
      <c r="Z793" s="8"/>
    </row>
    <row r="794" spans="1:26" ht="13.15" x14ac:dyDescent="0.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204"/>
      <c r="S794" s="8"/>
      <c r="T794" s="8"/>
      <c r="U794" s="8"/>
      <c r="V794" s="8"/>
      <c r="W794" s="8"/>
      <c r="X794" s="8"/>
      <c r="Y794" s="8"/>
      <c r="Z794" s="8"/>
    </row>
    <row r="795" spans="1:26" ht="13.15" x14ac:dyDescent="0.4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204"/>
      <c r="S795" s="8"/>
      <c r="T795" s="8"/>
      <c r="U795" s="8"/>
      <c r="V795" s="8"/>
      <c r="W795" s="8"/>
      <c r="X795" s="8"/>
      <c r="Y795" s="8"/>
      <c r="Z795" s="8"/>
    </row>
    <row r="796" spans="1:26" ht="13.15" x14ac:dyDescent="0.4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204"/>
      <c r="S796" s="8"/>
      <c r="T796" s="8"/>
      <c r="U796" s="8"/>
      <c r="V796" s="8"/>
      <c r="W796" s="8"/>
      <c r="X796" s="8"/>
      <c r="Y796" s="8"/>
      <c r="Z796" s="8"/>
    </row>
    <row r="797" spans="1:26" ht="13.15" x14ac:dyDescent="0.4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204"/>
      <c r="S797" s="8"/>
      <c r="T797" s="8"/>
      <c r="U797" s="8"/>
      <c r="V797" s="8"/>
      <c r="W797" s="8"/>
      <c r="X797" s="8"/>
      <c r="Y797" s="8"/>
      <c r="Z797" s="8"/>
    </row>
    <row r="798" spans="1:26" ht="13.15" x14ac:dyDescent="0.4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204"/>
      <c r="S798" s="8"/>
      <c r="T798" s="8"/>
      <c r="U798" s="8"/>
      <c r="V798" s="8"/>
      <c r="W798" s="8"/>
      <c r="X798" s="8"/>
      <c r="Y798" s="8"/>
      <c r="Z798" s="8"/>
    </row>
    <row r="799" spans="1:26" ht="13.15" x14ac:dyDescent="0.4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204"/>
      <c r="S799" s="8"/>
      <c r="T799" s="8"/>
      <c r="U799" s="8"/>
      <c r="V799" s="8"/>
      <c r="W799" s="8"/>
      <c r="X799" s="8"/>
      <c r="Y799" s="8"/>
      <c r="Z799" s="8"/>
    </row>
    <row r="800" spans="1:26" ht="13.15" x14ac:dyDescent="0.4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204"/>
      <c r="S800" s="8"/>
      <c r="T800" s="8"/>
      <c r="U800" s="8"/>
      <c r="V800" s="8"/>
      <c r="W800" s="8"/>
      <c r="X800" s="8"/>
      <c r="Y800" s="8"/>
      <c r="Z800" s="8"/>
    </row>
    <row r="801" spans="1:26" ht="13.15" x14ac:dyDescent="0.4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204"/>
      <c r="S801" s="8"/>
      <c r="T801" s="8"/>
      <c r="U801" s="8"/>
      <c r="V801" s="8"/>
      <c r="W801" s="8"/>
      <c r="X801" s="8"/>
      <c r="Y801" s="8"/>
      <c r="Z801" s="8"/>
    </row>
    <row r="802" spans="1:26" ht="13.15" x14ac:dyDescent="0.4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204"/>
      <c r="S802" s="8"/>
      <c r="T802" s="8"/>
      <c r="U802" s="8"/>
      <c r="V802" s="8"/>
      <c r="W802" s="8"/>
      <c r="X802" s="8"/>
      <c r="Y802" s="8"/>
      <c r="Z802" s="8"/>
    </row>
    <row r="803" spans="1:26" ht="13.15" x14ac:dyDescent="0.4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204"/>
      <c r="S803" s="8"/>
      <c r="T803" s="8"/>
      <c r="U803" s="8"/>
      <c r="V803" s="8"/>
      <c r="W803" s="8"/>
      <c r="X803" s="8"/>
      <c r="Y803" s="8"/>
      <c r="Z803" s="8"/>
    </row>
    <row r="804" spans="1:26" ht="13.15" x14ac:dyDescent="0.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204"/>
      <c r="S804" s="8"/>
      <c r="T804" s="8"/>
      <c r="U804" s="8"/>
      <c r="V804" s="8"/>
      <c r="W804" s="8"/>
      <c r="X804" s="8"/>
      <c r="Y804" s="8"/>
      <c r="Z804" s="8"/>
    </row>
    <row r="805" spans="1:26" ht="13.15" x14ac:dyDescent="0.4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204"/>
      <c r="S805" s="8"/>
      <c r="T805" s="8"/>
      <c r="U805" s="8"/>
      <c r="V805" s="8"/>
      <c r="W805" s="8"/>
      <c r="X805" s="8"/>
      <c r="Y805" s="8"/>
      <c r="Z805" s="8"/>
    </row>
    <row r="806" spans="1:26" ht="13.15" x14ac:dyDescent="0.4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204"/>
      <c r="S806" s="8"/>
      <c r="T806" s="8"/>
      <c r="U806" s="8"/>
      <c r="V806" s="8"/>
      <c r="W806" s="8"/>
      <c r="X806" s="8"/>
      <c r="Y806" s="8"/>
      <c r="Z806" s="8"/>
    </row>
    <row r="807" spans="1:26" ht="13.15" x14ac:dyDescent="0.4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204"/>
      <c r="S807" s="8"/>
      <c r="T807" s="8"/>
      <c r="U807" s="8"/>
      <c r="V807" s="8"/>
      <c r="W807" s="8"/>
      <c r="X807" s="8"/>
      <c r="Y807" s="8"/>
      <c r="Z807" s="8"/>
    </row>
    <row r="808" spans="1:26" ht="13.15" x14ac:dyDescent="0.4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204"/>
      <c r="S808" s="8"/>
      <c r="T808" s="8"/>
      <c r="U808" s="8"/>
      <c r="V808" s="8"/>
      <c r="W808" s="8"/>
      <c r="X808" s="8"/>
      <c r="Y808" s="8"/>
      <c r="Z808" s="8"/>
    </row>
    <row r="809" spans="1:26" ht="13.15" x14ac:dyDescent="0.4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204"/>
      <c r="S809" s="8"/>
      <c r="T809" s="8"/>
      <c r="U809" s="8"/>
      <c r="V809" s="8"/>
      <c r="W809" s="8"/>
      <c r="X809" s="8"/>
      <c r="Y809" s="8"/>
      <c r="Z809" s="8"/>
    </row>
    <row r="810" spans="1:26" ht="13.15" x14ac:dyDescent="0.4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204"/>
      <c r="S810" s="8"/>
      <c r="T810" s="8"/>
      <c r="U810" s="8"/>
      <c r="V810" s="8"/>
      <c r="W810" s="8"/>
      <c r="X810" s="8"/>
      <c r="Y810" s="8"/>
      <c r="Z810" s="8"/>
    </row>
    <row r="811" spans="1:26" ht="13.15" x14ac:dyDescent="0.4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204"/>
      <c r="S811" s="8"/>
      <c r="T811" s="8"/>
      <c r="U811" s="8"/>
      <c r="V811" s="8"/>
      <c r="W811" s="8"/>
      <c r="X811" s="8"/>
      <c r="Y811" s="8"/>
      <c r="Z811" s="8"/>
    </row>
    <row r="812" spans="1:26" ht="13.15" x14ac:dyDescent="0.4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204"/>
      <c r="S812" s="8"/>
      <c r="T812" s="8"/>
      <c r="U812" s="8"/>
      <c r="V812" s="8"/>
      <c r="W812" s="8"/>
      <c r="X812" s="8"/>
      <c r="Y812" s="8"/>
      <c r="Z812" s="8"/>
    </row>
    <row r="813" spans="1:26" ht="13.15" x14ac:dyDescent="0.4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204"/>
      <c r="S813" s="8"/>
      <c r="T813" s="8"/>
      <c r="U813" s="8"/>
      <c r="V813" s="8"/>
      <c r="W813" s="8"/>
      <c r="X813" s="8"/>
      <c r="Y813" s="8"/>
      <c r="Z813" s="8"/>
    </row>
    <row r="814" spans="1:26" ht="13.15" x14ac:dyDescent="0.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204"/>
      <c r="S814" s="8"/>
      <c r="T814" s="8"/>
      <c r="U814" s="8"/>
      <c r="V814" s="8"/>
      <c r="W814" s="8"/>
      <c r="X814" s="8"/>
      <c r="Y814" s="8"/>
      <c r="Z814" s="8"/>
    </row>
    <row r="815" spans="1:26" ht="13.15" x14ac:dyDescent="0.4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204"/>
      <c r="S815" s="8"/>
      <c r="T815" s="8"/>
      <c r="U815" s="8"/>
      <c r="V815" s="8"/>
      <c r="W815" s="8"/>
      <c r="X815" s="8"/>
      <c r="Y815" s="8"/>
      <c r="Z815" s="8"/>
    </row>
    <row r="816" spans="1:26" ht="13.15" x14ac:dyDescent="0.4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204"/>
      <c r="S816" s="8"/>
      <c r="T816" s="8"/>
      <c r="U816" s="8"/>
      <c r="V816" s="8"/>
      <c r="W816" s="8"/>
      <c r="X816" s="8"/>
      <c r="Y816" s="8"/>
      <c r="Z816" s="8"/>
    </row>
    <row r="817" spans="1:26" ht="13.15" x14ac:dyDescent="0.4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204"/>
      <c r="S817" s="8"/>
      <c r="T817" s="8"/>
      <c r="U817" s="8"/>
      <c r="V817" s="8"/>
      <c r="W817" s="8"/>
      <c r="X817" s="8"/>
      <c r="Y817" s="8"/>
      <c r="Z817" s="8"/>
    </row>
    <row r="818" spans="1:26" ht="13.15" x14ac:dyDescent="0.4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204"/>
      <c r="S818" s="8"/>
      <c r="T818" s="8"/>
      <c r="U818" s="8"/>
      <c r="V818" s="8"/>
      <c r="W818" s="8"/>
      <c r="X818" s="8"/>
      <c r="Y818" s="8"/>
      <c r="Z818" s="8"/>
    </row>
    <row r="819" spans="1:26" ht="13.15" x14ac:dyDescent="0.4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204"/>
      <c r="S819" s="8"/>
      <c r="T819" s="8"/>
      <c r="U819" s="8"/>
      <c r="V819" s="8"/>
      <c r="W819" s="8"/>
      <c r="X819" s="8"/>
      <c r="Y819" s="8"/>
      <c r="Z819" s="8"/>
    </row>
    <row r="820" spans="1:26" ht="13.15" x14ac:dyDescent="0.4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204"/>
      <c r="S820" s="8"/>
      <c r="T820" s="8"/>
      <c r="U820" s="8"/>
      <c r="V820" s="8"/>
      <c r="W820" s="8"/>
      <c r="X820" s="8"/>
      <c r="Y820" s="8"/>
      <c r="Z820" s="8"/>
    </row>
    <row r="821" spans="1:26" ht="13.15" x14ac:dyDescent="0.4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204"/>
      <c r="S821" s="8"/>
      <c r="T821" s="8"/>
      <c r="U821" s="8"/>
      <c r="V821" s="8"/>
      <c r="W821" s="8"/>
      <c r="X821" s="8"/>
      <c r="Y821" s="8"/>
      <c r="Z821" s="8"/>
    </row>
    <row r="822" spans="1:26" ht="13.15" x14ac:dyDescent="0.4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204"/>
      <c r="S822" s="8"/>
      <c r="T822" s="8"/>
      <c r="U822" s="8"/>
      <c r="V822" s="8"/>
      <c r="W822" s="8"/>
      <c r="X822" s="8"/>
      <c r="Y822" s="8"/>
      <c r="Z822" s="8"/>
    </row>
    <row r="823" spans="1:26" ht="13.15" x14ac:dyDescent="0.4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204"/>
      <c r="S823" s="8"/>
      <c r="T823" s="8"/>
      <c r="U823" s="8"/>
      <c r="V823" s="8"/>
      <c r="W823" s="8"/>
      <c r="X823" s="8"/>
      <c r="Y823" s="8"/>
      <c r="Z823" s="8"/>
    </row>
    <row r="824" spans="1:26" ht="13.15" x14ac:dyDescent="0.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204"/>
      <c r="S824" s="8"/>
      <c r="T824" s="8"/>
      <c r="U824" s="8"/>
      <c r="V824" s="8"/>
      <c r="W824" s="8"/>
      <c r="X824" s="8"/>
      <c r="Y824" s="8"/>
      <c r="Z824" s="8"/>
    </row>
    <row r="825" spans="1:26" ht="13.15" x14ac:dyDescent="0.4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204"/>
      <c r="S825" s="8"/>
      <c r="T825" s="8"/>
      <c r="U825" s="8"/>
      <c r="V825" s="8"/>
      <c r="W825" s="8"/>
      <c r="X825" s="8"/>
      <c r="Y825" s="8"/>
      <c r="Z825" s="8"/>
    </row>
    <row r="826" spans="1:26" ht="13.15" x14ac:dyDescent="0.4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204"/>
      <c r="S826" s="8"/>
      <c r="T826" s="8"/>
      <c r="U826" s="8"/>
      <c r="V826" s="8"/>
      <c r="W826" s="8"/>
      <c r="X826" s="8"/>
      <c r="Y826" s="8"/>
      <c r="Z826" s="8"/>
    </row>
    <row r="827" spans="1:26" ht="13.15" x14ac:dyDescent="0.4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204"/>
      <c r="S827" s="8"/>
      <c r="T827" s="8"/>
      <c r="U827" s="8"/>
      <c r="V827" s="8"/>
      <c r="W827" s="8"/>
      <c r="X827" s="8"/>
      <c r="Y827" s="8"/>
      <c r="Z827" s="8"/>
    </row>
    <row r="828" spans="1:26" ht="13.15" x14ac:dyDescent="0.4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204"/>
      <c r="S828" s="8"/>
      <c r="T828" s="8"/>
      <c r="U828" s="8"/>
      <c r="V828" s="8"/>
      <c r="W828" s="8"/>
      <c r="X828" s="8"/>
      <c r="Y828" s="8"/>
      <c r="Z828" s="8"/>
    </row>
    <row r="829" spans="1:26" ht="13.15" x14ac:dyDescent="0.4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204"/>
      <c r="S829" s="8"/>
      <c r="T829" s="8"/>
      <c r="U829" s="8"/>
      <c r="V829" s="8"/>
      <c r="W829" s="8"/>
      <c r="X829" s="8"/>
      <c r="Y829" s="8"/>
      <c r="Z829" s="8"/>
    </row>
    <row r="830" spans="1:26" ht="13.15" x14ac:dyDescent="0.4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204"/>
      <c r="S830" s="8"/>
      <c r="T830" s="8"/>
      <c r="U830" s="8"/>
      <c r="V830" s="8"/>
      <c r="W830" s="8"/>
      <c r="X830" s="8"/>
      <c r="Y830" s="8"/>
      <c r="Z830" s="8"/>
    </row>
    <row r="831" spans="1:26" ht="13.15" x14ac:dyDescent="0.4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204"/>
      <c r="S831" s="8"/>
      <c r="T831" s="8"/>
      <c r="U831" s="8"/>
      <c r="V831" s="8"/>
      <c r="W831" s="8"/>
      <c r="X831" s="8"/>
      <c r="Y831" s="8"/>
      <c r="Z831" s="8"/>
    </row>
    <row r="832" spans="1:26" ht="13.15" x14ac:dyDescent="0.4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204"/>
      <c r="S832" s="8"/>
      <c r="T832" s="8"/>
      <c r="U832" s="8"/>
      <c r="V832" s="8"/>
      <c r="W832" s="8"/>
      <c r="X832" s="8"/>
      <c r="Y832" s="8"/>
      <c r="Z832" s="8"/>
    </row>
    <row r="833" spans="1:26" ht="13.15" x14ac:dyDescent="0.4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204"/>
      <c r="S833" s="8"/>
      <c r="T833" s="8"/>
      <c r="U833" s="8"/>
      <c r="V833" s="8"/>
      <c r="W833" s="8"/>
      <c r="X833" s="8"/>
      <c r="Y833" s="8"/>
      <c r="Z833" s="8"/>
    </row>
    <row r="834" spans="1:26" ht="13.15" x14ac:dyDescent="0.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204"/>
      <c r="S834" s="8"/>
      <c r="T834" s="8"/>
      <c r="U834" s="8"/>
      <c r="V834" s="8"/>
      <c r="W834" s="8"/>
      <c r="X834" s="8"/>
      <c r="Y834" s="8"/>
      <c r="Z834" s="8"/>
    </row>
    <row r="835" spans="1:26" ht="13.15" x14ac:dyDescent="0.4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204"/>
      <c r="S835" s="8"/>
      <c r="T835" s="8"/>
      <c r="U835" s="8"/>
      <c r="V835" s="8"/>
      <c r="W835" s="8"/>
      <c r="X835" s="8"/>
      <c r="Y835" s="8"/>
      <c r="Z835" s="8"/>
    </row>
    <row r="836" spans="1:26" ht="13.15" x14ac:dyDescent="0.4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204"/>
      <c r="S836" s="8"/>
      <c r="T836" s="8"/>
      <c r="U836" s="8"/>
      <c r="V836" s="8"/>
      <c r="W836" s="8"/>
      <c r="X836" s="8"/>
      <c r="Y836" s="8"/>
      <c r="Z836" s="8"/>
    </row>
    <row r="837" spans="1:26" ht="13.15" x14ac:dyDescent="0.4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204"/>
      <c r="S837" s="8"/>
      <c r="T837" s="8"/>
      <c r="U837" s="8"/>
      <c r="V837" s="8"/>
      <c r="W837" s="8"/>
      <c r="X837" s="8"/>
      <c r="Y837" s="8"/>
      <c r="Z837" s="8"/>
    </row>
    <row r="838" spans="1:26" ht="13.15" x14ac:dyDescent="0.4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204"/>
      <c r="S838" s="8"/>
      <c r="T838" s="8"/>
      <c r="U838" s="8"/>
      <c r="V838" s="8"/>
      <c r="W838" s="8"/>
      <c r="X838" s="8"/>
      <c r="Y838" s="8"/>
      <c r="Z838" s="8"/>
    </row>
    <row r="839" spans="1:26" ht="13.15" x14ac:dyDescent="0.4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204"/>
      <c r="S839" s="8"/>
      <c r="T839" s="8"/>
      <c r="U839" s="8"/>
      <c r="V839" s="8"/>
      <c r="W839" s="8"/>
      <c r="X839" s="8"/>
      <c r="Y839" s="8"/>
      <c r="Z839" s="8"/>
    </row>
    <row r="840" spans="1:26" ht="13.15" x14ac:dyDescent="0.4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204"/>
      <c r="S840" s="8"/>
      <c r="T840" s="8"/>
      <c r="U840" s="8"/>
      <c r="V840" s="8"/>
      <c r="W840" s="8"/>
      <c r="X840" s="8"/>
      <c r="Y840" s="8"/>
      <c r="Z840" s="8"/>
    </row>
    <row r="841" spans="1:26" ht="13.15" x14ac:dyDescent="0.4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204"/>
      <c r="S841" s="8"/>
      <c r="T841" s="8"/>
      <c r="U841" s="8"/>
      <c r="V841" s="8"/>
      <c r="W841" s="8"/>
      <c r="X841" s="8"/>
      <c r="Y841" s="8"/>
      <c r="Z841" s="8"/>
    </row>
    <row r="842" spans="1:26" ht="13.15" x14ac:dyDescent="0.4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204"/>
      <c r="S842" s="8"/>
      <c r="T842" s="8"/>
      <c r="U842" s="8"/>
      <c r="V842" s="8"/>
      <c r="W842" s="8"/>
      <c r="X842" s="8"/>
      <c r="Y842" s="8"/>
      <c r="Z842" s="8"/>
    </row>
    <row r="843" spans="1:26" ht="13.15" x14ac:dyDescent="0.4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204"/>
      <c r="S843" s="8"/>
      <c r="T843" s="8"/>
      <c r="U843" s="8"/>
      <c r="V843" s="8"/>
      <c r="W843" s="8"/>
      <c r="X843" s="8"/>
      <c r="Y843" s="8"/>
      <c r="Z843" s="8"/>
    </row>
    <row r="844" spans="1:26" ht="13.15" x14ac:dyDescent="0.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204"/>
      <c r="S844" s="8"/>
      <c r="T844" s="8"/>
      <c r="U844" s="8"/>
      <c r="V844" s="8"/>
      <c r="W844" s="8"/>
      <c r="X844" s="8"/>
      <c r="Y844" s="8"/>
      <c r="Z844" s="8"/>
    </row>
    <row r="845" spans="1:26" ht="13.15" x14ac:dyDescent="0.4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204"/>
      <c r="S845" s="8"/>
      <c r="T845" s="8"/>
      <c r="U845" s="8"/>
      <c r="V845" s="8"/>
      <c r="W845" s="8"/>
      <c r="X845" s="8"/>
      <c r="Y845" s="8"/>
      <c r="Z845" s="8"/>
    </row>
    <row r="846" spans="1:26" ht="13.15" x14ac:dyDescent="0.4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204"/>
      <c r="S846" s="8"/>
      <c r="T846" s="8"/>
      <c r="U846" s="8"/>
      <c r="V846" s="8"/>
      <c r="W846" s="8"/>
      <c r="X846" s="8"/>
      <c r="Y846" s="8"/>
      <c r="Z846" s="8"/>
    </row>
    <row r="847" spans="1:26" ht="13.15" x14ac:dyDescent="0.4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204"/>
      <c r="S847" s="8"/>
      <c r="T847" s="8"/>
      <c r="U847" s="8"/>
      <c r="V847" s="8"/>
      <c r="W847" s="8"/>
      <c r="X847" s="8"/>
      <c r="Y847" s="8"/>
      <c r="Z847" s="8"/>
    </row>
    <row r="848" spans="1:26" ht="13.15" x14ac:dyDescent="0.4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204"/>
      <c r="S848" s="8"/>
      <c r="T848" s="8"/>
      <c r="U848" s="8"/>
      <c r="V848" s="8"/>
      <c r="W848" s="8"/>
      <c r="X848" s="8"/>
      <c r="Y848" s="8"/>
      <c r="Z848" s="8"/>
    </row>
    <row r="849" spans="1:26" ht="13.15" x14ac:dyDescent="0.4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204"/>
      <c r="S849" s="8"/>
      <c r="T849" s="8"/>
      <c r="U849" s="8"/>
      <c r="V849" s="8"/>
      <c r="W849" s="8"/>
      <c r="X849" s="8"/>
      <c r="Y849" s="8"/>
      <c r="Z849" s="8"/>
    </row>
    <row r="850" spans="1:26" ht="13.15" x14ac:dyDescent="0.4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204"/>
      <c r="S850" s="8"/>
      <c r="T850" s="8"/>
      <c r="U850" s="8"/>
      <c r="V850" s="8"/>
      <c r="W850" s="8"/>
      <c r="X850" s="8"/>
      <c r="Y850" s="8"/>
      <c r="Z850" s="8"/>
    </row>
    <row r="851" spans="1:26" ht="13.15" x14ac:dyDescent="0.4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204"/>
      <c r="S851" s="8"/>
      <c r="T851" s="8"/>
      <c r="U851" s="8"/>
      <c r="V851" s="8"/>
      <c r="W851" s="8"/>
      <c r="X851" s="8"/>
      <c r="Y851" s="8"/>
      <c r="Z851" s="8"/>
    </row>
    <row r="852" spans="1:26" ht="13.15" x14ac:dyDescent="0.4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204"/>
      <c r="S852" s="8"/>
      <c r="T852" s="8"/>
      <c r="U852" s="8"/>
      <c r="V852" s="8"/>
      <c r="W852" s="8"/>
      <c r="X852" s="8"/>
      <c r="Y852" s="8"/>
      <c r="Z852" s="8"/>
    </row>
    <row r="853" spans="1:26" ht="13.15" x14ac:dyDescent="0.4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204"/>
      <c r="S853" s="8"/>
      <c r="T853" s="8"/>
      <c r="U853" s="8"/>
      <c r="V853" s="8"/>
      <c r="W853" s="8"/>
      <c r="X853" s="8"/>
      <c r="Y853" s="8"/>
      <c r="Z853" s="8"/>
    </row>
    <row r="854" spans="1:26" ht="13.15" x14ac:dyDescent="0.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204"/>
      <c r="S854" s="8"/>
      <c r="T854" s="8"/>
      <c r="U854" s="8"/>
      <c r="V854" s="8"/>
      <c r="W854" s="8"/>
      <c r="X854" s="8"/>
      <c r="Y854" s="8"/>
      <c r="Z854" s="8"/>
    </row>
    <row r="855" spans="1:26" ht="13.15" x14ac:dyDescent="0.4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204"/>
      <c r="S855" s="8"/>
      <c r="T855" s="8"/>
      <c r="U855" s="8"/>
      <c r="V855" s="8"/>
      <c r="W855" s="8"/>
      <c r="X855" s="8"/>
      <c r="Y855" s="8"/>
      <c r="Z855" s="8"/>
    </row>
    <row r="856" spans="1:26" ht="13.15" x14ac:dyDescent="0.4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204"/>
      <c r="S856" s="8"/>
      <c r="T856" s="8"/>
      <c r="U856" s="8"/>
      <c r="V856" s="8"/>
      <c r="W856" s="8"/>
      <c r="X856" s="8"/>
      <c r="Y856" s="8"/>
      <c r="Z856" s="8"/>
    </row>
    <row r="857" spans="1:26" ht="13.15" x14ac:dyDescent="0.4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204"/>
      <c r="S857" s="8"/>
      <c r="T857" s="8"/>
      <c r="U857" s="8"/>
      <c r="V857" s="8"/>
      <c r="W857" s="8"/>
      <c r="X857" s="8"/>
      <c r="Y857" s="8"/>
      <c r="Z857" s="8"/>
    </row>
    <row r="858" spans="1:26" ht="13.15" x14ac:dyDescent="0.4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204"/>
      <c r="S858" s="8"/>
      <c r="T858" s="8"/>
      <c r="U858" s="8"/>
      <c r="V858" s="8"/>
      <c r="W858" s="8"/>
      <c r="X858" s="8"/>
      <c r="Y858" s="8"/>
      <c r="Z858" s="8"/>
    </row>
    <row r="859" spans="1:26" ht="13.15" x14ac:dyDescent="0.4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204"/>
      <c r="S859" s="8"/>
      <c r="T859" s="8"/>
      <c r="U859" s="8"/>
      <c r="V859" s="8"/>
      <c r="W859" s="8"/>
      <c r="X859" s="8"/>
      <c r="Y859" s="8"/>
      <c r="Z859" s="8"/>
    </row>
    <row r="860" spans="1:26" ht="13.15" x14ac:dyDescent="0.4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204"/>
      <c r="S860" s="8"/>
      <c r="T860" s="8"/>
      <c r="U860" s="8"/>
      <c r="V860" s="8"/>
      <c r="W860" s="8"/>
      <c r="X860" s="8"/>
      <c r="Y860" s="8"/>
      <c r="Z860" s="8"/>
    </row>
    <row r="861" spans="1:26" ht="13.15" x14ac:dyDescent="0.4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204"/>
      <c r="S861" s="8"/>
      <c r="T861" s="8"/>
      <c r="U861" s="8"/>
      <c r="V861" s="8"/>
      <c r="W861" s="8"/>
      <c r="X861" s="8"/>
      <c r="Y861" s="8"/>
      <c r="Z861" s="8"/>
    </row>
    <row r="862" spans="1:26" ht="13.15" x14ac:dyDescent="0.4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204"/>
      <c r="S862" s="8"/>
      <c r="T862" s="8"/>
      <c r="U862" s="8"/>
      <c r="V862" s="8"/>
      <c r="W862" s="8"/>
      <c r="X862" s="8"/>
      <c r="Y862" s="8"/>
      <c r="Z862" s="8"/>
    </row>
    <row r="863" spans="1:26" ht="13.15" x14ac:dyDescent="0.4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204"/>
      <c r="S863" s="8"/>
      <c r="T863" s="8"/>
      <c r="U863" s="8"/>
      <c r="V863" s="8"/>
      <c r="W863" s="8"/>
      <c r="X863" s="8"/>
      <c r="Y863" s="8"/>
      <c r="Z863" s="8"/>
    </row>
    <row r="864" spans="1:26" ht="13.15" x14ac:dyDescent="0.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204"/>
      <c r="S864" s="8"/>
      <c r="T864" s="8"/>
      <c r="U864" s="8"/>
      <c r="V864" s="8"/>
      <c r="W864" s="8"/>
      <c r="X864" s="8"/>
      <c r="Y864" s="8"/>
      <c r="Z864" s="8"/>
    </row>
    <row r="865" spans="1:26" ht="13.15" x14ac:dyDescent="0.4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204"/>
      <c r="S865" s="8"/>
      <c r="T865" s="8"/>
      <c r="U865" s="8"/>
      <c r="V865" s="8"/>
      <c r="W865" s="8"/>
      <c r="X865" s="8"/>
      <c r="Y865" s="8"/>
      <c r="Z865" s="8"/>
    </row>
    <row r="866" spans="1:26" ht="13.15" x14ac:dyDescent="0.4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204"/>
      <c r="S866" s="8"/>
      <c r="T866" s="8"/>
      <c r="U866" s="8"/>
      <c r="V866" s="8"/>
      <c r="W866" s="8"/>
      <c r="X866" s="8"/>
      <c r="Y866" s="8"/>
      <c r="Z866" s="8"/>
    </row>
    <row r="867" spans="1:26" ht="13.15" x14ac:dyDescent="0.4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204"/>
      <c r="S867" s="8"/>
      <c r="T867" s="8"/>
      <c r="U867" s="8"/>
      <c r="V867" s="8"/>
      <c r="W867" s="8"/>
      <c r="X867" s="8"/>
      <c r="Y867" s="8"/>
      <c r="Z867" s="8"/>
    </row>
    <row r="868" spans="1:26" ht="13.15" x14ac:dyDescent="0.4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204"/>
      <c r="S868" s="8"/>
      <c r="T868" s="8"/>
      <c r="U868" s="8"/>
      <c r="V868" s="8"/>
      <c r="W868" s="8"/>
      <c r="X868" s="8"/>
      <c r="Y868" s="8"/>
      <c r="Z868" s="8"/>
    </row>
    <row r="869" spans="1:26" ht="13.15" x14ac:dyDescent="0.4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204"/>
      <c r="S869" s="8"/>
      <c r="T869" s="8"/>
      <c r="U869" s="8"/>
      <c r="V869" s="8"/>
      <c r="W869" s="8"/>
      <c r="X869" s="8"/>
      <c r="Y869" s="8"/>
      <c r="Z869" s="8"/>
    </row>
    <row r="870" spans="1:26" ht="13.15" x14ac:dyDescent="0.4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204"/>
      <c r="S870" s="8"/>
      <c r="T870" s="8"/>
      <c r="U870" s="8"/>
      <c r="V870" s="8"/>
      <c r="W870" s="8"/>
      <c r="X870" s="8"/>
      <c r="Y870" s="8"/>
      <c r="Z870" s="8"/>
    </row>
    <row r="871" spans="1:26" ht="13.15" x14ac:dyDescent="0.4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204"/>
      <c r="S871" s="8"/>
      <c r="T871" s="8"/>
      <c r="U871" s="8"/>
      <c r="V871" s="8"/>
      <c r="W871" s="8"/>
      <c r="X871" s="8"/>
      <c r="Y871" s="8"/>
      <c r="Z871" s="8"/>
    </row>
    <row r="872" spans="1:26" ht="13.15" x14ac:dyDescent="0.4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204"/>
      <c r="S872" s="8"/>
      <c r="T872" s="8"/>
      <c r="U872" s="8"/>
      <c r="V872" s="8"/>
      <c r="W872" s="8"/>
      <c r="X872" s="8"/>
      <c r="Y872" s="8"/>
      <c r="Z872" s="8"/>
    </row>
    <row r="873" spans="1:26" ht="13.15" x14ac:dyDescent="0.4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204"/>
      <c r="S873" s="8"/>
      <c r="T873" s="8"/>
      <c r="U873" s="8"/>
      <c r="V873" s="8"/>
      <c r="W873" s="8"/>
      <c r="X873" s="8"/>
      <c r="Y873" s="8"/>
      <c r="Z873" s="8"/>
    </row>
    <row r="874" spans="1:26" ht="13.15" x14ac:dyDescent="0.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204"/>
      <c r="S874" s="8"/>
      <c r="T874" s="8"/>
      <c r="U874" s="8"/>
      <c r="V874" s="8"/>
      <c r="W874" s="8"/>
      <c r="X874" s="8"/>
      <c r="Y874" s="8"/>
      <c r="Z874" s="8"/>
    </row>
    <row r="875" spans="1:26" ht="13.15" x14ac:dyDescent="0.4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204"/>
      <c r="S875" s="8"/>
      <c r="T875" s="8"/>
      <c r="U875" s="8"/>
      <c r="V875" s="8"/>
      <c r="W875" s="8"/>
      <c r="X875" s="8"/>
      <c r="Y875" s="8"/>
      <c r="Z875" s="8"/>
    </row>
    <row r="876" spans="1:26" ht="13.15" x14ac:dyDescent="0.4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204"/>
      <c r="S876" s="8"/>
      <c r="T876" s="8"/>
      <c r="U876" s="8"/>
      <c r="V876" s="8"/>
      <c r="W876" s="8"/>
      <c r="X876" s="8"/>
      <c r="Y876" s="8"/>
      <c r="Z876" s="8"/>
    </row>
    <row r="877" spans="1:26" ht="13.15" x14ac:dyDescent="0.4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204"/>
      <c r="S877" s="8"/>
      <c r="T877" s="8"/>
      <c r="U877" s="8"/>
      <c r="V877" s="8"/>
      <c r="W877" s="8"/>
      <c r="X877" s="8"/>
      <c r="Y877" s="8"/>
      <c r="Z877" s="8"/>
    </row>
    <row r="878" spans="1:26" ht="13.15" x14ac:dyDescent="0.4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204"/>
      <c r="S878" s="8"/>
      <c r="T878" s="8"/>
      <c r="U878" s="8"/>
      <c r="V878" s="8"/>
      <c r="W878" s="8"/>
      <c r="X878" s="8"/>
      <c r="Y878" s="8"/>
      <c r="Z878" s="8"/>
    </row>
    <row r="879" spans="1:26" ht="13.15" x14ac:dyDescent="0.4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204"/>
      <c r="S879" s="8"/>
      <c r="T879" s="8"/>
      <c r="U879" s="8"/>
      <c r="V879" s="8"/>
      <c r="W879" s="8"/>
      <c r="X879" s="8"/>
      <c r="Y879" s="8"/>
      <c r="Z879" s="8"/>
    </row>
    <row r="880" spans="1:26" ht="13.15" x14ac:dyDescent="0.4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204"/>
      <c r="S880" s="8"/>
      <c r="T880" s="8"/>
      <c r="U880" s="8"/>
      <c r="V880" s="8"/>
      <c r="W880" s="8"/>
      <c r="X880" s="8"/>
      <c r="Y880" s="8"/>
      <c r="Z880" s="8"/>
    </row>
    <row r="881" spans="1:26" ht="13.15" x14ac:dyDescent="0.4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204"/>
      <c r="S881" s="8"/>
      <c r="T881" s="8"/>
      <c r="U881" s="8"/>
      <c r="V881" s="8"/>
      <c r="W881" s="8"/>
      <c r="X881" s="8"/>
      <c r="Y881" s="8"/>
      <c r="Z881" s="8"/>
    </row>
    <row r="882" spans="1:26" ht="13.15" x14ac:dyDescent="0.4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204"/>
      <c r="S882" s="8"/>
      <c r="T882" s="8"/>
      <c r="U882" s="8"/>
      <c r="V882" s="8"/>
      <c r="W882" s="8"/>
      <c r="X882" s="8"/>
      <c r="Y882" s="8"/>
      <c r="Z882" s="8"/>
    </row>
    <row r="883" spans="1:26" ht="13.15" x14ac:dyDescent="0.4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204"/>
      <c r="S883" s="8"/>
      <c r="T883" s="8"/>
      <c r="U883" s="8"/>
      <c r="V883" s="8"/>
      <c r="W883" s="8"/>
      <c r="X883" s="8"/>
      <c r="Y883" s="8"/>
      <c r="Z883" s="8"/>
    </row>
    <row r="884" spans="1:26" ht="13.15" x14ac:dyDescent="0.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204"/>
      <c r="S884" s="8"/>
      <c r="T884" s="8"/>
      <c r="U884" s="8"/>
      <c r="V884" s="8"/>
      <c r="W884" s="8"/>
      <c r="X884" s="8"/>
      <c r="Y884" s="8"/>
      <c r="Z884" s="8"/>
    </row>
    <row r="885" spans="1:26" ht="13.15" x14ac:dyDescent="0.4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204"/>
      <c r="S885" s="8"/>
      <c r="T885" s="8"/>
      <c r="U885" s="8"/>
      <c r="V885" s="8"/>
      <c r="W885" s="8"/>
      <c r="X885" s="8"/>
      <c r="Y885" s="8"/>
      <c r="Z885" s="8"/>
    </row>
    <row r="886" spans="1:26" ht="13.15" x14ac:dyDescent="0.4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204"/>
      <c r="S886" s="8"/>
      <c r="T886" s="8"/>
      <c r="U886" s="8"/>
      <c r="V886" s="8"/>
      <c r="W886" s="8"/>
      <c r="X886" s="8"/>
      <c r="Y886" s="8"/>
      <c r="Z886" s="8"/>
    </row>
    <row r="887" spans="1:26" ht="13.15" x14ac:dyDescent="0.4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204"/>
      <c r="S887" s="8"/>
      <c r="T887" s="8"/>
      <c r="U887" s="8"/>
      <c r="V887" s="8"/>
      <c r="W887" s="8"/>
      <c r="X887" s="8"/>
      <c r="Y887" s="8"/>
      <c r="Z887" s="8"/>
    </row>
    <row r="888" spans="1:26" ht="13.15" x14ac:dyDescent="0.4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204"/>
      <c r="S888" s="8"/>
      <c r="T888" s="8"/>
      <c r="U888" s="8"/>
      <c r="V888" s="8"/>
      <c r="W888" s="8"/>
      <c r="X888" s="8"/>
      <c r="Y888" s="8"/>
      <c r="Z888" s="8"/>
    </row>
    <row r="889" spans="1:26" ht="13.15" x14ac:dyDescent="0.4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204"/>
      <c r="S889" s="8"/>
      <c r="T889" s="8"/>
      <c r="U889" s="8"/>
      <c r="V889" s="8"/>
      <c r="W889" s="8"/>
      <c r="X889" s="8"/>
      <c r="Y889" s="8"/>
      <c r="Z889" s="8"/>
    </row>
    <row r="890" spans="1:26" ht="13.15" x14ac:dyDescent="0.4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204"/>
      <c r="S890" s="8"/>
      <c r="T890" s="8"/>
      <c r="U890" s="8"/>
      <c r="V890" s="8"/>
      <c r="W890" s="8"/>
      <c r="X890" s="8"/>
      <c r="Y890" s="8"/>
      <c r="Z890" s="8"/>
    </row>
    <row r="891" spans="1:26" ht="13.15" x14ac:dyDescent="0.4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204"/>
      <c r="S891" s="8"/>
      <c r="T891" s="8"/>
      <c r="U891" s="8"/>
      <c r="V891" s="8"/>
      <c r="W891" s="8"/>
      <c r="X891" s="8"/>
      <c r="Y891" s="8"/>
      <c r="Z891" s="8"/>
    </row>
    <row r="892" spans="1:26" ht="13.15" x14ac:dyDescent="0.4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204"/>
      <c r="S892" s="8"/>
      <c r="T892" s="8"/>
      <c r="U892" s="8"/>
      <c r="V892" s="8"/>
      <c r="W892" s="8"/>
      <c r="X892" s="8"/>
      <c r="Y892" s="8"/>
      <c r="Z892" s="8"/>
    </row>
    <row r="893" spans="1:26" ht="13.15" x14ac:dyDescent="0.4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204"/>
      <c r="S893" s="8"/>
      <c r="T893" s="8"/>
      <c r="U893" s="8"/>
      <c r="V893" s="8"/>
      <c r="W893" s="8"/>
      <c r="X893" s="8"/>
      <c r="Y893" s="8"/>
      <c r="Z893" s="8"/>
    </row>
    <row r="894" spans="1:26" ht="13.15" x14ac:dyDescent="0.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204"/>
      <c r="S894" s="8"/>
      <c r="T894" s="8"/>
      <c r="U894" s="8"/>
      <c r="V894" s="8"/>
      <c r="W894" s="8"/>
      <c r="X894" s="8"/>
      <c r="Y894" s="8"/>
      <c r="Z894" s="8"/>
    </row>
    <row r="895" spans="1:26" ht="13.15" x14ac:dyDescent="0.4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204"/>
      <c r="S895" s="8"/>
      <c r="T895" s="8"/>
      <c r="U895" s="8"/>
      <c r="V895" s="8"/>
      <c r="W895" s="8"/>
      <c r="X895" s="8"/>
      <c r="Y895" s="8"/>
      <c r="Z895" s="8"/>
    </row>
    <row r="896" spans="1:26" ht="13.15" x14ac:dyDescent="0.4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204"/>
      <c r="S896" s="8"/>
      <c r="T896" s="8"/>
      <c r="U896" s="8"/>
      <c r="V896" s="8"/>
      <c r="W896" s="8"/>
      <c r="X896" s="8"/>
      <c r="Y896" s="8"/>
      <c r="Z896" s="8"/>
    </row>
    <row r="897" spans="1:26" ht="13.15" x14ac:dyDescent="0.4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204"/>
      <c r="S897" s="8"/>
      <c r="T897" s="8"/>
      <c r="U897" s="8"/>
      <c r="V897" s="8"/>
      <c r="W897" s="8"/>
      <c r="X897" s="8"/>
      <c r="Y897" s="8"/>
      <c r="Z897" s="8"/>
    </row>
    <row r="898" spans="1:26" ht="13.15" x14ac:dyDescent="0.4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204"/>
      <c r="S898" s="8"/>
      <c r="T898" s="8"/>
      <c r="U898" s="8"/>
      <c r="V898" s="8"/>
      <c r="W898" s="8"/>
      <c r="X898" s="8"/>
      <c r="Y898" s="8"/>
      <c r="Z898" s="8"/>
    </row>
    <row r="899" spans="1:26" ht="13.15" x14ac:dyDescent="0.4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204"/>
      <c r="S899" s="8"/>
      <c r="T899" s="8"/>
      <c r="U899" s="8"/>
      <c r="V899" s="8"/>
      <c r="W899" s="8"/>
      <c r="X899" s="8"/>
      <c r="Y899" s="8"/>
      <c r="Z899" s="8"/>
    </row>
    <row r="900" spans="1:26" ht="13.15" x14ac:dyDescent="0.4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204"/>
      <c r="S900" s="8"/>
      <c r="T900" s="8"/>
      <c r="U900" s="8"/>
      <c r="V900" s="8"/>
      <c r="W900" s="8"/>
      <c r="X900" s="8"/>
      <c r="Y900" s="8"/>
      <c r="Z900" s="8"/>
    </row>
    <row r="901" spans="1:26" ht="13.15" x14ac:dyDescent="0.4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204"/>
      <c r="S901" s="8"/>
      <c r="T901" s="8"/>
      <c r="U901" s="8"/>
      <c r="V901" s="8"/>
      <c r="W901" s="8"/>
      <c r="X901" s="8"/>
      <c r="Y901" s="8"/>
      <c r="Z901" s="8"/>
    </row>
    <row r="902" spans="1:26" ht="13.15" x14ac:dyDescent="0.4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204"/>
      <c r="S902" s="8"/>
      <c r="T902" s="8"/>
      <c r="U902" s="8"/>
      <c r="V902" s="8"/>
      <c r="W902" s="8"/>
      <c r="X902" s="8"/>
      <c r="Y902" s="8"/>
      <c r="Z902" s="8"/>
    </row>
    <row r="903" spans="1:26" ht="13.15" x14ac:dyDescent="0.4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204"/>
      <c r="S903" s="8"/>
      <c r="T903" s="8"/>
      <c r="U903" s="8"/>
      <c r="V903" s="8"/>
      <c r="W903" s="8"/>
      <c r="X903" s="8"/>
      <c r="Y903" s="8"/>
      <c r="Z903" s="8"/>
    </row>
    <row r="904" spans="1:26" ht="13.15" x14ac:dyDescent="0.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204"/>
      <c r="S904" s="8"/>
      <c r="T904" s="8"/>
      <c r="U904" s="8"/>
      <c r="V904" s="8"/>
      <c r="W904" s="8"/>
      <c r="X904" s="8"/>
      <c r="Y904" s="8"/>
      <c r="Z904" s="8"/>
    </row>
    <row r="905" spans="1:26" ht="13.15" x14ac:dyDescent="0.4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204"/>
      <c r="S905" s="8"/>
      <c r="T905" s="8"/>
      <c r="U905" s="8"/>
      <c r="V905" s="8"/>
      <c r="W905" s="8"/>
      <c r="X905" s="8"/>
      <c r="Y905" s="8"/>
      <c r="Z905" s="8"/>
    </row>
    <row r="906" spans="1:26" ht="13.15" x14ac:dyDescent="0.4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204"/>
      <c r="S906" s="8"/>
      <c r="T906" s="8"/>
      <c r="U906" s="8"/>
      <c r="V906" s="8"/>
      <c r="W906" s="8"/>
      <c r="X906" s="8"/>
      <c r="Y906" s="8"/>
      <c r="Z906" s="8"/>
    </row>
    <row r="907" spans="1:26" ht="13.15" x14ac:dyDescent="0.4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204"/>
      <c r="S907" s="8"/>
      <c r="T907" s="8"/>
      <c r="U907" s="8"/>
      <c r="V907" s="8"/>
      <c r="W907" s="8"/>
      <c r="X907" s="8"/>
      <c r="Y907" s="8"/>
      <c r="Z907" s="8"/>
    </row>
    <row r="908" spans="1:26" ht="13.15" x14ac:dyDescent="0.4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204"/>
      <c r="S908" s="8"/>
      <c r="T908" s="8"/>
      <c r="U908" s="8"/>
      <c r="V908" s="8"/>
      <c r="W908" s="8"/>
      <c r="X908" s="8"/>
      <c r="Y908" s="8"/>
      <c r="Z908" s="8"/>
    </row>
    <row r="909" spans="1:26" ht="13.15" x14ac:dyDescent="0.4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204"/>
      <c r="S909" s="8"/>
      <c r="T909" s="8"/>
      <c r="U909" s="8"/>
      <c r="V909" s="8"/>
      <c r="W909" s="8"/>
      <c r="X909" s="8"/>
      <c r="Y909" s="8"/>
      <c r="Z909" s="8"/>
    </row>
    <row r="910" spans="1:26" ht="13.15" x14ac:dyDescent="0.4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204"/>
      <c r="S910" s="8"/>
      <c r="T910" s="8"/>
      <c r="U910" s="8"/>
      <c r="V910" s="8"/>
      <c r="W910" s="8"/>
      <c r="X910" s="8"/>
      <c r="Y910" s="8"/>
      <c r="Z910" s="8"/>
    </row>
    <row r="911" spans="1:26" ht="13.15" x14ac:dyDescent="0.4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204"/>
      <c r="S911" s="8"/>
      <c r="T911" s="8"/>
      <c r="U911" s="8"/>
      <c r="V911" s="8"/>
      <c r="W911" s="8"/>
      <c r="X911" s="8"/>
      <c r="Y911" s="8"/>
      <c r="Z911" s="8"/>
    </row>
    <row r="912" spans="1:26" ht="13.15" x14ac:dyDescent="0.4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204"/>
      <c r="S912" s="8"/>
      <c r="T912" s="8"/>
      <c r="U912" s="8"/>
      <c r="V912" s="8"/>
      <c r="W912" s="8"/>
      <c r="X912" s="8"/>
      <c r="Y912" s="8"/>
      <c r="Z912" s="8"/>
    </row>
    <row r="913" spans="1:26" ht="13.15" x14ac:dyDescent="0.4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204"/>
      <c r="S913" s="8"/>
      <c r="T913" s="8"/>
      <c r="U913" s="8"/>
      <c r="V913" s="8"/>
      <c r="W913" s="8"/>
      <c r="X913" s="8"/>
      <c r="Y913" s="8"/>
      <c r="Z913" s="8"/>
    </row>
    <row r="914" spans="1:26" ht="13.15" x14ac:dyDescent="0.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204"/>
      <c r="S914" s="8"/>
      <c r="T914" s="8"/>
      <c r="U914" s="8"/>
      <c r="V914" s="8"/>
      <c r="W914" s="8"/>
      <c r="X914" s="8"/>
      <c r="Y914" s="8"/>
      <c r="Z914" s="8"/>
    </row>
    <row r="915" spans="1:26" ht="13.15" x14ac:dyDescent="0.4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204"/>
      <c r="S915" s="8"/>
      <c r="T915" s="8"/>
      <c r="U915" s="8"/>
      <c r="V915" s="8"/>
      <c r="W915" s="8"/>
      <c r="X915" s="8"/>
      <c r="Y915" s="8"/>
      <c r="Z915" s="8"/>
    </row>
    <row r="916" spans="1:26" ht="13.15" x14ac:dyDescent="0.4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204"/>
      <c r="S916" s="8"/>
      <c r="T916" s="8"/>
      <c r="U916" s="8"/>
      <c r="V916" s="8"/>
      <c r="W916" s="8"/>
      <c r="X916" s="8"/>
      <c r="Y916" s="8"/>
      <c r="Z916" s="8"/>
    </row>
    <row r="917" spans="1:26" ht="13.15" x14ac:dyDescent="0.4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204"/>
      <c r="S917" s="8"/>
      <c r="T917" s="8"/>
      <c r="U917" s="8"/>
      <c r="V917" s="8"/>
      <c r="W917" s="8"/>
      <c r="X917" s="8"/>
      <c r="Y917" s="8"/>
      <c r="Z917" s="8"/>
    </row>
    <row r="918" spans="1:26" ht="13.15" x14ac:dyDescent="0.4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204"/>
      <c r="S918" s="8"/>
      <c r="T918" s="8"/>
      <c r="U918" s="8"/>
      <c r="V918" s="8"/>
      <c r="W918" s="8"/>
      <c r="X918" s="8"/>
      <c r="Y918" s="8"/>
      <c r="Z918" s="8"/>
    </row>
    <row r="919" spans="1:26" ht="13.15" x14ac:dyDescent="0.4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204"/>
      <c r="S919" s="8"/>
      <c r="T919" s="8"/>
      <c r="U919" s="8"/>
      <c r="V919" s="8"/>
      <c r="W919" s="8"/>
      <c r="X919" s="8"/>
      <c r="Y919" s="8"/>
      <c r="Z919" s="8"/>
    </row>
    <row r="920" spans="1:26" ht="13.15" x14ac:dyDescent="0.4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204"/>
      <c r="S920" s="8"/>
      <c r="T920" s="8"/>
      <c r="U920" s="8"/>
      <c r="V920" s="8"/>
      <c r="W920" s="8"/>
      <c r="X920" s="8"/>
      <c r="Y920" s="8"/>
      <c r="Z920" s="8"/>
    </row>
    <row r="921" spans="1:26" ht="13.15" x14ac:dyDescent="0.4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204"/>
      <c r="S921" s="8"/>
      <c r="T921" s="8"/>
      <c r="U921" s="8"/>
      <c r="V921" s="8"/>
      <c r="W921" s="8"/>
      <c r="X921" s="8"/>
      <c r="Y921" s="8"/>
      <c r="Z921" s="8"/>
    </row>
    <row r="922" spans="1:26" ht="13.15" x14ac:dyDescent="0.4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204"/>
      <c r="S922" s="8"/>
      <c r="T922" s="8"/>
      <c r="U922" s="8"/>
      <c r="V922" s="8"/>
      <c r="W922" s="8"/>
      <c r="X922" s="8"/>
      <c r="Y922" s="8"/>
      <c r="Z922" s="8"/>
    </row>
    <row r="923" spans="1:26" ht="13.15" x14ac:dyDescent="0.4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204"/>
      <c r="S923" s="8"/>
      <c r="T923" s="8"/>
      <c r="U923" s="8"/>
      <c r="V923" s="8"/>
      <c r="W923" s="8"/>
      <c r="X923" s="8"/>
      <c r="Y923" s="8"/>
      <c r="Z923" s="8"/>
    </row>
    <row r="924" spans="1:26" ht="13.15" x14ac:dyDescent="0.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204"/>
      <c r="S924" s="8"/>
      <c r="T924" s="8"/>
      <c r="U924" s="8"/>
      <c r="V924" s="8"/>
      <c r="W924" s="8"/>
      <c r="X924" s="8"/>
      <c r="Y924" s="8"/>
      <c r="Z924" s="8"/>
    </row>
    <row r="925" spans="1:26" ht="13.15" x14ac:dyDescent="0.4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204"/>
      <c r="S925" s="8"/>
      <c r="T925" s="8"/>
      <c r="U925" s="8"/>
      <c r="V925" s="8"/>
      <c r="W925" s="8"/>
      <c r="X925" s="8"/>
      <c r="Y925" s="8"/>
      <c r="Z925" s="8"/>
    </row>
    <row r="926" spans="1:26" ht="13.15" x14ac:dyDescent="0.4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204"/>
      <c r="S926" s="8"/>
      <c r="T926" s="8"/>
      <c r="U926" s="8"/>
      <c r="V926" s="8"/>
      <c r="W926" s="8"/>
      <c r="X926" s="8"/>
      <c r="Y926" s="8"/>
      <c r="Z926" s="8"/>
    </row>
    <row r="927" spans="1:26" ht="13.15" x14ac:dyDescent="0.4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204"/>
      <c r="S927" s="8"/>
      <c r="T927" s="8"/>
      <c r="U927" s="8"/>
      <c r="V927" s="8"/>
      <c r="W927" s="8"/>
      <c r="X927" s="8"/>
      <c r="Y927" s="8"/>
      <c r="Z927" s="8"/>
    </row>
    <row r="928" spans="1:26" ht="13.15" x14ac:dyDescent="0.4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204"/>
      <c r="S928" s="8"/>
      <c r="T928" s="8"/>
      <c r="U928" s="8"/>
      <c r="V928" s="8"/>
      <c r="W928" s="8"/>
      <c r="X928" s="8"/>
      <c r="Y928" s="8"/>
      <c r="Z928" s="8"/>
    </row>
    <row r="929" spans="1:26" ht="13.15" x14ac:dyDescent="0.4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204"/>
      <c r="S929" s="8"/>
      <c r="T929" s="8"/>
      <c r="U929" s="8"/>
      <c r="V929" s="8"/>
      <c r="W929" s="8"/>
      <c r="X929" s="8"/>
      <c r="Y929" s="8"/>
      <c r="Z929" s="8"/>
    </row>
    <row r="930" spans="1:26" ht="13.15" x14ac:dyDescent="0.4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204"/>
      <c r="S930" s="8"/>
      <c r="T930" s="8"/>
      <c r="U930" s="8"/>
      <c r="V930" s="8"/>
      <c r="W930" s="8"/>
      <c r="X930" s="8"/>
      <c r="Y930" s="8"/>
      <c r="Z930" s="8"/>
    </row>
    <row r="931" spans="1:26" ht="13.15" x14ac:dyDescent="0.4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204"/>
      <c r="S931" s="8"/>
      <c r="T931" s="8"/>
      <c r="U931" s="8"/>
      <c r="V931" s="8"/>
      <c r="W931" s="8"/>
      <c r="X931" s="8"/>
      <c r="Y931" s="8"/>
      <c r="Z931" s="8"/>
    </row>
    <row r="932" spans="1:26" ht="13.15" x14ac:dyDescent="0.4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204"/>
      <c r="S932" s="8"/>
      <c r="T932" s="8"/>
      <c r="U932" s="8"/>
      <c r="V932" s="8"/>
      <c r="W932" s="8"/>
      <c r="X932" s="8"/>
      <c r="Y932" s="8"/>
      <c r="Z932" s="8"/>
    </row>
    <row r="933" spans="1:26" ht="13.15" x14ac:dyDescent="0.4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204"/>
      <c r="S933" s="8"/>
      <c r="T933" s="8"/>
      <c r="U933" s="8"/>
      <c r="V933" s="8"/>
      <c r="W933" s="8"/>
      <c r="X933" s="8"/>
      <c r="Y933" s="8"/>
      <c r="Z933" s="8"/>
    </row>
    <row r="934" spans="1:26" ht="13.15" x14ac:dyDescent="0.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204"/>
      <c r="S934" s="8"/>
      <c r="T934" s="8"/>
      <c r="U934" s="8"/>
      <c r="V934" s="8"/>
      <c r="W934" s="8"/>
      <c r="X934" s="8"/>
      <c r="Y934" s="8"/>
      <c r="Z934" s="8"/>
    </row>
    <row r="935" spans="1:26" ht="13.15" x14ac:dyDescent="0.4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204"/>
      <c r="S935" s="8"/>
      <c r="T935" s="8"/>
      <c r="U935" s="8"/>
      <c r="V935" s="8"/>
      <c r="W935" s="8"/>
      <c r="X935" s="8"/>
      <c r="Y935" s="8"/>
      <c r="Z935" s="8"/>
    </row>
    <row r="936" spans="1:26" ht="13.15" x14ac:dyDescent="0.4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204"/>
      <c r="S936" s="8"/>
      <c r="T936" s="8"/>
      <c r="U936" s="8"/>
      <c r="V936" s="8"/>
      <c r="W936" s="8"/>
      <c r="X936" s="8"/>
      <c r="Y936" s="8"/>
      <c r="Z936" s="8"/>
    </row>
    <row r="937" spans="1:26" ht="13.15" x14ac:dyDescent="0.4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204"/>
      <c r="S937" s="8"/>
      <c r="T937" s="8"/>
      <c r="U937" s="8"/>
      <c r="V937" s="8"/>
      <c r="W937" s="8"/>
      <c r="X937" s="8"/>
      <c r="Y937" s="8"/>
      <c r="Z937" s="8"/>
    </row>
    <row r="938" spans="1:26" ht="13.15" x14ac:dyDescent="0.4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204"/>
      <c r="S938" s="8"/>
      <c r="T938" s="8"/>
      <c r="U938" s="8"/>
      <c r="V938" s="8"/>
      <c r="W938" s="8"/>
      <c r="X938" s="8"/>
      <c r="Y938" s="8"/>
      <c r="Z938" s="8"/>
    </row>
    <row r="939" spans="1:26" ht="13.15" x14ac:dyDescent="0.4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204"/>
      <c r="S939" s="8"/>
      <c r="T939" s="8"/>
      <c r="U939" s="8"/>
      <c r="V939" s="8"/>
      <c r="W939" s="8"/>
      <c r="X939" s="8"/>
      <c r="Y939" s="8"/>
      <c r="Z939" s="8"/>
    </row>
    <row r="940" spans="1:26" ht="13.15" x14ac:dyDescent="0.4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204"/>
      <c r="S940" s="8"/>
      <c r="T940" s="8"/>
      <c r="U940" s="8"/>
      <c r="V940" s="8"/>
      <c r="W940" s="8"/>
      <c r="X940" s="8"/>
      <c r="Y940" s="8"/>
      <c r="Z940" s="8"/>
    </row>
    <row r="941" spans="1:26" ht="13.15" x14ac:dyDescent="0.4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204"/>
      <c r="S941" s="8"/>
      <c r="T941" s="8"/>
      <c r="U941" s="8"/>
      <c r="V941" s="8"/>
      <c r="W941" s="8"/>
      <c r="X941" s="8"/>
      <c r="Y941" s="8"/>
      <c r="Z941" s="8"/>
    </row>
    <row r="942" spans="1:26" ht="13.15" x14ac:dyDescent="0.4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204"/>
      <c r="S942" s="8"/>
      <c r="T942" s="8"/>
      <c r="U942" s="8"/>
      <c r="V942" s="8"/>
      <c r="W942" s="8"/>
      <c r="X942" s="8"/>
      <c r="Y942" s="8"/>
      <c r="Z942" s="8"/>
    </row>
    <row r="943" spans="1:26" ht="13.15" x14ac:dyDescent="0.4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204"/>
      <c r="S943" s="8"/>
      <c r="T943" s="8"/>
      <c r="U943" s="8"/>
      <c r="V943" s="8"/>
      <c r="W943" s="8"/>
      <c r="X943" s="8"/>
      <c r="Y943" s="8"/>
      <c r="Z943" s="8"/>
    </row>
    <row r="944" spans="1:26" ht="13.15" x14ac:dyDescent="0.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204"/>
      <c r="S944" s="8"/>
      <c r="T944" s="8"/>
      <c r="U944" s="8"/>
      <c r="V944" s="8"/>
      <c r="W944" s="8"/>
      <c r="X944" s="8"/>
      <c r="Y944" s="8"/>
      <c r="Z944" s="8"/>
    </row>
    <row r="945" spans="1:26" ht="13.15" x14ac:dyDescent="0.4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204"/>
      <c r="S945" s="8"/>
      <c r="T945" s="8"/>
      <c r="U945" s="8"/>
      <c r="V945" s="8"/>
      <c r="W945" s="8"/>
      <c r="X945" s="8"/>
      <c r="Y945" s="8"/>
      <c r="Z945" s="8"/>
    </row>
    <row r="946" spans="1:26" ht="13.15" x14ac:dyDescent="0.4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204"/>
      <c r="S946" s="8"/>
      <c r="T946" s="8"/>
      <c r="U946" s="8"/>
      <c r="V946" s="8"/>
      <c r="W946" s="8"/>
      <c r="X946" s="8"/>
      <c r="Y946" s="8"/>
      <c r="Z946" s="8"/>
    </row>
    <row r="947" spans="1:26" ht="13.15" x14ac:dyDescent="0.4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204"/>
      <c r="S947" s="8"/>
      <c r="T947" s="8"/>
      <c r="U947" s="8"/>
      <c r="V947" s="8"/>
      <c r="W947" s="8"/>
      <c r="X947" s="8"/>
      <c r="Y947" s="8"/>
      <c r="Z947" s="8"/>
    </row>
    <row r="948" spans="1:26" ht="13.15" x14ac:dyDescent="0.4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204"/>
      <c r="S948" s="8"/>
      <c r="T948" s="8"/>
      <c r="U948" s="8"/>
      <c r="V948" s="8"/>
      <c r="W948" s="8"/>
      <c r="X948" s="8"/>
      <c r="Y948" s="8"/>
      <c r="Z948" s="8"/>
    </row>
    <row r="949" spans="1:26" ht="13.15" x14ac:dyDescent="0.4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204"/>
      <c r="S949" s="8"/>
      <c r="T949" s="8"/>
      <c r="U949" s="8"/>
      <c r="V949" s="8"/>
      <c r="W949" s="8"/>
      <c r="X949" s="8"/>
      <c r="Y949" s="8"/>
      <c r="Z949" s="8"/>
    </row>
    <row r="950" spans="1:26" ht="13.15" x14ac:dyDescent="0.4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204"/>
      <c r="S950" s="8"/>
      <c r="T950" s="8"/>
      <c r="U950" s="8"/>
      <c r="V950" s="8"/>
      <c r="W950" s="8"/>
      <c r="X950" s="8"/>
      <c r="Y950" s="8"/>
      <c r="Z950" s="8"/>
    </row>
    <row r="951" spans="1:26" ht="13.15" x14ac:dyDescent="0.4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204"/>
      <c r="S951" s="8"/>
      <c r="T951" s="8"/>
      <c r="U951" s="8"/>
      <c r="V951" s="8"/>
      <c r="W951" s="8"/>
      <c r="X951" s="8"/>
      <c r="Y951" s="8"/>
      <c r="Z951" s="8"/>
    </row>
    <row r="952" spans="1:26" ht="13.15" x14ac:dyDescent="0.4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204"/>
      <c r="S952" s="8"/>
      <c r="T952" s="8"/>
      <c r="U952" s="8"/>
      <c r="V952" s="8"/>
      <c r="W952" s="8"/>
      <c r="X952" s="8"/>
      <c r="Y952" s="8"/>
      <c r="Z952" s="8"/>
    </row>
    <row r="953" spans="1:26" ht="13.15" x14ac:dyDescent="0.4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204"/>
      <c r="S953" s="8"/>
      <c r="T953" s="8"/>
      <c r="U953" s="8"/>
      <c r="V953" s="8"/>
      <c r="W953" s="8"/>
      <c r="X953" s="8"/>
      <c r="Y953" s="8"/>
      <c r="Z953" s="8"/>
    </row>
    <row r="954" spans="1:26" ht="13.15" x14ac:dyDescent="0.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204"/>
      <c r="S954" s="8"/>
      <c r="T954" s="8"/>
      <c r="U954" s="8"/>
      <c r="V954" s="8"/>
      <c r="W954" s="8"/>
      <c r="X954" s="8"/>
      <c r="Y954" s="8"/>
      <c r="Z954" s="8"/>
    </row>
    <row r="955" spans="1:26" ht="13.15" x14ac:dyDescent="0.4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204"/>
      <c r="S955" s="8"/>
      <c r="T955" s="8"/>
      <c r="U955" s="8"/>
      <c r="V955" s="8"/>
      <c r="W955" s="8"/>
      <c r="X955" s="8"/>
      <c r="Y955" s="8"/>
      <c r="Z955" s="8"/>
    </row>
    <row r="956" spans="1:26" ht="13.15" x14ac:dyDescent="0.4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204"/>
      <c r="S956" s="8"/>
      <c r="T956" s="8"/>
      <c r="U956" s="8"/>
      <c r="V956" s="8"/>
      <c r="W956" s="8"/>
      <c r="X956" s="8"/>
      <c r="Y956" s="8"/>
      <c r="Z956" s="8"/>
    </row>
    <row r="957" spans="1:26" ht="13.15" x14ac:dyDescent="0.4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204"/>
      <c r="S957" s="8"/>
      <c r="T957" s="8"/>
      <c r="U957" s="8"/>
      <c r="V957" s="8"/>
      <c r="W957" s="8"/>
      <c r="X957" s="8"/>
      <c r="Y957" s="8"/>
      <c r="Z957" s="8"/>
    </row>
    <row r="958" spans="1:26" ht="13.15" x14ac:dyDescent="0.4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204"/>
      <c r="S958" s="8"/>
      <c r="T958" s="8"/>
      <c r="U958" s="8"/>
      <c r="V958" s="8"/>
      <c r="W958" s="8"/>
      <c r="X958" s="8"/>
      <c r="Y958" s="8"/>
      <c r="Z958" s="8"/>
    </row>
    <row r="959" spans="1:26" ht="13.15" x14ac:dyDescent="0.4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204"/>
      <c r="S959" s="8"/>
      <c r="T959" s="8"/>
      <c r="U959" s="8"/>
      <c r="V959" s="8"/>
      <c r="W959" s="8"/>
      <c r="X959" s="8"/>
      <c r="Y959" s="8"/>
      <c r="Z959" s="8"/>
    </row>
    <row r="960" spans="1:26" ht="13.15" x14ac:dyDescent="0.4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204"/>
      <c r="S960" s="8"/>
      <c r="T960" s="8"/>
      <c r="U960" s="8"/>
      <c r="V960" s="8"/>
      <c r="W960" s="8"/>
      <c r="X960" s="8"/>
      <c r="Y960" s="8"/>
      <c r="Z960" s="8"/>
    </row>
    <row r="961" spans="1:26" ht="13.15" x14ac:dyDescent="0.4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204"/>
      <c r="S961" s="8"/>
      <c r="T961" s="8"/>
      <c r="U961" s="8"/>
      <c r="V961" s="8"/>
      <c r="W961" s="8"/>
      <c r="X961" s="8"/>
      <c r="Y961" s="8"/>
      <c r="Z961" s="8"/>
    </row>
    <row r="962" spans="1:26" ht="13.15" x14ac:dyDescent="0.4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204"/>
      <c r="S962" s="8"/>
      <c r="T962" s="8"/>
      <c r="U962" s="8"/>
      <c r="V962" s="8"/>
      <c r="W962" s="8"/>
      <c r="X962" s="8"/>
      <c r="Y962" s="8"/>
      <c r="Z962" s="8"/>
    </row>
    <row r="963" spans="1:26" ht="13.15" x14ac:dyDescent="0.4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204"/>
      <c r="S963" s="8"/>
      <c r="T963" s="8"/>
      <c r="U963" s="8"/>
      <c r="V963" s="8"/>
      <c r="W963" s="8"/>
      <c r="X963" s="8"/>
      <c r="Y963" s="8"/>
      <c r="Z963" s="8"/>
    </row>
    <row r="964" spans="1:26" ht="13.15" x14ac:dyDescent="0.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204"/>
      <c r="S964" s="8"/>
      <c r="T964" s="8"/>
      <c r="U964" s="8"/>
      <c r="V964" s="8"/>
      <c r="W964" s="8"/>
      <c r="X964" s="8"/>
      <c r="Y964" s="8"/>
      <c r="Z964" s="8"/>
    </row>
    <row r="965" spans="1:26" ht="13.15" x14ac:dyDescent="0.4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204"/>
      <c r="S965" s="8"/>
      <c r="T965" s="8"/>
      <c r="U965" s="8"/>
      <c r="V965" s="8"/>
      <c r="W965" s="8"/>
      <c r="X965" s="8"/>
      <c r="Y965" s="8"/>
      <c r="Z965" s="8"/>
    </row>
    <row r="966" spans="1:26" ht="13.15" x14ac:dyDescent="0.4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204"/>
      <c r="S966" s="8"/>
      <c r="T966" s="8"/>
      <c r="U966" s="8"/>
      <c r="V966" s="8"/>
      <c r="W966" s="8"/>
      <c r="X966" s="8"/>
      <c r="Y966" s="8"/>
      <c r="Z966" s="8"/>
    </row>
    <row r="967" spans="1:26" ht="13.15" x14ac:dyDescent="0.4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204"/>
      <c r="S967" s="8"/>
      <c r="T967" s="8"/>
      <c r="U967" s="8"/>
      <c r="V967" s="8"/>
      <c r="W967" s="8"/>
      <c r="X967" s="8"/>
      <c r="Y967" s="8"/>
      <c r="Z967" s="8"/>
    </row>
    <row r="968" spans="1:26" ht="13.15" x14ac:dyDescent="0.4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204"/>
      <c r="S968" s="8"/>
      <c r="T968" s="8"/>
      <c r="U968" s="8"/>
      <c r="V968" s="8"/>
      <c r="W968" s="8"/>
      <c r="X968" s="8"/>
      <c r="Y968" s="8"/>
      <c r="Z968" s="8"/>
    </row>
    <row r="969" spans="1:26" ht="13.15" x14ac:dyDescent="0.4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204"/>
      <c r="S969" s="8"/>
      <c r="T969" s="8"/>
      <c r="U969" s="8"/>
      <c r="V969" s="8"/>
      <c r="W969" s="8"/>
      <c r="X969" s="8"/>
      <c r="Y969" s="8"/>
      <c r="Z969" s="8"/>
    </row>
    <row r="970" spans="1:26" ht="13.15" x14ac:dyDescent="0.4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204"/>
      <c r="S970" s="8"/>
      <c r="T970" s="8"/>
      <c r="U970" s="8"/>
      <c r="V970" s="8"/>
      <c r="W970" s="8"/>
      <c r="X970" s="8"/>
      <c r="Y970" s="8"/>
      <c r="Z970" s="8"/>
    </row>
    <row r="971" spans="1:26" ht="13.15" x14ac:dyDescent="0.4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204"/>
      <c r="S971" s="8"/>
      <c r="T971" s="8"/>
      <c r="U971" s="8"/>
      <c r="V971" s="8"/>
      <c r="W971" s="8"/>
      <c r="X971" s="8"/>
      <c r="Y971" s="8"/>
      <c r="Z971" s="8"/>
    </row>
    <row r="972" spans="1:26" ht="13.15" x14ac:dyDescent="0.4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204"/>
      <c r="S972" s="8"/>
      <c r="T972" s="8"/>
      <c r="U972" s="8"/>
      <c r="V972" s="8"/>
      <c r="W972" s="8"/>
      <c r="X972" s="8"/>
      <c r="Y972" s="8"/>
      <c r="Z972" s="8"/>
    </row>
    <row r="973" spans="1:26" ht="13.15" x14ac:dyDescent="0.4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204"/>
      <c r="S973" s="8"/>
      <c r="T973" s="8"/>
      <c r="U973" s="8"/>
      <c r="V973" s="8"/>
      <c r="W973" s="8"/>
      <c r="X973" s="8"/>
      <c r="Y973" s="8"/>
      <c r="Z973" s="8"/>
    </row>
    <row r="974" spans="1:26" ht="13.15" x14ac:dyDescent="0.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204"/>
      <c r="S974" s="8"/>
      <c r="T974" s="8"/>
      <c r="U974" s="8"/>
      <c r="V974" s="8"/>
      <c r="W974" s="8"/>
      <c r="X974" s="8"/>
      <c r="Y974" s="8"/>
      <c r="Z974" s="8"/>
    </row>
    <row r="975" spans="1:26" ht="13.15" x14ac:dyDescent="0.4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204"/>
      <c r="S975" s="8"/>
      <c r="T975" s="8"/>
      <c r="U975" s="8"/>
      <c r="V975" s="8"/>
      <c r="W975" s="8"/>
      <c r="X975" s="8"/>
      <c r="Y975" s="8"/>
      <c r="Z975" s="8"/>
    </row>
    <row r="976" spans="1:26" ht="13.15" x14ac:dyDescent="0.4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204"/>
      <c r="S976" s="8"/>
      <c r="T976" s="8"/>
      <c r="U976" s="8"/>
      <c r="V976" s="8"/>
      <c r="W976" s="8"/>
      <c r="X976" s="8"/>
      <c r="Y976" s="8"/>
      <c r="Z976" s="8"/>
    </row>
    <row r="977" spans="1:26" ht="13.15" x14ac:dyDescent="0.4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204"/>
      <c r="S977" s="8"/>
      <c r="T977" s="8"/>
      <c r="U977" s="8"/>
      <c r="V977" s="8"/>
      <c r="W977" s="8"/>
      <c r="X977" s="8"/>
      <c r="Y977" s="8"/>
      <c r="Z977" s="8"/>
    </row>
    <row r="978" spans="1:26" ht="13.15" x14ac:dyDescent="0.4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204"/>
      <c r="S978" s="8"/>
      <c r="T978" s="8"/>
      <c r="U978" s="8"/>
      <c r="V978" s="8"/>
      <c r="W978" s="8"/>
      <c r="X978" s="8"/>
      <c r="Y978" s="8"/>
      <c r="Z978" s="8"/>
    </row>
    <row r="979" spans="1:26" ht="13.15" x14ac:dyDescent="0.4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204"/>
      <c r="S979" s="8"/>
      <c r="T979" s="8"/>
      <c r="U979" s="8"/>
      <c r="V979" s="8"/>
      <c r="W979" s="8"/>
      <c r="X979" s="8"/>
      <c r="Y979" s="8"/>
      <c r="Z979" s="8"/>
    </row>
    <row r="980" spans="1:26" ht="13.15" x14ac:dyDescent="0.4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204"/>
      <c r="S980" s="8"/>
      <c r="T980" s="8"/>
      <c r="U980" s="8"/>
      <c r="V980" s="8"/>
      <c r="W980" s="8"/>
      <c r="X980" s="8"/>
      <c r="Y980" s="8"/>
      <c r="Z980" s="8"/>
    </row>
    <row r="981" spans="1:26" ht="13.15" x14ac:dyDescent="0.4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204"/>
      <c r="S981" s="8"/>
      <c r="T981" s="8"/>
      <c r="U981" s="8"/>
      <c r="V981" s="8"/>
      <c r="W981" s="8"/>
      <c r="X981" s="8"/>
      <c r="Y981" s="8"/>
      <c r="Z981" s="8"/>
    </row>
    <row r="982" spans="1:26" ht="13.15" x14ac:dyDescent="0.4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204"/>
      <c r="S982" s="8"/>
      <c r="T982" s="8"/>
      <c r="U982" s="8"/>
      <c r="V982" s="8"/>
      <c r="W982" s="8"/>
      <c r="X982" s="8"/>
      <c r="Y982" s="8"/>
      <c r="Z982" s="8"/>
    </row>
    <row r="983" spans="1:26" ht="13.15" x14ac:dyDescent="0.4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204"/>
      <c r="S983" s="8"/>
      <c r="T983" s="8"/>
      <c r="U983" s="8"/>
      <c r="V983" s="8"/>
      <c r="W983" s="8"/>
      <c r="X983" s="8"/>
      <c r="Y983" s="8"/>
      <c r="Z983" s="8"/>
    </row>
    <row r="984" spans="1:26" ht="13.15" x14ac:dyDescent="0.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204"/>
      <c r="S984" s="8"/>
      <c r="T984" s="8"/>
      <c r="U984" s="8"/>
      <c r="V984" s="8"/>
      <c r="W984" s="8"/>
      <c r="X984" s="8"/>
      <c r="Y984" s="8"/>
      <c r="Z984" s="8"/>
    </row>
    <row r="985" spans="1:26" ht="13.15" x14ac:dyDescent="0.4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204"/>
      <c r="S985" s="8"/>
      <c r="T985" s="8"/>
      <c r="U985" s="8"/>
      <c r="V985" s="8"/>
      <c r="W985" s="8"/>
      <c r="X985" s="8"/>
      <c r="Y985" s="8"/>
      <c r="Z985" s="8"/>
    </row>
    <row r="986" spans="1:26" ht="13.15" x14ac:dyDescent="0.4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204"/>
      <c r="S986" s="8"/>
      <c r="T986" s="8"/>
      <c r="U986" s="8"/>
      <c r="V986" s="8"/>
      <c r="W986" s="8"/>
      <c r="X986" s="8"/>
      <c r="Y986" s="8"/>
      <c r="Z986" s="8"/>
    </row>
    <row r="987" spans="1:26" ht="13.15" x14ac:dyDescent="0.4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204"/>
      <c r="S987" s="8"/>
      <c r="T987" s="8"/>
      <c r="U987" s="8"/>
      <c r="V987" s="8"/>
      <c r="W987" s="8"/>
      <c r="X987" s="8"/>
      <c r="Y987" s="8"/>
      <c r="Z987" s="8"/>
    </row>
    <row r="988" spans="1:26" ht="13.15" x14ac:dyDescent="0.4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204"/>
      <c r="S988" s="8"/>
      <c r="T988" s="8"/>
      <c r="U988" s="8"/>
      <c r="V988" s="8"/>
      <c r="W988" s="8"/>
      <c r="X988" s="8"/>
      <c r="Y988" s="8"/>
      <c r="Z988" s="8"/>
    </row>
    <row r="989" spans="1:26" ht="13.15" x14ac:dyDescent="0.4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204"/>
      <c r="S989" s="8"/>
      <c r="T989" s="8"/>
      <c r="U989" s="8"/>
      <c r="V989" s="8"/>
      <c r="W989" s="8"/>
      <c r="X989" s="8"/>
      <c r="Y989" s="8"/>
      <c r="Z989" s="8"/>
    </row>
    <row r="990" spans="1:26" ht="13.15" x14ac:dyDescent="0.4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204"/>
      <c r="S990" s="8"/>
      <c r="T990" s="8"/>
      <c r="U990" s="8"/>
      <c r="V990" s="8"/>
      <c r="W990" s="8"/>
      <c r="X990" s="8"/>
      <c r="Y990" s="8"/>
      <c r="Z990" s="8"/>
    </row>
    <row r="991" spans="1:26" ht="13.15" x14ac:dyDescent="0.4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204"/>
      <c r="S991" s="8"/>
      <c r="T991" s="8"/>
      <c r="U991" s="8"/>
      <c r="V991" s="8"/>
      <c r="W991" s="8"/>
      <c r="X991" s="8"/>
      <c r="Y991" s="8"/>
      <c r="Z991" s="8"/>
    </row>
    <row r="992" spans="1:26" ht="13.15" x14ac:dyDescent="0.4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204"/>
      <c r="S992" s="8"/>
      <c r="T992" s="8"/>
      <c r="U992" s="8"/>
      <c r="V992" s="8"/>
      <c r="W992" s="8"/>
      <c r="X992" s="8"/>
      <c r="Y992" s="8"/>
      <c r="Z992" s="8"/>
    </row>
    <row r="993" spans="1:26" ht="13.15" x14ac:dyDescent="0.4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204"/>
      <c r="S993" s="8"/>
      <c r="T993" s="8"/>
      <c r="U993" s="8"/>
      <c r="V993" s="8"/>
      <c r="W993" s="8"/>
      <c r="X993" s="8"/>
      <c r="Y993" s="8"/>
      <c r="Z993" s="8"/>
    </row>
    <row r="994" spans="1:26" ht="13.15" x14ac:dyDescent="0.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204"/>
      <c r="S994" s="8"/>
      <c r="T994" s="8"/>
      <c r="U994" s="8"/>
      <c r="V994" s="8"/>
      <c r="W994" s="8"/>
      <c r="X994" s="8"/>
      <c r="Y994" s="8"/>
      <c r="Z994" s="8"/>
    </row>
    <row r="995" spans="1:26" ht="13.15" x14ac:dyDescent="0.4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204"/>
      <c r="S995" s="8"/>
      <c r="T995" s="8"/>
      <c r="U995" s="8"/>
      <c r="V995" s="8"/>
      <c r="W995" s="8"/>
      <c r="X995" s="8"/>
      <c r="Y995" s="8"/>
      <c r="Z995" s="8"/>
    </row>
    <row r="996" spans="1:26" ht="13.15" x14ac:dyDescent="0.4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204"/>
      <c r="S996" s="8"/>
      <c r="T996" s="8"/>
      <c r="U996" s="8"/>
      <c r="V996" s="8"/>
      <c r="W996" s="8"/>
      <c r="X996" s="8"/>
      <c r="Y996" s="8"/>
      <c r="Z996" s="8"/>
    </row>
    <row r="997" spans="1:26" ht="13.15" x14ac:dyDescent="0.4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204"/>
      <c r="S997" s="8"/>
      <c r="T997" s="8"/>
      <c r="U997" s="8"/>
      <c r="V997" s="8"/>
      <c r="W997" s="8"/>
      <c r="X997" s="8"/>
      <c r="Y997" s="8"/>
      <c r="Z997" s="8"/>
    </row>
    <row r="998" spans="1:26" ht="13.15" x14ac:dyDescent="0.4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204"/>
      <c r="S998" s="8"/>
      <c r="T998" s="8"/>
      <c r="U998" s="8"/>
      <c r="V998" s="8"/>
      <c r="W998" s="8"/>
      <c r="X998" s="8"/>
      <c r="Y998" s="8"/>
      <c r="Z998" s="8"/>
    </row>
    <row r="999" spans="1:26" ht="13.15" x14ac:dyDescent="0.4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204"/>
      <c r="S999" s="8"/>
      <c r="T999" s="8"/>
      <c r="U999" s="8"/>
      <c r="V999" s="8"/>
      <c r="W999" s="8"/>
      <c r="X999" s="8"/>
      <c r="Y999" s="8"/>
      <c r="Z999" s="8"/>
    </row>
    <row r="1000" spans="1:26" ht="13.15" x14ac:dyDescent="0.4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204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1000"/>
  <sheetViews>
    <sheetView workbookViewId="0"/>
  </sheetViews>
  <sheetFormatPr defaultColWidth="12.59765625" defaultRowHeight="15.75" customHeight="1" x14ac:dyDescent="0.35"/>
  <cols>
    <col min="1" max="1" width="21.265625" customWidth="1"/>
    <col min="2" max="2" width="16.86328125" customWidth="1"/>
    <col min="4" max="4" width="19.59765625" customWidth="1"/>
    <col min="5" max="5" width="18.1328125" customWidth="1"/>
    <col min="7" max="7" width="20.86328125" customWidth="1"/>
  </cols>
  <sheetData>
    <row r="1" spans="1:27" ht="15.75" customHeight="1" x14ac:dyDescent="0.4">
      <c r="A1" s="194"/>
      <c r="B1" s="195" t="s">
        <v>236</v>
      </c>
      <c r="C1" s="195" t="s">
        <v>237</v>
      </c>
      <c r="D1" s="195" t="s">
        <v>238</v>
      </c>
      <c r="E1" s="195" t="s">
        <v>239</v>
      </c>
      <c r="F1" s="8"/>
      <c r="G1" s="8" t="s">
        <v>240</v>
      </c>
      <c r="H1" s="10">
        <f>SUM(C12:C14)</f>
        <v>10011.862500000001</v>
      </c>
      <c r="I1" s="8" t="s">
        <v>241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 spans="1:27" ht="15.75" customHeight="1" x14ac:dyDescent="0.4">
      <c r="A2" s="301" t="s">
        <v>242</v>
      </c>
      <c r="B2" s="8" t="s">
        <v>243</v>
      </c>
      <c r="C2" s="10">
        <f>Parameters!E37</f>
        <v>9</v>
      </c>
      <c r="D2" s="10">
        <f>Parameters!G36</f>
        <v>496</v>
      </c>
      <c r="E2" s="10">
        <f t="shared" ref="E2:E4" si="0">C2*D2</f>
        <v>4464</v>
      </c>
      <c r="F2" s="8"/>
      <c r="G2" s="8" t="s">
        <v>244</v>
      </c>
      <c r="H2" s="10">
        <f>SUM(E2:E5)</f>
        <v>8652</v>
      </c>
      <c r="I2" s="8" t="s">
        <v>241</v>
      </c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 spans="1:27" ht="15.75" customHeight="1" x14ac:dyDescent="0.4">
      <c r="A3" s="295"/>
      <c r="B3" s="8" t="s">
        <v>207</v>
      </c>
      <c r="C3" s="10">
        <f>Parameters!E38</f>
        <v>7</v>
      </c>
      <c r="D3" s="196">
        <v>240</v>
      </c>
      <c r="E3" s="10">
        <f t="shared" si="0"/>
        <v>1680</v>
      </c>
      <c r="F3" s="8"/>
      <c r="G3" s="8" t="s">
        <v>245</v>
      </c>
      <c r="H3" s="197">
        <f>H2/H1</f>
        <v>0.86417487255742864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 spans="1:27" ht="15.75" customHeight="1" x14ac:dyDescent="0.4">
      <c r="A4" s="295"/>
      <c r="B4" s="8" t="s">
        <v>174</v>
      </c>
      <c r="C4" s="10">
        <f>IF(Parameters!E39="y",1,0)</f>
        <v>1</v>
      </c>
      <c r="D4" s="196">
        <v>100</v>
      </c>
      <c r="E4" s="10">
        <f t="shared" si="0"/>
        <v>100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 spans="1:27" ht="15.75" customHeight="1" x14ac:dyDescent="0.4">
      <c r="B5" s="12" t="s">
        <v>246</v>
      </c>
      <c r="C5" s="8"/>
      <c r="D5" s="8"/>
      <c r="E5" s="196">
        <v>2408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 spans="1:27" ht="15.75" customHeight="1" x14ac:dyDescent="0.4">
      <c r="A6" s="12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 spans="1:27" ht="15.75" customHeight="1" x14ac:dyDescent="0.4">
      <c r="A7" s="194" t="s">
        <v>247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 spans="1:27" ht="15.75" customHeight="1" x14ac:dyDescent="0.4">
      <c r="A8" s="12" t="s">
        <v>248</v>
      </c>
      <c r="B8" s="10">
        <f>Parameters!B55*365*5</f>
        <v>1169825</v>
      </c>
      <c r="C8" s="8" t="s">
        <v>74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27" ht="15.75" customHeight="1" x14ac:dyDescent="0.4">
      <c r="A9" s="12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spans="1:27" ht="15.75" customHeight="1" x14ac:dyDescent="0.4">
      <c r="A10" s="12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1:27" ht="15.75" customHeight="1" x14ac:dyDescent="0.4">
      <c r="A11" s="98"/>
      <c r="B11" s="8" t="s">
        <v>249</v>
      </c>
      <c r="C11" s="8" t="s">
        <v>250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 spans="1:27" ht="15.75" customHeight="1" x14ac:dyDescent="0.4">
      <c r="A12" s="12" t="s">
        <v>251</v>
      </c>
      <c r="B12" s="196">
        <v>0.1</v>
      </c>
      <c r="C12" s="10">
        <f t="shared" ref="C12:C13" si="1">B12*($B$8/1000)</f>
        <v>116.98250000000002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spans="1:27" ht="15.75" customHeight="1" x14ac:dyDescent="0.4">
      <c r="A13" s="12" t="s">
        <v>252</v>
      </c>
      <c r="B13" s="196">
        <v>6.4</v>
      </c>
      <c r="C13" s="10">
        <f t="shared" si="1"/>
        <v>7486.880000000001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 spans="1:27" ht="15.75" customHeight="1" x14ac:dyDescent="0.4">
      <c r="A14" s="12" t="str">
        <f>B5</f>
        <v>Storage &amp; Distribution of Water to House</v>
      </c>
      <c r="B14" s="8"/>
      <c r="C14" s="196">
        <f>E5</f>
        <v>2408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 spans="1:27" ht="15.75" customHeight="1" x14ac:dyDescent="0.4">
      <c r="A15" s="12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 spans="1:27" ht="15.75" customHeight="1" x14ac:dyDescent="0.4">
      <c r="A16" s="12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27" ht="15.75" customHeight="1" x14ac:dyDescent="0.4">
      <c r="A17" s="12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ht="15.75" customHeight="1" x14ac:dyDescent="0.4">
      <c r="A18" s="12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27" ht="15.75" customHeight="1" x14ac:dyDescent="0.4">
      <c r="A19" s="12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spans="1:27" ht="15.75" customHeight="1" x14ac:dyDescent="0.4">
      <c r="A20" s="12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spans="1:27" ht="15.75" customHeight="1" x14ac:dyDescent="0.4">
      <c r="A21" s="12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spans="1:27" ht="15.75" customHeight="1" x14ac:dyDescent="0.4">
      <c r="A22" s="12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27" ht="15.75" customHeight="1" x14ac:dyDescent="0.4">
      <c r="A23" s="12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spans="1:27" ht="15.75" customHeight="1" x14ac:dyDescent="0.4">
      <c r="A24" s="12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27" ht="15.75" customHeight="1" x14ac:dyDescent="0.4">
      <c r="A25" s="12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15.75" customHeight="1" x14ac:dyDescent="0.4">
      <c r="A26" s="12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spans="1:27" ht="15.75" customHeight="1" x14ac:dyDescent="0.4">
      <c r="A27" s="12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1:27" ht="13.15" x14ac:dyDescent="0.4">
      <c r="A28" s="12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27" ht="13.15" x14ac:dyDescent="0.4">
      <c r="A29" s="12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spans="1:27" ht="13.15" x14ac:dyDescent="0.4">
      <c r="A30" s="12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spans="1:27" ht="13.15" x14ac:dyDescent="0.4">
      <c r="A31" s="12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spans="1:27" ht="13.15" x14ac:dyDescent="0.4">
      <c r="A32" s="12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spans="1:27" ht="13.15" x14ac:dyDescent="0.4">
      <c r="A33" s="12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spans="1:27" ht="13.15" x14ac:dyDescent="0.4">
      <c r="A34" s="12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spans="1:27" ht="13.15" x14ac:dyDescent="0.4">
      <c r="A35" s="12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spans="1:27" ht="13.15" x14ac:dyDescent="0.4">
      <c r="A36" s="12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spans="1:27" ht="13.15" x14ac:dyDescent="0.4">
      <c r="A37" s="12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spans="1:27" ht="13.15" x14ac:dyDescent="0.4">
      <c r="A38" s="12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spans="1:27" ht="13.15" x14ac:dyDescent="0.4">
      <c r="A39" s="12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spans="1:27" ht="13.15" x14ac:dyDescent="0.4">
      <c r="A40" s="12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spans="1:27" ht="13.15" x14ac:dyDescent="0.4">
      <c r="A41" s="12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spans="1:27" ht="13.15" x14ac:dyDescent="0.4">
      <c r="A42" s="12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spans="1:27" ht="13.15" x14ac:dyDescent="0.4">
      <c r="A43" s="12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spans="1:27" ht="13.15" x14ac:dyDescent="0.4">
      <c r="A44" s="12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spans="1:27" ht="13.15" x14ac:dyDescent="0.4">
      <c r="A45" s="12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spans="1:27" ht="13.15" x14ac:dyDescent="0.4">
      <c r="A46" s="12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spans="1:27" ht="13.15" x14ac:dyDescent="0.4">
      <c r="A47" s="12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 spans="1:27" ht="13.15" x14ac:dyDescent="0.4">
      <c r="A48" s="12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 spans="1:27" ht="13.15" x14ac:dyDescent="0.4">
      <c r="A49" s="12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 spans="1:27" ht="13.15" x14ac:dyDescent="0.4">
      <c r="A50" s="12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 spans="1:27" ht="13.15" x14ac:dyDescent="0.4">
      <c r="A51" s="12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 spans="1:27" ht="13.15" x14ac:dyDescent="0.4">
      <c r="A52" s="12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 spans="1:27" ht="13.15" x14ac:dyDescent="0.4">
      <c r="A53" s="12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 spans="1:27" ht="13.15" x14ac:dyDescent="0.4">
      <c r="A54" s="12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 spans="1:27" ht="13.15" x14ac:dyDescent="0.4">
      <c r="A55" s="12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 spans="1:27" ht="13.15" x14ac:dyDescent="0.4">
      <c r="A56" s="12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 spans="1:27" ht="13.15" x14ac:dyDescent="0.4">
      <c r="A57" s="12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 spans="1:27" ht="13.15" x14ac:dyDescent="0.4">
      <c r="A58" s="12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 spans="1:27" ht="13.15" x14ac:dyDescent="0.4">
      <c r="A59" s="12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 spans="1:27" ht="13.15" x14ac:dyDescent="0.4">
      <c r="A60" s="12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 spans="1:27" ht="13.15" x14ac:dyDescent="0.4">
      <c r="A61" s="12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 spans="1:27" ht="13.15" x14ac:dyDescent="0.4">
      <c r="A62" s="12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 spans="1:27" ht="13.15" x14ac:dyDescent="0.4">
      <c r="A63" s="12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 spans="1:27" ht="13.15" x14ac:dyDescent="0.4">
      <c r="A64" s="12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 spans="1:27" ht="13.15" x14ac:dyDescent="0.4">
      <c r="A65" s="12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 spans="1:27" ht="13.15" x14ac:dyDescent="0.4">
      <c r="A66" s="12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 spans="1:27" ht="13.15" x14ac:dyDescent="0.4">
      <c r="A67" s="12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 spans="1:27" ht="13.15" x14ac:dyDescent="0.4">
      <c r="A68" s="12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 spans="1:27" ht="13.15" x14ac:dyDescent="0.4">
      <c r="A69" s="12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 spans="1:27" ht="13.15" x14ac:dyDescent="0.4">
      <c r="A70" s="12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 spans="1:27" ht="13.15" x14ac:dyDescent="0.4">
      <c r="A71" s="12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 spans="1:27" ht="13.15" x14ac:dyDescent="0.4">
      <c r="A72" s="12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 spans="1:27" ht="13.15" x14ac:dyDescent="0.4">
      <c r="A73" s="12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 spans="1:27" ht="13.15" x14ac:dyDescent="0.4">
      <c r="A74" s="12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 spans="1:27" ht="13.15" x14ac:dyDescent="0.4">
      <c r="A75" s="12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 spans="1:27" ht="13.15" x14ac:dyDescent="0.4">
      <c r="A76" s="12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 spans="1:27" ht="13.15" x14ac:dyDescent="0.4">
      <c r="A77" s="12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 spans="1:27" ht="13.15" x14ac:dyDescent="0.4">
      <c r="A78" s="12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 spans="1:27" ht="13.15" x14ac:dyDescent="0.4">
      <c r="A79" s="12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 spans="1:27" ht="13.15" x14ac:dyDescent="0.4">
      <c r="A80" s="12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 spans="1:27" ht="13.15" x14ac:dyDescent="0.4">
      <c r="A81" s="12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 spans="1:27" ht="13.15" x14ac:dyDescent="0.4">
      <c r="A82" s="12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 spans="1:27" ht="13.15" x14ac:dyDescent="0.4">
      <c r="A83" s="12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 spans="1:27" ht="13.15" x14ac:dyDescent="0.4">
      <c r="A84" s="12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 spans="1:27" ht="13.15" x14ac:dyDescent="0.4">
      <c r="A85" s="12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 spans="1:27" ht="13.15" x14ac:dyDescent="0.4">
      <c r="A86" s="12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 spans="1:27" ht="13.15" x14ac:dyDescent="0.4">
      <c r="A87" s="12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 spans="1:27" ht="13.15" x14ac:dyDescent="0.4">
      <c r="A88" s="12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 spans="1:27" ht="13.15" x14ac:dyDescent="0.4">
      <c r="A89" s="12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 spans="1:27" ht="13.15" x14ac:dyDescent="0.4">
      <c r="A90" s="12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 spans="1:27" ht="13.15" x14ac:dyDescent="0.4">
      <c r="A91" s="12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 spans="1:27" ht="13.15" x14ac:dyDescent="0.4">
      <c r="A92" s="12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 spans="1:27" ht="13.15" x14ac:dyDescent="0.4">
      <c r="A93" s="12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 spans="1:27" ht="13.15" x14ac:dyDescent="0.4">
      <c r="A94" s="12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 spans="1:27" ht="13.15" x14ac:dyDescent="0.4">
      <c r="A95" s="12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 spans="1:27" ht="13.15" x14ac:dyDescent="0.4">
      <c r="A96" s="12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 spans="1:27" ht="13.15" x14ac:dyDescent="0.4">
      <c r="A97" s="12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 spans="1:27" ht="13.15" x14ac:dyDescent="0.4">
      <c r="A98" s="12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 spans="1:27" ht="13.15" x14ac:dyDescent="0.4">
      <c r="A99" s="12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 spans="1:27" ht="13.15" x14ac:dyDescent="0.4">
      <c r="A100" s="12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 spans="1:27" ht="13.15" x14ac:dyDescent="0.4">
      <c r="A101" s="12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spans="1:27" ht="13.15" x14ac:dyDescent="0.4">
      <c r="A102" s="12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 spans="1:27" ht="13.15" x14ac:dyDescent="0.4">
      <c r="A103" s="12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 spans="1:27" ht="13.15" x14ac:dyDescent="0.4">
      <c r="A104" s="12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 spans="1:27" ht="13.15" x14ac:dyDescent="0.4">
      <c r="A105" s="12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 spans="1:27" ht="13.15" x14ac:dyDescent="0.4">
      <c r="A106" s="12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 spans="1:27" ht="13.15" x14ac:dyDescent="0.4">
      <c r="A107" s="12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 spans="1:27" ht="13.15" x14ac:dyDescent="0.4">
      <c r="A108" s="12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 spans="1:27" ht="13.15" x14ac:dyDescent="0.4">
      <c r="A109" s="12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 spans="1:27" ht="13.15" x14ac:dyDescent="0.4">
      <c r="A110" s="12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 spans="1:27" ht="13.15" x14ac:dyDescent="0.4">
      <c r="A111" s="12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 spans="1:27" ht="13.15" x14ac:dyDescent="0.4">
      <c r="A112" s="12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 spans="1:27" ht="13.15" x14ac:dyDescent="0.4">
      <c r="A113" s="12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 spans="1:27" ht="13.15" x14ac:dyDescent="0.4">
      <c r="A114" s="12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 spans="1:27" ht="13.15" x14ac:dyDescent="0.4">
      <c r="A115" s="12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 spans="1:27" ht="13.15" x14ac:dyDescent="0.4">
      <c r="A116" s="12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 spans="1:27" ht="13.15" x14ac:dyDescent="0.4">
      <c r="A117" s="12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 spans="1:27" ht="13.15" x14ac:dyDescent="0.4">
      <c r="A118" s="12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 spans="1:27" ht="13.15" x14ac:dyDescent="0.4">
      <c r="A119" s="12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 spans="1:27" ht="13.15" x14ac:dyDescent="0.4">
      <c r="A120" s="12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 spans="1:27" ht="13.15" x14ac:dyDescent="0.4">
      <c r="A121" s="12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 spans="1:27" ht="13.15" x14ac:dyDescent="0.4">
      <c r="A122" s="12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 spans="1:27" ht="13.15" x14ac:dyDescent="0.4">
      <c r="A123" s="12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 spans="1:27" ht="13.15" x14ac:dyDescent="0.4">
      <c r="A124" s="12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 spans="1:27" ht="13.15" x14ac:dyDescent="0.4">
      <c r="A125" s="12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 spans="1:27" ht="13.15" x14ac:dyDescent="0.4">
      <c r="A126" s="12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 spans="1:27" ht="13.15" x14ac:dyDescent="0.4">
      <c r="A127" s="12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 spans="1:27" ht="13.15" x14ac:dyDescent="0.4">
      <c r="A128" s="12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 spans="1:27" ht="13.15" x14ac:dyDescent="0.4">
      <c r="A129" s="12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 spans="1:27" ht="13.15" x14ac:dyDescent="0.4">
      <c r="A130" s="12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 spans="1:27" ht="13.15" x14ac:dyDescent="0.4">
      <c r="A131" s="12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 spans="1:27" ht="13.15" x14ac:dyDescent="0.4">
      <c r="A132" s="12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 spans="1:27" ht="13.15" x14ac:dyDescent="0.4">
      <c r="A133" s="12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 spans="1:27" ht="13.15" x14ac:dyDescent="0.4">
      <c r="A134" s="12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 spans="1:27" ht="13.15" x14ac:dyDescent="0.4">
      <c r="A135" s="12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 spans="1:27" ht="13.15" x14ac:dyDescent="0.4">
      <c r="A136" s="12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 spans="1:27" ht="13.15" x14ac:dyDescent="0.4">
      <c r="A137" s="12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 spans="1:27" ht="13.15" x14ac:dyDescent="0.4">
      <c r="A138" s="12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 spans="1:27" ht="13.15" x14ac:dyDescent="0.4">
      <c r="A139" s="12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 spans="1:27" ht="13.15" x14ac:dyDescent="0.4">
      <c r="A140" s="12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 spans="1:27" ht="13.15" x14ac:dyDescent="0.4">
      <c r="A141" s="12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 spans="1:27" ht="13.15" x14ac:dyDescent="0.4">
      <c r="A142" s="12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 spans="1:27" ht="13.15" x14ac:dyDescent="0.4">
      <c r="A143" s="12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 spans="1:27" ht="13.15" x14ac:dyDescent="0.4">
      <c r="A144" s="12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 spans="1:27" ht="13.15" x14ac:dyDescent="0.4">
      <c r="A145" s="12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 spans="1:27" ht="13.15" x14ac:dyDescent="0.4">
      <c r="A146" s="12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 spans="1:27" ht="13.15" x14ac:dyDescent="0.4">
      <c r="A147" s="12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 spans="1:27" ht="13.15" x14ac:dyDescent="0.4">
      <c r="A148" s="12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 spans="1:27" ht="13.15" x14ac:dyDescent="0.4">
      <c r="A149" s="12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 spans="1:27" ht="13.15" x14ac:dyDescent="0.4">
      <c r="A150" s="12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 spans="1:27" ht="13.15" x14ac:dyDescent="0.4">
      <c r="A151" s="12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 spans="1:27" ht="13.15" x14ac:dyDescent="0.4">
      <c r="A152" s="12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 spans="1:27" ht="13.15" x14ac:dyDescent="0.4">
      <c r="A153" s="12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 spans="1:27" ht="13.15" x14ac:dyDescent="0.4">
      <c r="A154" s="12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 spans="1:27" ht="13.15" x14ac:dyDescent="0.4">
      <c r="A155" s="12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 spans="1:27" ht="13.15" x14ac:dyDescent="0.4">
      <c r="A156" s="12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 spans="1:27" ht="13.15" x14ac:dyDescent="0.4">
      <c r="A157" s="12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 spans="1:27" ht="13.15" x14ac:dyDescent="0.4">
      <c r="A158" s="12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 spans="1:27" ht="13.15" x14ac:dyDescent="0.4">
      <c r="A159" s="12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 spans="1:27" ht="13.15" x14ac:dyDescent="0.4">
      <c r="A160" s="12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 spans="1:27" ht="13.15" x14ac:dyDescent="0.4">
      <c r="A161" s="12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 spans="1:27" ht="13.15" x14ac:dyDescent="0.4">
      <c r="A162" s="12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 spans="1:27" ht="13.15" x14ac:dyDescent="0.4">
      <c r="A163" s="12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 spans="1:27" ht="13.15" x14ac:dyDescent="0.4">
      <c r="A164" s="12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 spans="1:27" ht="13.15" x14ac:dyDescent="0.4">
      <c r="A165" s="12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 spans="1:27" ht="13.15" x14ac:dyDescent="0.4">
      <c r="A166" s="12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 spans="1:27" ht="13.15" x14ac:dyDescent="0.4">
      <c r="A167" s="12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 spans="1:27" ht="13.15" x14ac:dyDescent="0.4">
      <c r="A168" s="12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 spans="1:27" ht="13.15" x14ac:dyDescent="0.4">
      <c r="A169" s="12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 spans="1:27" ht="13.15" x14ac:dyDescent="0.4">
      <c r="A170" s="12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 spans="1:27" ht="13.15" x14ac:dyDescent="0.4">
      <c r="A171" s="12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 spans="1:27" ht="13.15" x14ac:dyDescent="0.4">
      <c r="A172" s="12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 spans="1:27" ht="13.15" x14ac:dyDescent="0.4">
      <c r="A173" s="12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 spans="1:27" ht="13.15" x14ac:dyDescent="0.4">
      <c r="A174" s="12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 spans="1:27" ht="13.15" x14ac:dyDescent="0.4">
      <c r="A175" s="12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 spans="1:27" ht="13.15" x14ac:dyDescent="0.4">
      <c r="A176" s="12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 spans="1:27" ht="13.15" x14ac:dyDescent="0.4">
      <c r="A177" s="12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 spans="1:27" ht="13.15" x14ac:dyDescent="0.4">
      <c r="A178" s="12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 spans="1:27" ht="13.15" x14ac:dyDescent="0.4">
      <c r="A179" s="12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 spans="1:27" ht="13.15" x14ac:dyDescent="0.4">
      <c r="A180" s="12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 spans="1:27" ht="13.15" x14ac:dyDescent="0.4">
      <c r="A181" s="12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 spans="1:27" ht="13.15" x14ac:dyDescent="0.4">
      <c r="A182" s="12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 spans="1:27" ht="13.15" x14ac:dyDescent="0.4">
      <c r="A183" s="12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 spans="1:27" ht="13.15" x14ac:dyDescent="0.4">
      <c r="A184" s="12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 spans="1:27" ht="13.15" x14ac:dyDescent="0.4">
      <c r="A185" s="12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 spans="1:27" ht="13.15" x14ac:dyDescent="0.4">
      <c r="A186" s="12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 spans="1:27" ht="13.15" x14ac:dyDescent="0.4">
      <c r="A187" s="12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 spans="1:27" ht="13.15" x14ac:dyDescent="0.4">
      <c r="A188" s="12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 spans="1:27" ht="13.15" x14ac:dyDescent="0.4">
      <c r="A189" s="12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 spans="1:27" ht="13.15" x14ac:dyDescent="0.4">
      <c r="A190" s="12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 spans="1:27" ht="13.15" x14ac:dyDescent="0.4">
      <c r="A191" s="12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 spans="1:27" ht="13.15" x14ac:dyDescent="0.4">
      <c r="A192" s="12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 spans="1:27" ht="13.15" x14ac:dyDescent="0.4">
      <c r="A193" s="12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 spans="1:27" ht="13.15" x14ac:dyDescent="0.4">
      <c r="A194" s="12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 spans="1:27" ht="13.15" x14ac:dyDescent="0.4">
      <c r="A195" s="12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 spans="1:27" ht="13.15" x14ac:dyDescent="0.4">
      <c r="A196" s="12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 spans="1:27" ht="13.15" x14ac:dyDescent="0.4">
      <c r="A197" s="12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 spans="1:27" ht="13.15" x14ac:dyDescent="0.4">
      <c r="A198" s="12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 spans="1:27" ht="13.15" x14ac:dyDescent="0.4">
      <c r="A199" s="12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 spans="1:27" ht="13.15" x14ac:dyDescent="0.4">
      <c r="A200" s="12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 spans="1:27" ht="13.15" x14ac:dyDescent="0.4">
      <c r="A201" s="12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spans="1:27" ht="13.15" x14ac:dyDescent="0.4">
      <c r="A202" s="12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 spans="1:27" ht="13.15" x14ac:dyDescent="0.4">
      <c r="A203" s="12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 spans="1:27" ht="13.15" x14ac:dyDescent="0.4">
      <c r="A204" s="12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 spans="1:27" ht="13.15" x14ac:dyDescent="0.4">
      <c r="A205" s="12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 spans="1:27" ht="13.15" x14ac:dyDescent="0.4">
      <c r="A206" s="12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 spans="1:27" ht="13.15" x14ac:dyDescent="0.4">
      <c r="A207" s="12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 spans="1:27" ht="13.15" x14ac:dyDescent="0.4">
      <c r="A208" s="12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 spans="1:27" ht="13.15" x14ac:dyDescent="0.4">
      <c r="A209" s="12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 spans="1:27" ht="13.15" x14ac:dyDescent="0.4">
      <c r="A210" s="12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 spans="1:27" ht="13.15" x14ac:dyDescent="0.4">
      <c r="A211" s="12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 spans="1:27" ht="13.15" x14ac:dyDescent="0.4">
      <c r="A212" s="12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 spans="1:27" ht="13.15" x14ac:dyDescent="0.4">
      <c r="A213" s="12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 spans="1:27" ht="13.15" x14ac:dyDescent="0.4">
      <c r="A214" s="12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 spans="1:27" ht="13.15" x14ac:dyDescent="0.4">
      <c r="A215" s="12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 spans="1:27" ht="13.15" x14ac:dyDescent="0.4">
      <c r="A216" s="12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 spans="1:27" ht="13.15" x14ac:dyDescent="0.4">
      <c r="A217" s="12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 spans="1:27" ht="13.15" x14ac:dyDescent="0.4">
      <c r="A218" s="12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 spans="1:27" ht="13.15" x14ac:dyDescent="0.4">
      <c r="A219" s="12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 spans="1:27" ht="13.15" x14ac:dyDescent="0.4">
      <c r="A220" s="12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 spans="1:27" ht="13.15" x14ac:dyDescent="0.4">
      <c r="A221" s="12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 spans="1:27" ht="13.15" x14ac:dyDescent="0.4">
      <c r="A222" s="12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 spans="1:27" ht="13.15" x14ac:dyDescent="0.4">
      <c r="A223" s="12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 spans="1:27" ht="13.15" x14ac:dyDescent="0.4">
      <c r="A224" s="12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 spans="1:27" ht="13.15" x14ac:dyDescent="0.4">
      <c r="A225" s="12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 spans="1:27" ht="13.15" x14ac:dyDescent="0.4">
      <c r="A226" s="12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 spans="1:27" ht="13.15" x14ac:dyDescent="0.4">
      <c r="A227" s="12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 spans="1:27" ht="13.15" x14ac:dyDescent="0.4">
      <c r="A228" s="12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 spans="1:27" ht="13.15" x14ac:dyDescent="0.4">
      <c r="A229" s="12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 spans="1:27" ht="13.15" x14ac:dyDescent="0.4">
      <c r="A230" s="12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 spans="1:27" ht="13.15" x14ac:dyDescent="0.4">
      <c r="A231" s="12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 spans="1:27" ht="13.15" x14ac:dyDescent="0.4">
      <c r="A232" s="12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 spans="1:27" ht="13.15" x14ac:dyDescent="0.4">
      <c r="A233" s="12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 spans="1:27" ht="13.15" x14ac:dyDescent="0.4">
      <c r="A234" s="12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 spans="1:27" ht="13.15" x14ac:dyDescent="0.4">
      <c r="A235" s="12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 spans="1:27" ht="13.15" x14ac:dyDescent="0.4">
      <c r="A236" s="12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 spans="1:27" ht="13.15" x14ac:dyDescent="0.4">
      <c r="A237" s="12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 spans="1:27" ht="13.15" x14ac:dyDescent="0.4">
      <c r="A238" s="12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 spans="1:27" ht="13.15" x14ac:dyDescent="0.4">
      <c r="A239" s="12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 spans="1:27" ht="13.15" x14ac:dyDescent="0.4">
      <c r="A240" s="12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 spans="1:27" ht="13.15" x14ac:dyDescent="0.4">
      <c r="A241" s="12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 spans="1:27" ht="13.15" x14ac:dyDescent="0.4">
      <c r="A242" s="12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 spans="1:27" ht="13.15" x14ac:dyDescent="0.4">
      <c r="A243" s="12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 spans="1:27" ht="13.15" x14ac:dyDescent="0.4">
      <c r="A244" s="12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 spans="1:27" ht="13.15" x14ac:dyDescent="0.4">
      <c r="A245" s="12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 spans="1:27" ht="13.15" x14ac:dyDescent="0.4">
      <c r="A246" s="12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 spans="1:27" ht="13.15" x14ac:dyDescent="0.4">
      <c r="A247" s="12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 spans="1:27" ht="13.15" x14ac:dyDescent="0.4">
      <c r="A248" s="12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 spans="1:27" ht="13.15" x14ac:dyDescent="0.4">
      <c r="A249" s="12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 spans="1:27" ht="13.15" x14ac:dyDescent="0.4">
      <c r="A250" s="12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 spans="1:27" ht="13.15" x14ac:dyDescent="0.4">
      <c r="A251" s="12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 spans="1:27" ht="13.15" x14ac:dyDescent="0.4">
      <c r="A252" s="12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 spans="1:27" ht="13.15" x14ac:dyDescent="0.4">
      <c r="A253" s="12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 spans="1:27" ht="13.15" x14ac:dyDescent="0.4">
      <c r="A254" s="12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 spans="1:27" ht="13.15" x14ac:dyDescent="0.4">
      <c r="A255" s="12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 spans="1:27" ht="13.15" x14ac:dyDescent="0.4">
      <c r="A256" s="12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 spans="1:27" ht="13.15" x14ac:dyDescent="0.4">
      <c r="A257" s="12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 spans="1:27" ht="13.15" x14ac:dyDescent="0.4">
      <c r="A258" s="12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 spans="1:27" ht="13.15" x14ac:dyDescent="0.4">
      <c r="A259" s="12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 spans="1:27" ht="13.15" x14ac:dyDescent="0.4">
      <c r="A260" s="12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 spans="1:27" ht="13.15" x14ac:dyDescent="0.4">
      <c r="A261" s="12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 spans="1:27" ht="13.15" x14ac:dyDescent="0.4">
      <c r="A262" s="12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 spans="1:27" ht="13.15" x14ac:dyDescent="0.4">
      <c r="A263" s="12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 spans="1:27" ht="13.15" x14ac:dyDescent="0.4">
      <c r="A264" s="12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 spans="1:27" ht="13.15" x14ac:dyDescent="0.4">
      <c r="A265" s="12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 spans="1:27" ht="13.15" x14ac:dyDescent="0.4">
      <c r="A266" s="12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 spans="1:27" ht="13.15" x14ac:dyDescent="0.4">
      <c r="A267" s="12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 spans="1:27" ht="13.15" x14ac:dyDescent="0.4">
      <c r="A268" s="12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 spans="1:27" ht="13.15" x14ac:dyDescent="0.4">
      <c r="A269" s="12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 spans="1:27" ht="13.15" x14ac:dyDescent="0.4">
      <c r="A270" s="12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 spans="1:27" ht="13.15" x14ac:dyDescent="0.4">
      <c r="A271" s="12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 spans="1:27" ht="13.15" x14ac:dyDescent="0.4">
      <c r="A272" s="12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 spans="1:27" ht="13.15" x14ac:dyDescent="0.4">
      <c r="A273" s="12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 spans="1:27" ht="13.15" x14ac:dyDescent="0.4">
      <c r="A274" s="12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 spans="1:27" ht="13.15" x14ac:dyDescent="0.4">
      <c r="A275" s="12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 spans="1:27" ht="13.15" x14ac:dyDescent="0.4">
      <c r="A276" s="12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 spans="1:27" ht="13.15" x14ac:dyDescent="0.4">
      <c r="A277" s="12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 spans="1:27" ht="13.15" x14ac:dyDescent="0.4">
      <c r="A278" s="12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 spans="1:27" ht="13.15" x14ac:dyDescent="0.4">
      <c r="A279" s="12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 spans="1:27" ht="13.15" x14ac:dyDescent="0.4">
      <c r="A280" s="12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 spans="1:27" ht="13.15" x14ac:dyDescent="0.4">
      <c r="A281" s="12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 spans="1:27" ht="13.15" x14ac:dyDescent="0.4">
      <c r="A282" s="12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 spans="1:27" ht="13.15" x14ac:dyDescent="0.4">
      <c r="A283" s="12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 spans="1:27" ht="13.15" x14ac:dyDescent="0.4">
      <c r="A284" s="12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 spans="1:27" ht="13.15" x14ac:dyDescent="0.4">
      <c r="A285" s="12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 spans="1:27" ht="13.15" x14ac:dyDescent="0.4">
      <c r="A286" s="12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 spans="1:27" ht="13.15" x14ac:dyDescent="0.4">
      <c r="A287" s="12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 spans="1:27" ht="13.15" x14ac:dyDescent="0.4">
      <c r="A288" s="12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 spans="1:27" ht="13.15" x14ac:dyDescent="0.4">
      <c r="A289" s="12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 spans="1:27" ht="13.15" x14ac:dyDescent="0.4">
      <c r="A290" s="12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 spans="1:27" ht="13.15" x14ac:dyDescent="0.4">
      <c r="A291" s="12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 spans="1:27" ht="13.15" x14ac:dyDescent="0.4">
      <c r="A292" s="12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 spans="1:27" ht="13.15" x14ac:dyDescent="0.4">
      <c r="A293" s="12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 spans="1:27" ht="13.15" x14ac:dyDescent="0.4">
      <c r="A294" s="12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 spans="1:27" ht="13.15" x14ac:dyDescent="0.4">
      <c r="A295" s="12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 spans="1:27" ht="13.15" x14ac:dyDescent="0.4">
      <c r="A296" s="12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 spans="1:27" ht="13.15" x14ac:dyDescent="0.4">
      <c r="A297" s="12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 spans="1:27" ht="13.15" x14ac:dyDescent="0.4">
      <c r="A298" s="12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 spans="1:27" ht="13.15" x14ac:dyDescent="0.4">
      <c r="A299" s="12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 spans="1:27" ht="13.15" x14ac:dyDescent="0.4">
      <c r="A300" s="12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 spans="1:27" ht="13.15" x14ac:dyDescent="0.4">
      <c r="A301" s="12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 spans="1:27" ht="13.15" x14ac:dyDescent="0.4">
      <c r="A302" s="12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 spans="1:27" ht="13.15" x14ac:dyDescent="0.4">
      <c r="A303" s="12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 spans="1:27" ht="13.15" x14ac:dyDescent="0.4">
      <c r="A304" s="12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 spans="1:27" ht="13.15" x14ac:dyDescent="0.4">
      <c r="A305" s="12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 spans="1:27" ht="13.15" x14ac:dyDescent="0.4">
      <c r="A306" s="12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 spans="1:27" ht="13.15" x14ac:dyDescent="0.4">
      <c r="A307" s="12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 spans="1:27" ht="13.15" x14ac:dyDescent="0.4">
      <c r="A308" s="12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 spans="1:27" ht="13.15" x14ac:dyDescent="0.4">
      <c r="A309" s="12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 spans="1:27" ht="13.15" x14ac:dyDescent="0.4">
      <c r="A310" s="12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 spans="1:27" ht="13.15" x14ac:dyDescent="0.4">
      <c r="A311" s="12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 spans="1:27" ht="13.15" x14ac:dyDescent="0.4">
      <c r="A312" s="12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 spans="1:27" ht="13.15" x14ac:dyDescent="0.4">
      <c r="A313" s="12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 spans="1:27" ht="13.15" x14ac:dyDescent="0.4">
      <c r="A314" s="12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 spans="1:27" ht="13.15" x14ac:dyDescent="0.4">
      <c r="A315" s="12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 spans="1:27" ht="13.15" x14ac:dyDescent="0.4">
      <c r="A316" s="12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 spans="1:27" ht="13.15" x14ac:dyDescent="0.4">
      <c r="A317" s="12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 spans="1:27" ht="13.15" x14ac:dyDescent="0.4">
      <c r="A318" s="12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 spans="1:27" ht="13.15" x14ac:dyDescent="0.4">
      <c r="A319" s="12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 spans="1:27" ht="13.15" x14ac:dyDescent="0.4">
      <c r="A320" s="12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 spans="1:27" ht="13.15" x14ac:dyDescent="0.4">
      <c r="A321" s="12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 spans="1:27" ht="13.15" x14ac:dyDescent="0.4">
      <c r="A322" s="12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 spans="1:27" ht="13.15" x14ac:dyDescent="0.4">
      <c r="A323" s="12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 spans="1:27" ht="13.15" x14ac:dyDescent="0.4">
      <c r="A324" s="12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 spans="1:27" ht="13.15" x14ac:dyDescent="0.4">
      <c r="A325" s="12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 spans="1:27" ht="13.15" x14ac:dyDescent="0.4">
      <c r="A326" s="12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 spans="1:27" ht="13.15" x14ac:dyDescent="0.4">
      <c r="A327" s="12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 spans="1:27" ht="13.15" x14ac:dyDescent="0.4">
      <c r="A328" s="12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 spans="1:27" ht="13.15" x14ac:dyDescent="0.4">
      <c r="A329" s="12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 spans="1:27" ht="13.15" x14ac:dyDescent="0.4">
      <c r="A330" s="12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 spans="1:27" ht="13.15" x14ac:dyDescent="0.4">
      <c r="A331" s="12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 spans="1:27" ht="13.15" x14ac:dyDescent="0.4">
      <c r="A332" s="12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 spans="1:27" ht="13.15" x14ac:dyDescent="0.4">
      <c r="A333" s="12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 spans="1:27" ht="13.15" x14ac:dyDescent="0.4">
      <c r="A334" s="12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 spans="1:27" ht="13.15" x14ac:dyDescent="0.4">
      <c r="A335" s="12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 spans="1:27" ht="13.15" x14ac:dyDescent="0.4">
      <c r="A336" s="12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 spans="1:27" ht="13.15" x14ac:dyDescent="0.4">
      <c r="A337" s="12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 spans="1:27" ht="13.15" x14ac:dyDescent="0.4">
      <c r="A338" s="12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 spans="1:27" ht="13.15" x14ac:dyDescent="0.4">
      <c r="A339" s="12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 spans="1:27" ht="13.15" x14ac:dyDescent="0.4">
      <c r="A340" s="12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 spans="1:27" ht="13.15" x14ac:dyDescent="0.4">
      <c r="A341" s="12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 spans="1:27" ht="13.15" x14ac:dyDescent="0.4">
      <c r="A342" s="12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 spans="1:27" ht="13.15" x14ac:dyDescent="0.4">
      <c r="A343" s="12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 spans="1:27" ht="13.15" x14ac:dyDescent="0.4">
      <c r="A344" s="12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 spans="1:27" ht="13.15" x14ac:dyDescent="0.4">
      <c r="A345" s="12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 spans="1:27" ht="13.15" x14ac:dyDescent="0.4">
      <c r="A346" s="12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 spans="1:27" ht="13.15" x14ac:dyDescent="0.4">
      <c r="A347" s="12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 spans="1:27" ht="13.15" x14ac:dyDescent="0.4">
      <c r="A348" s="12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 spans="1:27" ht="13.15" x14ac:dyDescent="0.4">
      <c r="A349" s="12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 spans="1:27" ht="13.15" x14ac:dyDescent="0.4">
      <c r="A350" s="12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 spans="1:27" ht="13.15" x14ac:dyDescent="0.4">
      <c r="A351" s="12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 spans="1:27" ht="13.15" x14ac:dyDescent="0.4">
      <c r="A352" s="12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 spans="1:27" ht="13.15" x14ac:dyDescent="0.4">
      <c r="A353" s="12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 spans="1:27" ht="13.15" x14ac:dyDescent="0.4">
      <c r="A354" s="12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 spans="1:27" ht="13.15" x14ac:dyDescent="0.4">
      <c r="A355" s="12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 spans="1:27" ht="13.15" x14ac:dyDescent="0.4">
      <c r="A356" s="12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 spans="1:27" ht="13.15" x14ac:dyDescent="0.4">
      <c r="A357" s="12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 spans="1:27" ht="13.15" x14ac:dyDescent="0.4">
      <c r="A358" s="12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 spans="1:27" ht="13.15" x14ac:dyDescent="0.4">
      <c r="A359" s="12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 spans="1:27" ht="13.15" x14ac:dyDescent="0.4">
      <c r="A360" s="12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 spans="1:27" ht="13.15" x14ac:dyDescent="0.4">
      <c r="A361" s="12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 spans="1:27" ht="13.15" x14ac:dyDescent="0.4">
      <c r="A362" s="12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 spans="1:27" ht="13.15" x14ac:dyDescent="0.4">
      <c r="A363" s="12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 spans="1:27" ht="13.15" x14ac:dyDescent="0.4">
      <c r="A364" s="12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 spans="1:27" ht="13.15" x14ac:dyDescent="0.4">
      <c r="A365" s="12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 spans="1:27" ht="13.15" x14ac:dyDescent="0.4">
      <c r="A366" s="12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 spans="1:27" ht="13.15" x14ac:dyDescent="0.4">
      <c r="A367" s="12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 spans="1:27" ht="13.15" x14ac:dyDescent="0.4">
      <c r="A368" s="12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 spans="1:27" ht="13.15" x14ac:dyDescent="0.4">
      <c r="A369" s="12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 spans="1:27" ht="13.15" x14ac:dyDescent="0.4">
      <c r="A370" s="12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 spans="1:27" ht="13.15" x14ac:dyDescent="0.4">
      <c r="A371" s="12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 spans="1:27" ht="13.15" x14ac:dyDescent="0.4">
      <c r="A372" s="12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 spans="1:27" ht="13.15" x14ac:dyDescent="0.4">
      <c r="A373" s="12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 spans="1:27" ht="13.15" x14ac:dyDescent="0.4">
      <c r="A374" s="12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 spans="1:27" ht="13.15" x14ac:dyDescent="0.4">
      <c r="A375" s="12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 spans="1:27" ht="13.15" x14ac:dyDescent="0.4">
      <c r="A376" s="12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 spans="1:27" ht="13.15" x14ac:dyDescent="0.4">
      <c r="A377" s="12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 spans="1:27" ht="13.15" x14ac:dyDescent="0.4">
      <c r="A378" s="12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 spans="1:27" ht="13.15" x14ac:dyDescent="0.4">
      <c r="A379" s="12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 spans="1:27" ht="13.15" x14ac:dyDescent="0.4">
      <c r="A380" s="12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 spans="1:27" ht="13.15" x14ac:dyDescent="0.4">
      <c r="A381" s="12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 spans="1:27" ht="13.15" x14ac:dyDescent="0.4">
      <c r="A382" s="12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 spans="1:27" ht="13.15" x14ac:dyDescent="0.4">
      <c r="A383" s="12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 spans="1:27" ht="13.15" x14ac:dyDescent="0.4">
      <c r="A384" s="12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 spans="1:27" ht="13.15" x14ac:dyDescent="0.4">
      <c r="A385" s="12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 spans="1:27" ht="13.15" x14ac:dyDescent="0.4">
      <c r="A386" s="12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 spans="1:27" ht="13.15" x14ac:dyDescent="0.4">
      <c r="A387" s="12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 spans="1:27" ht="13.15" x14ac:dyDescent="0.4">
      <c r="A388" s="12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 spans="1:27" ht="13.15" x14ac:dyDescent="0.4">
      <c r="A389" s="12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 spans="1:27" ht="13.15" x14ac:dyDescent="0.4">
      <c r="A390" s="12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 spans="1:27" ht="13.15" x14ac:dyDescent="0.4">
      <c r="A391" s="12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 spans="1:27" ht="13.15" x14ac:dyDescent="0.4">
      <c r="A392" s="12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 spans="1:27" ht="13.15" x14ac:dyDescent="0.4">
      <c r="A393" s="12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 spans="1:27" ht="13.15" x14ac:dyDescent="0.4">
      <c r="A394" s="12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 spans="1:27" ht="13.15" x14ac:dyDescent="0.4">
      <c r="A395" s="12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 spans="1:27" ht="13.15" x14ac:dyDescent="0.4">
      <c r="A396" s="12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 spans="1:27" ht="13.15" x14ac:dyDescent="0.4">
      <c r="A397" s="12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 spans="1:27" ht="13.15" x14ac:dyDescent="0.4">
      <c r="A398" s="12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 spans="1:27" ht="13.15" x14ac:dyDescent="0.4">
      <c r="A399" s="12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 spans="1:27" ht="13.15" x14ac:dyDescent="0.4">
      <c r="A400" s="12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 spans="1:27" ht="13.15" x14ac:dyDescent="0.4">
      <c r="A401" s="12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 spans="1:27" ht="13.15" x14ac:dyDescent="0.4">
      <c r="A402" s="12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 spans="1:27" ht="13.15" x14ac:dyDescent="0.4">
      <c r="A403" s="12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 spans="1:27" ht="13.15" x14ac:dyDescent="0.4">
      <c r="A404" s="12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 spans="1:27" ht="13.15" x14ac:dyDescent="0.4">
      <c r="A405" s="12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 spans="1:27" ht="13.15" x14ac:dyDescent="0.4">
      <c r="A406" s="12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 spans="1:27" ht="13.15" x14ac:dyDescent="0.4">
      <c r="A407" s="12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 spans="1:27" ht="13.15" x14ac:dyDescent="0.4">
      <c r="A408" s="12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 spans="1:27" ht="13.15" x14ac:dyDescent="0.4">
      <c r="A409" s="12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 spans="1:27" ht="13.15" x14ac:dyDescent="0.4">
      <c r="A410" s="12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 spans="1:27" ht="13.15" x14ac:dyDescent="0.4">
      <c r="A411" s="12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 spans="1:27" ht="13.15" x14ac:dyDescent="0.4">
      <c r="A412" s="12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 spans="1:27" ht="13.15" x14ac:dyDescent="0.4">
      <c r="A413" s="12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 spans="1:27" ht="13.15" x14ac:dyDescent="0.4">
      <c r="A414" s="12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 spans="1:27" ht="13.15" x14ac:dyDescent="0.4">
      <c r="A415" s="12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 spans="1:27" ht="13.15" x14ac:dyDescent="0.4">
      <c r="A416" s="12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 spans="1:27" ht="13.15" x14ac:dyDescent="0.4">
      <c r="A417" s="12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 spans="1:27" ht="13.15" x14ac:dyDescent="0.4">
      <c r="A418" s="12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 spans="1:27" ht="13.15" x14ac:dyDescent="0.4">
      <c r="A419" s="12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 spans="1:27" ht="13.15" x14ac:dyDescent="0.4">
      <c r="A420" s="12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 spans="1:27" ht="13.15" x14ac:dyDescent="0.4">
      <c r="A421" s="12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 spans="1:27" ht="13.15" x14ac:dyDescent="0.4">
      <c r="A422" s="12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 spans="1:27" ht="13.15" x14ac:dyDescent="0.4">
      <c r="A423" s="12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 spans="1:27" ht="13.15" x14ac:dyDescent="0.4">
      <c r="A424" s="12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 spans="1:27" ht="13.15" x14ac:dyDescent="0.4">
      <c r="A425" s="12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 spans="1:27" ht="13.15" x14ac:dyDescent="0.4">
      <c r="A426" s="12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 spans="1:27" ht="13.15" x14ac:dyDescent="0.4">
      <c r="A427" s="12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 spans="1:27" ht="13.15" x14ac:dyDescent="0.4">
      <c r="A428" s="12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 spans="1:27" ht="13.15" x14ac:dyDescent="0.4">
      <c r="A429" s="12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 spans="1:27" ht="13.15" x14ac:dyDescent="0.4">
      <c r="A430" s="12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 spans="1:27" ht="13.15" x14ac:dyDescent="0.4">
      <c r="A431" s="12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 spans="1:27" ht="13.15" x14ac:dyDescent="0.4">
      <c r="A432" s="12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 spans="1:27" ht="13.15" x14ac:dyDescent="0.4">
      <c r="A433" s="12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 spans="1:27" ht="13.15" x14ac:dyDescent="0.4">
      <c r="A434" s="12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 spans="1:27" ht="13.15" x14ac:dyDescent="0.4">
      <c r="A435" s="12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 spans="1:27" ht="13.15" x14ac:dyDescent="0.4">
      <c r="A436" s="12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 spans="1:27" ht="13.15" x14ac:dyDescent="0.4">
      <c r="A437" s="12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 spans="1:27" ht="13.15" x14ac:dyDescent="0.4">
      <c r="A438" s="12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 spans="1:27" ht="13.15" x14ac:dyDescent="0.4">
      <c r="A439" s="12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 spans="1:27" ht="13.15" x14ac:dyDescent="0.4">
      <c r="A440" s="12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 spans="1:27" ht="13.15" x14ac:dyDescent="0.4">
      <c r="A441" s="12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 spans="1:27" ht="13.15" x14ac:dyDescent="0.4">
      <c r="A442" s="12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 spans="1:27" ht="13.15" x14ac:dyDescent="0.4">
      <c r="A443" s="12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 spans="1:27" ht="13.15" x14ac:dyDescent="0.4">
      <c r="A444" s="12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 spans="1:27" ht="13.15" x14ac:dyDescent="0.4">
      <c r="A445" s="12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 spans="1:27" ht="13.15" x14ac:dyDescent="0.4">
      <c r="A446" s="12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 spans="1:27" ht="13.15" x14ac:dyDescent="0.4">
      <c r="A447" s="12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 spans="1:27" ht="13.15" x14ac:dyDescent="0.4">
      <c r="A448" s="12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 spans="1:27" ht="13.15" x14ac:dyDescent="0.4">
      <c r="A449" s="12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 spans="1:27" ht="13.15" x14ac:dyDescent="0.4">
      <c r="A450" s="12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 spans="1:27" ht="13.15" x14ac:dyDescent="0.4">
      <c r="A451" s="12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 spans="1:27" ht="13.15" x14ac:dyDescent="0.4">
      <c r="A452" s="12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 spans="1:27" ht="13.15" x14ac:dyDescent="0.4">
      <c r="A453" s="12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 spans="1:27" ht="13.15" x14ac:dyDescent="0.4">
      <c r="A454" s="12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 spans="1:27" ht="13.15" x14ac:dyDescent="0.4">
      <c r="A455" s="12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 spans="1:27" ht="13.15" x14ac:dyDescent="0.4">
      <c r="A456" s="12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 spans="1:27" ht="13.15" x14ac:dyDescent="0.4">
      <c r="A457" s="12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 spans="1:27" ht="13.15" x14ac:dyDescent="0.4">
      <c r="A458" s="12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 spans="1:27" ht="13.15" x14ac:dyDescent="0.4">
      <c r="A459" s="12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 spans="1:27" ht="13.15" x14ac:dyDescent="0.4">
      <c r="A460" s="12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 spans="1:27" ht="13.15" x14ac:dyDescent="0.4">
      <c r="A461" s="12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 spans="1:27" ht="13.15" x14ac:dyDescent="0.4">
      <c r="A462" s="12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 spans="1:27" ht="13.15" x14ac:dyDescent="0.4">
      <c r="A463" s="12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 spans="1:27" ht="13.15" x14ac:dyDescent="0.4">
      <c r="A464" s="12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 spans="1:27" ht="13.15" x14ac:dyDescent="0.4">
      <c r="A465" s="12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 spans="1:27" ht="13.15" x14ac:dyDescent="0.4">
      <c r="A466" s="12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 spans="1:27" ht="13.15" x14ac:dyDescent="0.4">
      <c r="A467" s="12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 spans="1:27" ht="13.15" x14ac:dyDescent="0.4">
      <c r="A468" s="12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 spans="1:27" ht="13.15" x14ac:dyDescent="0.4">
      <c r="A469" s="12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 spans="1:27" ht="13.15" x14ac:dyDescent="0.4">
      <c r="A470" s="12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 spans="1:27" ht="13.15" x14ac:dyDescent="0.4">
      <c r="A471" s="12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 spans="1:27" ht="13.15" x14ac:dyDescent="0.4">
      <c r="A472" s="12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 spans="1:27" ht="13.15" x14ac:dyDescent="0.4">
      <c r="A473" s="12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 spans="1:27" ht="13.15" x14ac:dyDescent="0.4">
      <c r="A474" s="12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 spans="1:27" ht="13.15" x14ac:dyDescent="0.4">
      <c r="A475" s="12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 spans="1:27" ht="13.15" x14ac:dyDescent="0.4">
      <c r="A476" s="12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 spans="1:27" ht="13.15" x14ac:dyDescent="0.4">
      <c r="A477" s="12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 spans="1:27" ht="13.15" x14ac:dyDescent="0.4">
      <c r="A478" s="12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 spans="1:27" ht="13.15" x14ac:dyDescent="0.4">
      <c r="A479" s="12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 spans="1:27" ht="13.15" x14ac:dyDescent="0.4">
      <c r="A480" s="12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 spans="1:27" ht="13.15" x14ac:dyDescent="0.4">
      <c r="A481" s="12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 spans="1:27" ht="13.15" x14ac:dyDescent="0.4">
      <c r="A482" s="12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 spans="1:27" ht="13.15" x14ac:dyDescent="0.4">
      <c r="A483" s="12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 spans="1:27" ht="13.15" x14ac:dyDescent="0.4">
      <c r="A484" s="12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 spans="1:27" ht="13.15" x14ac:dyDescent="0.4">
      <c r="A485" s="12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 spans="1:27" ht="13.15" x14ac:dyDescent="0.4">
      <c r="A486" s="12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 spans="1:27" ht="13.15" x14ac:dyDescent="0.4">
      <c r="A487" s="12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 spans="1:27" ht="13.15" x14ac:dyDescent="0.4">
      <c r="A488" s="12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 spans="1:27" ht="13.15" x14ac:dyDescent="0.4">
      <c r="A489" s="12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 spans="1:27" ht="13.15" x14ac:dyDescent="0.4">
      <c r="A490" s="12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 spans="1:27" ht="13.15" x14ac:dyDescent="0.4">
      <c r="A491" s="12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 spans="1:27" ht="13.15" x14ac:dyDescent="0.4">
      <c r="A492" s="12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 spans="1:27" ht="13.15" x14ac:dyDescent="0.4">
      <c r="A493" s="12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 spans="1:27" ht="13.15" x14ac:dyDescent="0.4">
      <c r="A494" s="12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 spans="1:27" ht="13.15" x14ac:dyDescent="0.4">
      <c r="A495" s="12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 spans="1:27" ht="13.15" x14ac:dyDescent="0.4">
      <c r="A496" s="12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 spans="1:27" ht="13.15" x14ac:dyDescent="0.4">
      <c r="A497" s="12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 spans="1:27" ht="13.15" x14ac:dyDescent="0.4">
      <c r="A498" s="12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 spans="1:27" ht="13.15" x14ac:dyDescent="0.4">
      <c r="A499" s="12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 spans="1:27" ht="13.15" x14ac:dyDescent="0.4">
      <c r="A500" s="12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 spans="1:27" ht="13.15" x14ac:dyDescent="0.4">
      <c r="A501" s="12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 spans="1:27" ht="13.15" x14ac:dyDescent="0.4">
      <c r="A502" s="12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 spans="1:27" ht="13.15" x14ac:dyDescent="0.4">
      <c r="A503" s="12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 spans="1:27" ht="13.15" x14ac:dyDescent="0.4">
      <c r="A504" s="12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 spans="1:27" ht="13.15" x14ac:dyDescent="0.4">
      <c r="A505" s="12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 spans="1:27" ht="13.15" x14ac:dyDescent="0.4">
      <c r="A506" s="12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 spans="1:27" ht="13.15" x14ac:dyDescent="0.4">
      <c r="A507" s="12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 spans="1:27" ht="13.15" x14ac:dyDescent="0.4">
      <c r="A508" s="12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 spans="1:27" ht="13.15" x14ac:dyDescent="0.4">
      <c r="A509" s="12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 spans="1:27" ht="13.15" x14ac:dyDescent="0.4">
      <c r="A510" s="12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 spans="1:27" ht="13.15" x14ac:dyDescent="0.4">
      <c r="A511" s="12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 spans="1:27" ht="13.15" x14ac:dyDescent="0.4">
      <c r="A512" s="12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 spans="1:27" ht="13.15" x14ac:dyDescent="0.4">
      <c r="A513" s="12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 spans="1:27" ht="13.15" x14ac:dyDescent="0.4">
      <c r="A514" s="12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 spans="1:27" ht="13.15" x14ac:dyDescent="0.4">
      <c r="A515" s="12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 spans="1:27" ht="13.15" x14ac:dyDescent="0.4">
      <c r="A516" s="12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 spans="1:27" ht="13.15" x14ac:dyDescent="0.4">
      <c r="A517" s="12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 spans="1:27" ht="13.15" x14ac:dyDescent="0.4">
      <c r="A518" s="12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 spans="1:27" ht="13.15" x14ac:dyDescent="0.4">
      <c r="A519" s="12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 spans="1:27" ht="13.15" x14ac:dyDescent="0.4">
      <c r="A520" s="12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 spans="1:27" ht="13.15" x14ac:dyDescent="0.4">
      <c r="A521" s="12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 spans="1:27" ht="13.15" x14ac:dyDescent="0.4">
      <c r="A522" s="12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 spans="1:27" ht="13.15" x14ac:dyDescent="0.4">
      <c r="A523" s="12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 spans="1:27" ht="13.15" x14ac:dyDescent="0.4">
      <c r="A524" s="12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 spans="1:27" ht="13.15" x14ac:dyDescent="0.4">
      <c r="A525" s="12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 spans="1:27" ht="13.15" x14ac:dyDescent="0.4">
      <c r="A526" s="12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 spans="1:27" ht="13.15" x14ac:dyDescent="0.4">
      <c r="A527" s="12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 spans="1:27" ht="13.15" x14ac:dyDescent="0.4">
      <c r="A528" s="12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 spans="1:27" ht="13.15" x14ac:dyDescent="0.4">
      <c r="A529" s="12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 spans="1:27" ht="13.15" x14ac:dyDescent="0.4">
      <c r="A530" s="12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 spans="1:27" ht="13.15" x14ac:dyDescent="0.4">
      <c r="A531" s="12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 spans="1:27" ht="13.15" x14ac:dyDescent="0.4">
      <c r="A532" s="12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 spans="1:27" ht="13.15" x14ac:dyDescent="0.4">
      <c r="A533" s="12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 spans="1:27" ht="13.15" x14ac:dyDescent="0.4">
      <c r="A534" s="12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 spans="1:27" ht="13.15" x14ac:dyDescent="0.4">
      <c r="A535" s="12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 spans="1:27" ht="13.15" x14ac:dyDescent="0.4">
      <c r="A536" s="12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 spans="1:27" ht="13.15" x14ac:dyDescent="0.4">
      <c r="A537" s="12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 spans="1:27" ht="13.15" x14ac:dyDescent="0.4">
      <c r="A538" s="12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 spans="1:27" ht="13.15" x14ac:dyDescent="0.4">
      <c r="A539" s="12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 spans="1:27" ht="13.15" x14ac:dyDescent="0.4">
      <c r="A540" s="12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 spans="1:27" ht="13.15" x14ac:dyDescent="0.4">
      <c r="A541" s="12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 spans="1:27" ht="13.15" x14ac:dyDescent="0.4">
      <c r="A542" s="12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 spans="1:27" ht="13.15" x14ac:dyDescent="0.4">
      <c r="A543" s="12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 spans="1:27" ht="13.15" x14ac:dyDescent="0.4">
      <c r="A544" s="12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 spans="1:27" ht="13.15" x14ac:dyDescent="0.4">
      <c r="A545" s="12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 spans="1:27" ht="13.15" x14ac:dyDescent="0.4">
      <c r="A546" s="12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 spans="1:27" ht="13.15" x14ac:dyDescent="0.4">
      <c r="A547" s="12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 spans="1:27" ht="13.15" x14ac:dyDescent="0.4">
      <c r="A548" s="12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 spans="1:27" ht="13.15" x14ac:dyDescent="0.4">
      <c r="A549" s="12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 spans="1:27" ht="13.15" x14ac:dyDescent="0.4">
      <c r="A550" s="12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 spans="1:27" ht="13.15" x14ac:dyDescent="0.4">
      <c r="A551" s="12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 spans="1:27" ht="13.15" x14ac:dyDescent="0.4">
      <c r="A552" s="12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 spans="1:27" ht="13.15" x14ac:dyDescent="0.4">
      <c r="A553" s="12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 spans="1:27" ht="13.15" x14ac:dyDescent="0.4">
      <c r="A554" s="12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 spans="1:27" ht="13.15" x14ac:dyDescent="0.4">
      <c r="A555" s="12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 spans="1:27" ht="13.15" x14ac:dyDescent="0.4">
      <c r="A556" s="12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 spans="1:27" ht="13.15" x14ac:dyDescent="0.4">
      <c r="A557" s="12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 spans="1:27" ht="13.15" x14ac:dyDescent="0.4">
      <c r="A558" s="12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 spans="1:27" ht="13.15" x14ac:dyDescent="0.4">
      <c r="A559" s="12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 spans="1:27" ht="13.15" x14ac:dyDescent="0.4">
      <c r="A560" s="12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 spans="1:27" ht="13.15" x14ac:dyDescent="0.4">
      <c r="A561" s="12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 spans="1:27" ht="13.15" x14ac:dyDescent="0.4">
      <c r="A562" s="12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 spans="1:27" ht="13.15" x14ac:dyDescent="0.4">
      <c r="A563" s="12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 spans="1:27" ht="13.15" x14ac:dyDescent="0.4">
      <c r="A564" s="12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 spans="1:27" ht="13.15" x14ac:dyDescent="0.4">
      <c r="A565" s="12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 spans="1:27" ht="13.15" x14ac:dyDescent="0.4">
      <c r="A566" s="12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 spans="1:27" ht="13.15" x14ac:dyDescent="0.4">
      <c r="A567" s="12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 spans="1:27" ht="13.15" x14ac:dyDescent="0.4">
      <c r="A568" s="12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 spans="1:27" ht="13.15" x14ac:dyDescent="0.4">
      <c r="A569" s="12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 spans="1:27" ht="13.15" x14ac:dyDescent="0.4">
      <c r="A570" s="12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 spans="1:27" ht="13.15" x14ac:dyDescent="0.4">
      <c r="A571" s="12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 spans="1:27" ht="13.15" x14ac:dyDescent="0.4">
      <c r="A572" s="12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 spans="1:27" ht="13.15" x14ac:dyDescent="0.4">
      <c r="A573" s="12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 spans="1:27" ht="13.15" x14ac:dyDescent="0.4">
      <c r="A574" s="12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 spans="1:27" ht="13.15" x14ac:dyDescent="0.4">
      <c r="A575" s="12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 spans="1:27" ht="13.15" x14ac:dyDescent="0.4">
      <c r="A576" s="12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 spans="1:27" ht="13.15" x14ac:dyDescent="0.4">
      <c r="A577" s="12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 spans="1:27" ht="13.15" x14ac:dyDescent="0.4">
      <c r="A578" s="12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 spans="1:27" ht="13.15" x14ac:dyDescent="0.4">
      <c r="A579" s="12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 spans="1:27" ht="13.15" x14ac:dyDescent="0.4">
      <c r="A580" s="12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 spans="1:27" ht="13.15" x14ac:dyDescent="0.4">
      <c r="A581" s="12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 spans="1:27" ht="13.15" x14ac:dyDescent="0.4">
      <c r="A582" s="12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 spans="1:27" ht="13.15" x14ac:dyDescent="0.4">
      <c r="A583" s="12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 spans="1:27" ht="13.15" x14ac:dyDescent="0.4">
      <c r="A584" s="12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 spans="1:27" ht="13.15" x14ac:dyDescent="0.4">
      <c r="A585" s="12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 spans="1:27" ht="13.15" x14ac:dyDescent="0.4">
      <c r="A586" s="12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 spans="1:27" ht="13.15" x14ac:dyDescent="0.4">
      <c r="A587" s="12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 spans="1:27" ht="13.15" x14ac:dyDescent="0.4">
      <c r="A588" s="12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 spans="1:27" ht="13.15" x14ac:dyDescent="0.4">
      <c r="A589" s="12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 spans="1:27" ht="13.15" x14ac:dyDescent="0.4">
      <c r="A590" s="12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 spans="1:27" ht="13.15" x14ac:dyDescent="0.4">
      <c r="A591" s="12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 spans="1:27" ht="13.15" x14ac:dyDescent="0.4">
      <c r="A592" s="12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 spans="1:27" ht="13.15" x14ac:dyDescent="0.4">
      <c r="A593" s="12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 spans="1:27" ht="13.15" x14ac:dyDescent="0.4">
      <c r="A594" s="12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 spans="1:27" ht="13.15" x14ac:dyDescent="0.4">
      <c r="A595" s="12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 spans="1:27" ht="13.15" x14ac:dyDescent="0.4">
      <c r="A596" s="12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 spans="1:27" ht="13.15" x14ac:dyDescent="0.4">
      <c r="A597" s="12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 spans="1:27" ht="13.15" x14ac:dyDescent="0.4">
      <c r="A598" s="12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 spans="1:27" ht="13.15" x14ac:dyDescent="0.4">
      <c r="A599" s="12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 spans="1:27" ht="13.15" x14ac:dyDescent="0.4">
      <c r="A600" s="12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 spans="1:27" ht="13.15" x14ac:dyDescent="0.4">
      <c r="A601" s="12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 spans="1:27" ht="13.15" x14ac:dyDescent="0.4">
      <c r="A602" s="12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 spans="1:27" ht="13.15" x14ac:dyDescent="0.4">
      <c r="A603" s="12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 spans="1:27" ht="13.15" x14ac:dyDescent="0.4">
      <c r="A604" s="12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 spans="1:27" ht="13.15" x14ac:dyDescent="0.4">
      <c r="A605" s="12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 spans="1:27" ht="13.15" x14ac:dyDescent="0.4">
      <c r="A606" s="12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 spans="1:27" ht="13.15" x14ac:dyDescent="0.4">
      <c r="A607" s="12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 spans="1:27" ht="13.15" x14ac:dyDescent="0.4">
      <c r="A608" s="12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 spans="1:27" ht="13.15" x14ac:dyDescent="0.4">
      <c r="A609" s="12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 spans="1:27" ht="13.15" x14ac:dyDescent="0.4">
      <c r="A610" s="12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 spans="1:27" ht="13.15" x14ac:dyDescent="0.4">
      <c r="A611" s="12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 spans="1:27" ht="13.15" x14ac:dyDescent="0.4">
      <c r="A612" s="12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 spans="1:27" ht="13.15" x14ac:dyDescent="0.4">
      <c r="A613" s="12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 spans="1:27" ht="13.15" x14ac:dyDescent="0.4">
      <c r="A614" s="12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 spans="1:27" ht="13.15" x14ac:dyDescent="0.4">
      <c r="A615" s="12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 spans="1:27" ht="13.15" x14ac:dyDescent="0.4">
      <c r="A616" s="12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 spans="1:27" ht="13.15" x14ac:dyDescent="0.4">
      <c r="A617" s="12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 spans="1:27" ht="13.15" x14ac:dyDescent="0.4">
      <c r="A618" s="12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 spans="1:27" ht="13.15" x14ac:dyDescent="0.4">
      <c r="A619" s="12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 spans="1:27" ht="13.15" x14ac:dyDescent="0.4">
      <c r="A620" s="12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 spans="1:27" ht="13.15" x14ac:dyDescent="0.4">
      <c r="A621" s="12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 spans="1:27" ht="13.15" x14ac:dyDescent="0.4">
      <c r="A622" s="12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 spans="1:27" ht="13.15" x14ac:dyDescent="0.4">
      <c r="A623" s="12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 spans="1:27" ht="13.15" x14ac:dyDescent="0.4">
      <c r="A624" s="12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 spans="1:27" ht="13.15" x14ac:dyDescent="0.4">
      <c r="A625" s="12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 spans="1:27" ht="13.15" x14ac:dyDescent="0.4">
      <c r="A626" s="12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 spans="1:27" ht="13.15" x14ac:dyDescent="0.4">
      <c r="A627" s="12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 spans="1:27" ht="13.15" x14ac:dyDescent="0.4">
      <c r="A628" s="12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 spans="1:27" ht="13.15" x14ac:dyDescent="0.4">
      <c r="A629" s="12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 spans="1:27" ht="13.15" x14ac:dyDescent="0.4">
      <c r="A630" s="12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 spans="1:27" ht="13.15" x14ac:dyDescent="0.4">
      <c r="A631" s="12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 spans="1:27" ht="13.15" x14ac:dyDescent="0.4">
      <c r="A632" s="12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 spans="1:27" ht="13.15" x14ac:dyDescent="0.4">
      <c r="A633" s="12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 spans="1:27" ht="13.15" x14ac:dyDescent="0.4">
      <c r="A634" s="12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 spans="1:27" ht="13.15" x14ac:dyDescent="0.4">
      <c r="A635" s="12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 spans="1:27" ht="13.15" x14ac:dyDescent="0.4">
      <c r="A636" s="12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 spans="1:27" ht="13.15" x14ac:dyDescent="0.4">
      <c r="A637" s="12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 spans="1:27" ht="13.15" x14ac:dyDescent="0.4">
      <c r="A638" s="12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 spans="1:27" ht="13.15" x14ac:dyDescent="0.4">
      <c r="A639" s="12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 spans="1:27" ht="13.15" x14ac:dyDescent="0.4">
      <c r="A640" s="12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 spans="1:27" ht="13.15" x14ac:dyDescent="0.4">
      <c r="A641" s="12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 spans="1:27" ht="13.15" x14ac:dyDescent="0.4">
      <c r="A642" s="12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 spans="1:27" ht="13.15" x14ac:dyDescent="0.4">
      <c r="A643" s="12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 spans="1:27" ht="13.15" x14ac:dyDescent="0.4">
      <c r="A644" s="12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 spans="1:27" ht="13.15" x14ac:dyDescent="0.4">
      <c r="A645" s="12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 spans="1:27" ht="13.15" x14ac:dyDescent="0.4">
      <c r="A646" s="12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 spans="1:27" ht="13.15" x14ac:dyDescent="0.4">
      <c r="A647" s="12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 spans="1:27" ht="13.15" x14ac:dyDescent="0.4">
      <c r="A648" s="12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 spans="1:27" ht="13.15" x14ac:dyDescent="0.4">
      <c r="A649" s="12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 spans="1:27" ht="13.15" x14ac:dyDescent="0.4">
      <c r="A650" s="12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 spans="1:27" ht="13.15" x14ac:dyDescent="0.4">
      <c r="A651" s="12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 spans="1:27" ht="13.15" x14ac:dyDescent="0.4">
      <c r="A652" s="12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 spans="1:27" ht="13.15" x14ac:dyDescent="0.4">
      <c r="A653" s="12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 spans="1:27" ht="13.15" x14ac:dyDescent="0.4">
      <c r="A654" s="12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 spans="1:27" ht="13.15" x14ac:dyDescent="0.4">
      <c r="A655" s="12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 spans="1:27" ht="13.15" x14ac:dyDescent="0.4">
      <c r="A656" s="12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 spans="1:27" ht="13.15" x14ac:dyDescent="0.4">
      <c r="A657" s="12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 spans="1:27" ht="13.15" x14ac:dyDescent="0.4">
      <c r="A658" s="12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 spans="1:27" ht="13.15" x14ac:dyDescent="0.4">
      <c r="A659" s="12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 spans="1:27" ht="13.15" x14ac:dyDescent="0.4">
      <c r="A660" s="12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 spans="1:27" ht="13.15" x14ac:dyDescent="0.4">
      <c r="A661" s="12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 spans="1:27" ht="13.15" x14ac:dyDescent="0.4">
      <c r="A662" s="12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 spans="1:27" ht="13.15" x14ac:dyDescent="0.4">
      <c r="A663" s="12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 spans="1:27" ht="13.15" x14ac:dyDescent="0.4">
      <c r="A664" s="12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 spans="1:27" ht="13.15" x14ac:dyDescent="0.4">
      <c r="A665" s="12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 spans="1:27" ht="13.15" x14ac:dyDescent="0.4">
      <c r="A666" s="12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 spans="1:27" ht="13.15" x14ac:dyDescent="0.4">
      <c r="A667" s="12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 spans="1:27" ht="13.15" x14ac:dyDescent="0.4">
      <c r="A668" s="12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 spans="1:27" ht="13.15" x14ac:dyDescent="0.4">
      <c r="A669" s="12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 spans="1:27" ht="13.15" x14ac:dyDescent="0.4">
      <c r="A670" s="12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 spans="1:27" ht="13.15" x14ac:dyDescent="0.4">
      <c r="A671" s="12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 spans="1:27" ht="13.15" x14ac:dyDescent="0.4">
      <c r="A672" s="12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 spans="1:27" ht="13.15" x14ac:dyDescent="0.4">
      <c r="A673" s="12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 spans="1:27" ht="13.15" x14ac:dyDescent="0.4">
      <c r="A674" s="12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 spans="1:27" ht="13.15" x14ac:dyDescent="0.4">
      <c r="A675" s="12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 spans="1:27" ht="13.15" x14ac:dyDescent="0.4">
      <c r="A676" s="12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 spans="1:27" ht="13.15" x14ac:dyDescent="0.4">
      <c r="A677" s="12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 spans="1:27" ht="13.15" x14ac:dyDescent="0.4">
      <c r="A678" s="12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 spans="1:27" ht="13.15" x14ac:dyDescent="0.4">
      <c r="A679" s="12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 spans="1:27" ht="13.15" x14ac:dyDescent="0.4">
      <c r="A680" s="12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 spans="1:27" ht="13.15" x14ac:dyDescent="0.4">
      <c r="A681" s="12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 spans="1:27" ht="13.15" x14ac:dyDescent="0.4">
      <c r="A682" s="12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 spans="1:27" ht="13.15" x14ac:dyDescent="0.4">
      <c r="A683" s="12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 spans="1:27" ht="13.15" x14ac:dyDescent="0.4">
      <c r="A684" s="12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 spans="1:27" ht="13.15" x14ac:dyDescent="0.4">
      <c r="A685" s="12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 spans="1:27" ht="13.15" x14ac:dyDescent="0.4">
      <c r="A686" s="12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 spans="1:27" ht="13.15" x14ac:dyDescent="0.4">
      <c r="A687" s="12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 spans="1:27" ht="13.15" x14ac:dyDescent="0.4">
      <c r="A688" s="12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 spans="1:27" ht="13.15" x14ac:dyDescent="0.4">
      <c r="A689" s="12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 spans="1:27" ht="13.15" x14ac:dyDescent="0.4">
      <c r="A690" s="12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 spans="1:27" ht="13.15" x14ac:dyDescent="0.4">
      <c r="A691" s="12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 spans="1:27" ht="13.15" x14ac:dyDescent="0.4">
      <c r="A692" s="12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 spans="1:27" ht="13.15" x14ac:dyDescent="0.4">
      <c r="A693" s="12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 spans="1:27" ht="13.15" x14ac:dyDescent="0.4">
      <c r="A694" s="12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 spans="1:27" ht="13.15" x14ac:dyDescent="0.4">
      <c r="A695" s="12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 spans="1:27" ht="13.15" x14ac:dyDescent="0.4">
      <c r="A696" s="12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 spans="1:27" ht="13.15" x14ac:dyDescent="0.4">
      <c r="A697" s="12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 spans="1:27" ht="13.15" x14ac:dyDescent="0.4">
      <c r="A698" s="12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 spans="1:27" ht="13.15" x14ac:dyDescent="0.4">
      <c r="A699" s="12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 spans="1:27" ht="13.15" x14ac:dyDescent="0.4">
      <c r="A700" s="12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 spans="1:27" ht="13.15" x14ac:dyDescent="0.4">
      <c r="A701" s="12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 spans="1:27" ht="13.15" x14ac:dyDescent="0.4">
      <c r="A702" s="12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 spans="1:27" ht="13.15" x14ac:dyDescent="0.4">
      <c r="A703" s="12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 spans="1:27" ht="13.15" x14ac:dyDescent="0.4">
      <c r="A704" s="12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 spans="1:27" ht="13.15" x14ac:dyDescent="0.4">
      <c r="A705" s="12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 spans="1:27" ht="13.15" x14ac:dyDescent="0.4">
      <c r="A706" s="12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 spans="1:27" ht="13.15" x14ac:dyDescent="0.4">
      <c r="A707" s="12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 spans="1:27" ht="13.15" x14ac:dyDescent="0.4">
      <c r="A708" s="12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 spans="1:27" ht="13.15" x14ac:dyDescent="0.4">
      <c r="A709" s="12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 spans="1:27" ht="13.15" x14ac:dyDescent="0.4">
      <c r="A710" s="12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 spans="1:27" ht="13.15" x14ac:dyDescent="0.4">
      <c r="A711" s="12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 spans="1:27" ht="13.15" x14ac:dyDescent="0.4">
      <c r="A712" s="12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 spans="1:27" ht="13.15" x14ac:dyDescent="0.4">
      <c r="A713" s="12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 spans="1:27" ht="13.15" x14ac:dyDescent="0.4">
      <c r="A714" s="12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 spans="1:27" ht="13.15" x14ac:dyDescent="0.4">
      <c r="A715" s="12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 spans="1:27" ht="13.15" x14ac:dyDescent="0.4">
      <c r="A716" s="12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 spans="1:27" ht="13.15" x14ac:dyDescent="0.4">
      <c r="A717" s="12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 spans="1:27" ht="13.15" x14ac:dyDescent="0.4">
      <c r="A718" s="12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 spans="1:27" ht="13.15" x14ac:dyDescent="0.4">
      <c r="A719" s="12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 spans="1:27" ht="13.15" x14ac:dyDescent="0.4">
      <c r="A720" s="12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 spans="1:27" ht="13.15" x14ac:dyDescent="0.4">
      <c r="A721" s="12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 spans="1:27" ht="13.15" x14ac:dyDescent="0.4">
      <c r="A722" s="12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 spans="1:27" ht="13.15" x14ac:dyDescent="0.4">
      <c r="A723" s="12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 spans="1:27" ht="13.15" x14ac:dyDescent="0.4">
      <c r="A724" s="12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 spans="1:27" ht="13.15" x14ac:dyDescent="0.4">
      <c r="A725" s="12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 spans="1:27" ht="13.15" x14ac:dyDescent="0.4">
      <c r="A726" s="12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 spans="1:27" ht="13.15" x14ac:dyDescent="0.4">
      <c r="A727" s="12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 spans="1:27" ht="13.15" x14ac:dyDescent="0.4">
      <c r="A728" s="12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 spans="1:27" ht="13.15" x14ac:dyDescent="0.4">
      <c r="A729" s="12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 spans="1:27" ht="13.15" x14ac:dyDescent="0.4">
      <c r="A730" s="12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 spans="1:27" ht="13.15" x14ac:dyDescent="0.4">
      <c r="A731" s="12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 spans="1:27" ht="13.15" x14ac:dyDescent="0.4">
      <c r="A732" s="12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 spans="1:27" ht="13.15" x14ac:dyDescent="0.4">
      <c r="A733" s="12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 spans="1:27" ht="13.15" x14ac:dyDescent="0.4">
      <c r="A734" s="12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 spans="1:27" ht="13.15" x14ac:dyDescent="0.4">
      <c r="A735" s="12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 spans="1:27" ht="13.15" x14ac:dyDescent="0.4">
      <c r="A736" s="12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 spans="1:27" ht="13.15" x14ac:dyDescent="0.4">
      <c r="A737" s="12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 spans="1:27" ht="13.15" x14ac:dyDescent="0.4">
      <c r="A738" s="12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 spans="1:27" ht="13.15" x14ac:dyDescent="0.4">
      <c r="A739" s="12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 spans="1:27" ht="13.15" x14ac:dyDescent="0.4">
      <c r="A740" s="12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 spans="1:27" ht="13.15" x14ac:dyDescent="0.4">
      <c r="A741" s="12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 spans="1:27" ht="13.15" x14ac:dyDescent="0.4">
      <c r="A742" s="12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 spans="1:27" ht="13.15" x14ac:dyDescent="0.4">
      <c r="A743" s="12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 spans="1:27" ht="13.15" x14ac:dyDescent="0.4">
      <c r="A744" s="12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 spans="1:27" ht="13.15" x14ac:dyDescent="0.4">
      <c r="A745" s="12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 spans="1:27" ht="13.15" x14ac:dyDescent="0.4">
      <c r="A746" s="12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 spans="1:27" ht="13.15" x14ac:dyDescent="0.4">
      <c r="A747" s="12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 spans="1:27" ht="13.15" x14ac:dyDescent="0.4">
      <c r="A748" s="12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 spans="1:27" ht="13.15" x14ac:dyDescent="0.4">
      <c r="A749" s="12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 spans="1:27" ht="13.15" x14ac:dyDescent="0.4">
      <c r="A750" s="12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 spans="1:27" ht="13.15" x14ac:dyDescent="0.4">
      <c r="A751" s="12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 spans="1:27" ht="13.15" x14ac:dyDescent="0.4">
      <c r="A752" s="12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 spans="1:27" ht="13.15" x14ac:dyDescent="0.4">
      <c r="A753" s="12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 spans="1:27" ht="13.15" x14ac:dyDescent="0.4">
      <c r="A754" s="12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 spans="1:27" ht="13.15" x14ac:dyDescent="0.4">
      <c r="A755" s="12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 spans="1:27" ht="13.15" x14ac:dyDescent="0.4">
      <c r="A756" s="12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 spans="1:27" ht="13.15" x14ac:dyDescent="0.4">
      <c r="A757" s="12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 spans="1:27" ht="13.15" x14ac:dyDescent="0.4">
      <c r="A758" s="12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 spans="1:27" ht="13.15" x14ac:dyDescent="0.4">
      <c r="A759" s="12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 spans="1:27" ht="13.15" x14ac:dyDescent="0.4">
      <c r="A760" s="12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 spans="1:27" ht="13.15" x14ac:dyDescent="0.4">
      <c r="A761" s="12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 spans="1:27" ht="13.15" x14ac:dyDescent="0.4">
      <c r="A762" s="12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 spans="1:27" ht="13.15" x14ac:dyDescent="0.4">
      <c r="A763" s="12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 spans="1:27" ht="13.15" x14ac:dyDescent="0.4">
      <c r="A764" s="12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 spans="1:27" ht="13.15" x14ac:dyDescent="0.4">
      <c r="A765" s="12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 spans="1:27" ht="13.15" x14ac:dyDescent="0.4">
      <c r="A766" s="12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 spans="1:27" ht="13.15" x14ac:dyDescent="0.4">
      <c r="A767" s="12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 spans="1:27" ht="13.15" x14ac:dyDescent="0.4">
      <c r="A768" s="12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 spans="1:27" ht="13.15" x14ac:dyDescent="0.4">
      <c r="A769" s="12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 spans="1:27" ht="13.15" x14ac:dyDescent="0.4">
      <c r="A770" s="12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 spans="1:27" ht="13.15" x14ac:dyDescent="0.4">
      <c r="A771" s="12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 spans="1:27" ht="13.15" x14ac:dyDescent="0.4">
      <c r="A772" s="12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 spans="1:27" ht="13.15" x14ac:dyDescent="0.4">
      <c r="A773" s="12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 spans="1:27" ht="13.15" x14ac:dyDescent="0.4">
      <c r="A774" s="12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 spans="1:27" ht="13.15" x14ac:dyDescent="0.4">
      <c r="A775" s="12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 spans="1:27" ht="13.15" x14ac:dyDescent="0.4">
      <c r="A776" s="12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 spans="1:27" ht="13.15" x14ac:dyDescent="0.4">
      <c r="A777" s="12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 spans="1:27" ht="13.15" x14ac:dyDescent="0.4">
      <c r="A778" s="12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 spans="1:27" ht="13.15" x14ac:dyDescent="0.4">
      <c r="A779" s="12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 spans="1:27" ht="13.15" x14ac:dyDescent="0.4">
      <c r="A780" s="12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 spans="1:27" ht="13.15" x14ac:dyDescent="0.4">
      <c r="A781" s="12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 spans="1:27" ht="13.15" x14ac:dyDescent="0.4">
      <c r="A782" s="12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 spans="1:27" ht="13.15" x14ac:dyDescent="0.4">
      <c r="A783" s="12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 spans="1:27" ht="13.15" x14ac:dyDescent="0.4">
      <c r="A784" s="12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 spans="1:27" ht="13.15" x14ac:dyDescent="0.4">
      <c r="A785" s="12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 spans="1:27" ht="13.15" x14ac:dyDescent="0.4">
      <c r="A786" s="12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 spans="1:27" ht="13.15" x14ac:dyDescent="0.4">
      <c r="A787" s="12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 spans="1:27" ht="13.15" x14ac:dyDescent="0.4">
      <c r="A788" s="12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 spans="1:27" ht="13.15" x14ac:dyDescent="0.4">
      <c r="A789" s="12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 spans="1:27" ht="13.15" x14ac:dyDescent="0.4">
      <c r="A790" s="12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 spans="1:27" ht="13.15" x14ac:dyDescent="0.4">
      <c r="A791" s="12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 spans="1:27" ht="13.15" x14ac:dyDescent="0.4">
      <c r="A792" s="12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 spans="1:27" ht="13.15" x14ac:dyDescent="0.4">
      <c r="A793" s="12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 spans="1:27" ht="13.15" x14ac:dyDescent="0.4">
      <c r="A794" s="12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 spans="1:27" ht="13.15" x14ac:dyDescent="0.4">
      <c r="A795" s="12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 spans="1:27" ht="13.15" x14ac:dyDescent="0.4">
      <c r="A796" s="12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 spans="1:27" ht="13.15" x14ac:dyDescent="0.4">
      <c r="A797" s="12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 spans="1:27" ht="13.15" x14ac:dyDescent="0.4">
      <c r="A798" s="12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 spans="1:27" ht="13.15" x14ac:dyDescent="0.4">
      <c r="A799" s="12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 spans="1:27" ht="13.15" x14ac:dyDescent="0.4">
      <c r="A800" s="12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 spans="1:27" ht="13.15" x14ac:dyDescent="0.4">
      <c r="A801" s="12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 spans="1:27" ht="13.15" x14ac:dyDescent="0.4">
      <c r="A802" s="12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 spans="1:27" ht="13.15" x14ac:dyDescent="0.4">
      <c r="A803" s="12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 spans="1:27" ht="13.15" x14ac:dyDescent="0.4">
      <c r="A804" s="12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 spans="1:27" ht="13.15" x14ac:dyDescent="0.4">
      <c r="A805" s="12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 spans="1:27" ht="13.15" x14ac:dyDescent="0.4">
      <c r="A806" s="12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 spans="1:27" ht="13.15" x14ac:dyDescent="0.4">
      <c r="A807" s="12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 spans="1:27" ht="13.15" x14ac:dyDescent="0.4">
      <c r="A808" s="12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 spans="1:27" ht="13.15" x14ac:dyDescent="0.4">
      <c r="A809" s="12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 spans="1:27" ht="13.15" x14ac:dyDescent="0.4">
      <c r="A810" s="12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 spans="1:27" ht="13.15" x14ac:dyDescent="0.4">
      <c r="A811" s="12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 spans="1:27" ht="13.15" x14ac:dyDescent="0.4">
      <c r="A812" s="12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 spans="1:27" ht="13.15" x14ac:dyDescent="0.4">
      <c r="A813" s="12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 spans="1:27" ht="13.15" x14ac:dyDescent="0.4">
      <c r="A814" s="12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 spans="1:27" ht="13.15" x14ac:dyDescent="0.4">
      <c r="A815" s="12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 spans="1:27" ht="13.15" x14ac:dyDescent="0.4">
      <c r="A816" s="12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 spans="1:27" ht="13.15" x14ac:dyDescent="0.4">
      <c r="A817" s="12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 spans="1:27" ht="13.15" x14ac:dyDescent="0.4">
      <c r="A818" s="12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 spans="1:27" ht="13.15" x14ac:dyDescent="0.4">
      <c r="A819" s="12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 spans="1:27" ht="13.15" x14ac:dyDescent="0.4">
      <c r="A820" s="12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 spans="1:27" ht="13.15" x14ac:dyDescent="0.4">
      <c r="A821" s="12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 spans="1:27" ht="13.15" x14ac:dyDescent="0.4">
      <c r="A822" s="12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 spans="1:27" ht="13.15" x14ac:dyDescent="0.4">
      <c r="A823" s="12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 spans="1:27" ht="13.15" x14ac:dyDescent="0.4">
      <c r="A824" s="12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 spans="1:27" ht="13.15" x14ac:dyDescent="0.4">
      <c r="A825" s="12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 spans="1:27" ht="13.15" x14ac:dyDescent="0.4">
      <c r="A826" s="12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 spans="1:27" ht="13.15" x14ac:dyDescent="0.4">
      <c r="A827" s="12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 spans="1:27" ht="13.15" x14ac:dyDescent="0.4">
      <c r="A828" s="12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 spans="1:27" ht="13.15" x14ac:dyDescent="0.4">
      <c r="A829" s="12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 spans="1:27" ht="13.15" x14ac:dyDescent="0.4">
      <c r="A830" s="12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 spans="1:27" ht="13.15" x14ac:dyDescent="0.4">
      <c r="A831" s="12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 spans="1:27" ht="13.15" x14ac:dyDescent="0.4">
      <c r="A832" s="12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 spans="1:27" ht="13.15" x14ac:dyDescent="0.4">
      <c r="A833" s="12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 spans="1:27" ht="13.15" x14ac:dyDescent="0.4">
      <c r="A834" s="12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 spans="1:27" ht="13.15" x14ac:dyDescent="0.4">
      <c r="A835" s="12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 spans="1:27" ht="13.15" x14ac:dyDescent="0.4">
      <c r="A836" s="12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 spans="1:27" ht="13.15" x14ac:dyDescent="0.4">
      <c r="A837" s="12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 spans="1:27" ht="13.15" x14ac:dyDescent="0.4">
      <c r="A838" s="12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 spans="1:27" ht="13.15" x14ac:dyDescent="0.4">
      <c r="A839" s="12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 spans="1:27" ht="13.15" x14ac:dyDescent="0.4">
      <c r="A840" s="12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 spans="1:27" ht="13.15" x14ac:dyDescent="0.4">
      <c r="A841" s="12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 spans="1:27" ht="13.15" x14ac:dyDescent="0.4">
      <c r="A842" s="12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 spans="1:27" ht="13.15" x14ac:dyDescent="0.4">
      <c r="A843" s="12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 spans="1:27" ht="13.15" x14ac:dyDescent="0.4">
      <c r="A844" s="12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 spans="1:27" ht="13.15" x14ac:dyDescent="0.4">
      <c r="A845" s="12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 spans="1:27" ht="13.15" x14ac:dyDescent="0.4">
      <c r="A846" s="12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 spans="1:27" ht="13.15" x14ac:dyDescent="0.4">
      <c r="A847" s="12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 spans="1:27" ht="13.15" x14ac:dyDescent="0.4">
      <c r="A848" s="12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 spans="1:27" ht="13.15" x14ac:dyDescent="0.4">
      <c r="A849" s="12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 spans="1:27" ht="13.15" x14ac:dyDescent="0.4">
      <c r="A850" s="12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 spans="1:27" ht="13.15" x14ac:dyDescent="0.4">
      <c r="A851" s="12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 spans="1:27" ht="13.15" x14ac:dyDescent="0.4">
      <c r="A852" s="12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 spans="1:27" ht="13.15" x14ac:dyDescent="0.4">
      <c r="A853" s="12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 spans="1:27" ht="13.15" x14ac:dyDescent="0.4">
      <c r="A854" s="12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 spans="1:27" ht="13.15" x14ac:dyDescent="0.4">
      <c r="A855" s="12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 spans="1:27" ht="13.15" x14ac:dyDescent="0.4">
      <c r="A856" s="12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 spans="1:27" ht="13.15" x14ac:dyDescent="0.4">
      <c r="A857" s="12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 spans="1:27" ht="13.15" x14ac:dyDescent="0.4">
      <c r="A858" s="12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 spans="1:27" ht="13.15" x14ac:dyDescent="0.4">
      <c r="A859" s="12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 spans="1:27" ht="13.15" x14ac:dyDescent="0.4">
      <c r="A860" s="12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 spans="1:27" ht="13.15" x14ac:dyDescent="0.4">
      <c r="A861" s="12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 spans="1:27" ht="13.15" x14ac:dyDescent="0.4">
      <c r="A862" s="12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 spans="1:27" ht="13.15" x14ac:dyDescent="0.4">
      <c r="A863" s="12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 spans="1:27" ht="13.15" x14ac:dyDescent="0.4">
      <c r="A864" s="12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 spans="1:27" ht="13.15" x14ac:dyDescent="0.4">
      <c r="A865" s="12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 spans="1:27" ht="13.15" x14ac:dyDescent="0.4">
      <c r="A866" s="12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 spans="1:27" ht="13.15" x14ac:dyDescent="0.4">
      <c r="A867" s="12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 spans="1:27" ht="13.15" x14ac:dyDescent="0.4">
      <c r="A868" s="12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 spans="1:27" ht="13.15" x14ac:dyDescent="0.4">
      <c r="A869" s="12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 spans="1:27" ht="13.15" x14ac:dyDescent="0.4">
      <c r="A870" s="12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 spans="1:27" ht="13.15" x14ac:dyDescent="0.4">
      <c r="A871" s="12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 spans="1:27" ht="13.15" x14ac:dyDescent="0.4">
      <c r="A872" s="12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 spans="1:27" ht="13.15" x14ac:dyDescent="0.4">
      <c r="A873" s="12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 spans="1:27" ht="13.15" x14ac:dyDescent="0.4">
      <c r="A874" s="12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 spans="1:27" ht="13.15" x14ac:dyDescent="0.4">
      <c r="A875" s="12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 spans="1:27" ht="13.15" x14ac:dyDescent="0.4">
      <c r="A876" s="12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 spans="1:27" ht="13.15" x14ac:dyDescent="0.4">
      <c r="A877" s="12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 spans="1:27" ht="13.15" x14ac:dyDescent="0.4">
      <c r="A878" s="12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 spans="1:27" ht="13.15" x14ac:dyDescent="0.4">
      <c r="A879" s="12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 spans="1:27" ht="13.15" x14ac:dyDescent="0.4">
      <c r="A880" s="12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 spans="1:27" ht="13.15" x14ac:dyDescent="0.4">
      <c r="A881" s="12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 spans="1:27" ht="13.15" x14ac:dyDescent="0.4">
      <c r="A882" s="12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 spans="1:27" ht="13.15" x14ac:dyDescent="0.4">
      <c r="A883" s="12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 spans="1:27" ht="13.15" x14ac:dyDescent="0.4">
      <c r="A884" s="12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 spans="1:27" ht="13.15" x14ac:dyDescent="0.4">
      <c r="A885" s="12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 spans="1:27" ht="13.15" x14ac:dyDescent="0.4">
      <c r="A886" s="12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 spans="1:27" ht="13.15" x14ac:dyDescent="0.4">
      <c r="A887" s="12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 spans="1:27" ht="13.15" x14ac:dyDescent="0.4">
      <c r="A888" s="12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 spans="1:27" ht="13.15" x14ac:dyDescent="0.4">
      <c r="A889" s="12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 spans="1:27" ht="13.15" x14ac:dyDescent="0.4">
      <c r="A890" s="12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 spans="1:27" ht="13.15" x14ac:dyDescent="0.4">
      <c r="A891" s="12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 spans="1:27" ht="13.15" x14ac:dyDescent="0.4">
      <c r="A892" s="12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 spans="1:27" ht="13.15" x14ac:dyDescent="0.4">
      <c r="A893" s="12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 spans="1:27" ht="13.15" x14ac:dyDescent="0.4">
      <c r="A894" s="12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 spans="1:27" ht="13.15" x14ac:dyDescent="0.4">
      <c r="A895" s="12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 spans="1:27" ht="13.15" x14ac:dyDescent="0.4">
      <c r="A896" s="12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 spans="1:27" ht="13.15" x14ac:dyDescent="0.4">
      <c r="A897" s="12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 spans="1:27" ht="13.15" x14ac:dyDescent="0.4">
      <c r="A898" s="12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 spans="1:27" ht="13.15" x14ac:dyDescent="0.4">
      <c r="A899" s="12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 spans="1:27" ht="13.15" x14ac:dyDescent="0.4">
      <c r="A900" s="12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 spans="1:27" ht="13.15" x14ac:dyDescent="0.4">
      <c r="A901" s="12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 spans="1:27" ht="13.15" x14ac:dyDescent="0.4">
      <c r="A902" s="12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 spans="1:27" ht="13.15" x14ac:dyDescent="0.4">
      <c r="A903" s="12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 spans="1:27" ht="13.15" x14ac:dyDescent="0.4">
      <c r="A904" s="12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 spans="1:27" ht="13.15" x14ac:dyDescent="0.4">
      <c r="A905" s="12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 spans="1:27" ht="13.15" x14ac:dyDescent="0.4">
      <c r="A906" s="12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 spans="1:27" ht="13.15" x14ac:dyDescent="0.4">
      <c r="A907" s="12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 spans="1:27" ht="13.15" x14ac:dyDescent="0.4">
      <c r="A908" s="12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 spans="1:27" ht="13.15" x14ac:dyDescent="0.4">
      <c r="A909" s="12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 spans="1:27" ht="13.15" x14ac:dyDescent="0.4">
      <c r="A910" s="12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 spans="1:27" ht="13.15" x14ac:dyDescent="0.4">
      <c r="A911" s="12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 spans="1:27" ht="13.15" x14ac:dyDescent="0.4">
      <c r="A912" s="12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 spans="1:27" ht="13.15" x14ac:dyDescent="0.4">
      <c r="A913" s="12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 spans="1:27" ht="13.15" x14ac:dyDescent="0.4">
      <c r="A914" s="12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 spans="1:27" ht="13.15" x14ac:dyDescent="0.4">
      <c r="A915" s="12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 spans="1:27" ht="13.15" x14ac:dyDescent="0.4">
      <c r="A916" s="12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 spans="1:27" ht="13.15" x14ac:dyDescent="0.4">
      <c r="A917" s="12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 spans="1:27" ht="13.15" x14ac:dyDescent="0.4">
      <c r="A918" s="12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 spans="1:27" ht="13.15" x14ac:dyDescent="0.4">
      <c r="A919" s="12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 spans="1:27" ht="13.15" x14ac:dyDescent="0.4">
      <c r="A920" s="12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 spans="1:27" ht="13.15" x14ac:dyDescent="0.4">
      <c r="A921" s="12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 spans="1:27" ht="13.15" x14ac:dyDescent="0.4">
      <c r="A922" s="12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 spans="1:27" ht="13.15" x14ac:dyDescent="0.4">
      <c r="A923" s="12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 spans="1:27" ht="13.15" x14ac:dyDescent="0.4">
      <c r="A924" s="12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 spans="1:27" ht="13.15" x14ac:dyDescent="0.4">
      <c r="A925" s="12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 spans="1:27" ht="13.15" x14ac:dyDescent="0.4">
      <c r="A926" s="12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 spans="1:27" ht="13.15" x14ac:dyDescent="0.4">
      <c r="A927" s="12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 spans="1:27" ht="13.15" x14ac:dyDescent="0.4">
      <c r="A928" s="12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 spans="1:27" ht="13.15" x14ac:dyDescent="0.4">
      <c r="A929" s="12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 spans="1:27" ht="13.15" x14ac:dyDescent="0.4">
      <c r="A930" s="12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 spans="1:27" ht="13.15" x14ac:dyDescent="0.4">
      <c r="A931" s="12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 spans="1:27" ht="13.15" x14ac:dyDescent="0.4">
      <c r="A932" s="12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 spans="1:27" ht="13.15" x14ac:dyDescent="0.4">
      <c r="A933" s="12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 spans="1:27" ht="13.15" x14ac:dyDescent="0.4">
      <c r="A934" s="12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 spans="1:27" ht="13.15" x14ac:dyDescent="0.4">
      <c r="A935" s="12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 spans="1:27" ht="13.15" x14ac:dyDescent="0.4">
      <c r="A936" s="12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 spans="1:27" ht="13.15" x14ac:dyDescent="0.4">
      <c r="A937" s="12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 spans="1:27" ht="13.15" x14ac:dyDescent="0.4">
      <c r="A938" s="12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 spans="1:27" ht="13.15" x14ac:dyDescent="0.4">
      <c r="A939" s="12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 spans="1:27" ht="13.15" x14ac:dyDescent="0.4">
      <c r="A940" s="12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 spans="1:27" ht="13.15" x14ac:dyDescent="0.4">
      <c r="A941" s="12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 spans="1:27" ht="13.15" x14ac:dyDescent="0.4">
      <c r="A942" s="12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 spans="1:27" ht="13.15" x14ac:dyDescent="0.4">
      <c r="A943" s="12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 spans="1:27" ht="13.15" x14ac:dyDescent="0.4">
      <c r="A944" s="12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 spans="1:27" ht="13.15" x14ac:dyDescent="0.4">
      <c r="A945" s="12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 spans="1:27" ht="13.15" x14ac:dyDescent="0.4">
      <c r="A946" s="12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 spans="1:27" ht="13.15" x14ac:dyDescent="0.4">
      <c r="A947" s="12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 spans="1:27" ht="13.15" x14ac:dyDescent="0.4">
      <c r="A948" s="12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 spans="1:27" ht="13.15" x14ac:dyDescent="0.4">
      <c r="A949" s="12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 spans="1:27" ht="13.15" x14ac:dyDescent="0.4">
      <c r="A950" s="12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 spans="1:27" ht="13.15" x14ac:dyDescent="0.4">
      <c r="A951" s="12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 spans="1:27" ht="13.15" x14ac:dyDescent="0.4">
      <c r="A952" s="12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 spans="1:27" ht="13.15" x14ac:dyDescent="0.4">
      <c r="A953" s="12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 spans="1:27" ht="13.15" x14ac:dyDescent="0.4">
      <c r="A954" s="12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 spans="1:27" ht="13.15" x14ac:dyDescent="0.4">
      <c r="A955" s="12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 spans="1:27" ht="13.15" x14ac:dyDescent="0.4">
      <c r="A956" s="12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 spans="1:27" ht="13.15" x14ac:dyDescent="0.4">
      <c r="A957" s="12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 spans="1:27" ht="13.15" x14ac:dyDescent="0.4">
      <c r="A958" s="12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 spans="1:27" ht="13.15" x14ac:dyDescent="0.4">
      <c r="A959" s="12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 spans="1:27" ht="13.15" x14ac:dyDescent="0.4">
      <c r="A960" s="12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 spans="1:27" ht="13.15" x14ac:dyDescent="0.4">
      <c r="A961" s="12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 spans="1:27" ht="13.15" x14ac:dyDescent="0.4">
      <c r="A962" s="12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 spans="1:27" ht="13.15" x14ac:dyDescent="0.4">
      <c r="A963" s="12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 spans="1:27" ht="13.15" x14ac:dyDescent="0.4">
      <c r="A964" s="12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 spans="1:27" ht="13.15" x14ac:dyDescent="0.4">
      <c r="A965" s="12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 spans="1:27" ht="13.15" x14ac:dyDescent="0.4">
      <c r="A966" s="12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 spans="1:27" ht="13.15" x14ac:dyDescent="0.4">
      <c r="A967" s="12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 spans="1:27" ht="13.15" x14ac:dyDescent="0.4">
      <c r="A968" s="12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 spans="1:27" ht="13.15" x14ac:dyDescent="0.4">
      <c r="A969" s="12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 spans="1:27" ht="13.15" x14ac:dyDescent="0.4">
      <c r="A970" s="12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 spans="1:27" ht="13.15" x14ac:dyDescent="0.4">
      <c r="A971" s="12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 spans="1:27" ht="13.15" x14ac:dyDescent="0.4">
      <c r="A972" s="12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 spans="1:27" ht="13.15" x14ac:dyDescent="0.4">
      <c r="A973" s="12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 spans="1:27" ht="13.15" x14ac:dyDescent="0.4">
      <c r="A974" s="12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 spans="1:27" ht="13.15" x14ac:dyDescent="0.4">
      <c r="A975" s="12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 spans="1:27" ht="13.15" x14ac:dyDescent="0.4">
      <c r="A976" s="12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 spans="1:27" ht="13.15" x14ac:dyDescent="0.4">
      <c r="A977" s="12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 spans="1:27" ht="13.15" x14ac:dyDescent="0.4">
      <c r="A978" s="12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 spans="1:27" ht="13.15" x14ac:dyDescent="0.4">
      <c r="A979" s="12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 spans="1:27" ht="13.15" x14ac:dyDescent="0.4">
      <c r="A980" s="12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 spans="1:27" ht="13.15" x14ac:dyDescent="0.4">
      <c r="A981" s="12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 spans="1:27" ht="13.15" x14ac:dyDescent="0.4">
      <c r="A982" s="12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 spans="1:27" ht="13.15" x14ac:dyDescent="0.4">
      <c r="A983" s="12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 spans="1:27" ht="13.15" x14ac:dyDescent="0.4">
      <c r="A984" s="12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 spans="1:27" ht="13.15" x14ac:dyDescent="0.4">
      <c r="A985" s="12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 spans="1:27" ht="13.15" x14ac:dyDescent="0.4">
      <c r="A986" s="12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 spans="1:27" ht="13.15" x14ac:dyDescent="0.4">
      <c r="A987" s="12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 spans="1:27" ht="13.15" x14ac:dyDescent="0.4">
      <c r="A988" s="12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 spans="1:27" ht="13.15" x14ac:dyDescent="0.4">
      <c r="A989" s="12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 spans="1:27" ht="13.15" x14ac:dyDescent="0.4">
      <c r="A990" s="12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 spans="1:27" ht="13.15" x14ac:dyDescent="0.4">
      <c r="A991" s="12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 spans="1:27" ht="13.15" x14ac:dyDescent="0.4">
      <c r="A992" s="12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 spans="1:27" ht="13.15" x14ac:dyDescent="0.4">
      <c r="A993" s="12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 spans="1:27" ht="13.15" x14ac:dyDescent="0.4">
      <c r="A994" s="12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 spans="1:27" ht="13.15" x14ac:dyDescent="0.4">
      <c r="A995" s="12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 spans="1:27" ht="13.15" x14ac:dyDescent="0.4">
      <c r="A996" s="12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 spans="1:27" ht="13.15" x14ac:dyDescent="0.4">
      <c r="A997" s="12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 spans="1:27" ht="13.15" x14ac:dyDescent="0.4">
      <c r="A998" s="12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 spans="1:27" ht="13.15" x14ac:dyDescent="0.4">
      <c r="A999" s="12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 spans="1:27" ht="13.15" x14ac:dyDescent="0.4">
      <c r="A1000" s="12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</sheetData>
  <mergeCells count="1">
    <mergeCell ref="A2:A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R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9765625" defaultRowHeight="15.75" customHeight="1" x14ac:dyDescent="0.35"/>
  <cols>
    <col min="1" max="122" width="3.86328125" customWidth="1"/>
  </cols>
  <sheetData>
    <row r="1" spans="1:122" ht="22.5" customHeight="1" x14ac:dyDescent="0.35">
      <c r="A1" s="211" t="s">
        <v>270</v>
      </c>
      <c r="B1" s="211">
        <v>-20</v>
      </c>
      <c r="C1" s="211">
        <v>-19</v>
      </c>
      <c r="D1" s="211">
        <v>-18</v>
      </c>
      <c r="E1" s="211">
        <v>-17</v>
      </c>
      <c r="F1" s="211">
        <v>-16</v>
      </c>
      <c r="G1" s="211">
        <v>-15</v>
      </c>
      <c r="H1" s="211">
        <v>-14</v>
      </c>
      <c r="I1" s="211">
        <v>-13</v>
      </c>
      <c r="J1" s="211">
        <v>-12</v>
      </c>
      <c r="K1" s="211">
        <v>-11</v>
      </c>
      <c r="L1" s="211">
        <v>-10</v>
      </c>
      <c r="M1" s="211">
        <v>-9</v>
      </c>
      <c r="N1" s="211">
        <v>-8</v>
      </c>
      <c r="O1" s="211">
        <v>-7</v>
      </c>
      <c r="P1" s="211">
        <v>-6</v>
      </c>
      <c r="Q1" s="211">
        <v>-5</v>
      </c>
      <c r="R1" s="211">
        <v>-4</v>
      </c>
      <c r="S1" s="211">
        <v>-3</v>
      </c>
      <c r="T1" s="211">
        <v>-2</v>
      </c>
      <c r="U1" s="211">
        <v>-1</v>
      </c>
      <c r="V1" s="211">
        <v>0</v>
      </c>
      <c r="W1" s="211">
        <v>1</v>
      </c>
      <c r="X1" s="211">
        <v>2</v>
      </c>
      <c r="Y1" s="211">
        <v>3</v>
      </c>
      <c r="Z1" s="211">
        <v>4</v>
      </c>
      <c r="AA1" s="211">
        <v>5</v>
      </c>
      <c r="AB1" s="211">
        <v>6</v>
      </c>
      <c r="AC1" s="211">
        <v>7</v>
      </c>
      <c r="AD1" s="211">
        <v>8</v>
      </c>
      <c r="AE1" s="211">
        <v>9</v>
      </c>
      <c r="AF1" s="211">
        <v>10</v>
      </c>
      <c r="AG1" s="211">
        <v>11</v>
      </c>
      <c r="AH1" s="211">
        <v>12</v>
      </c>
      <c r="AI1" s="211">
        <v>13</v>
      </c>
      <c r="AJ1" s="211">
        <v>14</v>
      </c>
      <c r="AK1" s="211">
        <v>15</v>
      </c>
      <c r="AL1" s="211">
        <v>16</v>
      </c>
      <c r="AM1" s="211">
        <v>17</v>
      </c>
      <c r="AN1" s="211">
        <v>18</v>
      </c>
      <c r="AO1" s="211">
        <v>19</v>
      </c>
      <c r="AP1" s="211">
        <v>20</v>
      </c>
      <c r="AQ1" s="211">
        <v>21</v>
      </c>
      <c r="AR1" s="211">
        <v>22</v>
      </c>
      <c r="AS1" s="211">
        <v>23</v>
      </c>
      <c r="AT1" s="211">
        <v>24</v>
      </c>
      <c r="AU1" s="211">
        <v>25</v>
      </c>
      <c r="AV1" s="211">
        <v>26</v>
      </c>
      <c r="AW1" s="211">
        <v>27</v>
      </c>
      <c r="AX1" s="211">
        <v>28</v>
      </c>
      <c r="AY1" s="211">
        <v>29</v>
      </c>
      <c r="AZ1" s="211">
        <v>30</v>
      </c>
      <c r="BA1" s="211">
        <v>31</v>
      </c>
      <c r="BB1" s="211">
        <v>32</v>
      </c>
      <c r="BC1" s="211">
        <v>33</v>
      </c>
      <c r="BD1" s="211">
        <v>34</v>
      </c>
      <c r="BE1" s="211">
        <v>35</v>
      </c>
      <c r="BF1" s="211">
        <v>36</v>
      </c>
      <c r="BG1" s="211">
        <v>37</v>
      </c>
      <c r="BH1" s="211">
        <v>38</v>
      </c>
      <c r="BI1" s="211">
        <v>39</v>
      </c>
      <c r="BJ1" s="211">
        <v>40</v>
      </c>
      <c r="BK1" s="211">
        <v>41</v>
      </c>
      <c r="BL1" s="211">
        <v>42</v>
      </c>
      <c r="BM1" s="211">
        <v>43</v>
      </c>
      <c r="BN1" s="211">
        <v>44</v>
      </c>
      <c r="BO1" s="211">
        <v>45</v>
      </c>
      <c r="BP1" s="211">
        <v>46</v>
      </c>
      <c r="BQ1" s="211">
        <v>47</v>
      </c>
      <c r="BR1" s="211">
        <v>48</v>
      </c>
      <c r="BS1" s="211">
        <v>49</v>
      </c>
      <c r="BT1" s="211">
        <v>50</v>
      </c>
      <c r="BU1" s="211">
        <v>51</v>
      </c>
      <c r="BV1" s="211">
        <v>52</v>
      </c>
      <c r="BW1" s="211">
        <v>53</v>
      </c>
      <c r="BX1" s="211">
        <v>54</v>
      </c>
      <c r="BY1" s="211">
        <v>55</v>
      </c>
      <c r="BZ1" s="211">
        <v>56</v>
      </c>
      <c r="CA1" s="211">
        <v>57</v>
      </c>
      <c r="CB1" s="211">
        <v>58</v>
      </c>
      <c r="CC1" s="211">
        <v>59</v>
      </c>
      <c r="CD1" s="211">
        <v>60</v>
      </c>
      <c r="CE1" s="211">
        <v>61</v>
      </c>
      <c r="CF1" s="211">
        <v>62</v>
      </c>
      <c r="CG1" s="211">
        <v>63</v>
      </c>
      <c r="CH1" s="211">
        <v>64</v>
      </c>
      <c r="CI1" s="211">
        <v>65</v>
      </c>
      <c r="CJ1" s="211">
        <v>66</v>
      </c>
      <c r="CK1" s="211">
        <v>67</v>
      </c>
      <c r="CL1" s="211">
        <v>68</v>
      </c>
      <c r="CM1" s="211">
        <v>69</v>
      </c>
      <c r="CN1" s="211">
        <v>70</v>
      </c>
      <c r="CO1" s="211">
        <v>71</v>
      </c>
      <c r="CP1" s="211">
        <v>72</v>
      </c>
      <c r="CQ1" s="211">
        <v>73</v>
      </c>
      <c r="CR1" s="211">
        <v>74</v>
      </c>
      <c r="CS1" s="211">
        <v>75</v>
      </c>
      <c r="CT1" s="211">
        <v>76</v>
      </c>
      <c r="CU1" s="211">
        <v>77</v>
      </c>
      <c r="CV1" s="211">
        <v>78</v>
      </c>
      <c r="CW1" s="211">
        <v>79</v>
      </c>
      <c r="CX1" s="211">
        <v>80</v>
      </c>
      <c r="CY1" s="211">
        <v>81</v>
      </c>
      <c r="CZ1" s="211">
        <v>82</v>
      </c>
      <c r="DA1" s="211">
        <v>83</v>
      </c>
      <c r="DB1" s="211">
        <v>84</v>
      </c>
      <c r="DC1" s="211">
        <v>85</v>
      </c>
      <c r="DD1" s="211">
        <v>86</v>
      </c>
      <c r="DE1" s="211">
        <v>87</v>
      </c>
      <c r="DF1" s="211">
        <v>88</v>
      </c>
      <c r="DG1" s="211">
        <v>89</v>
      </c>
      <c r="DH1" s="211">
        <v>90</v>
      </c>
      <c r="DI1" s="211">
        <v>91</v>
      </c>
      <c r="DJ1" s="211">
        <v>92</v>
      </c>
      <c r="DK1" s="211">
        <v>93</v>
      </c>
      <c r="DL1" s="211">
        <v>94</v>
      </c>
      <c r="DM1" s="211">
        <v>95</v>
      </c>
      <c r="DN1" s="211">
        <v>96</v>
      </c>
      <c r="DO1" s="211">
        <v>97</v>
      </c>
      <c r="DP1" s="211">
        <v>98</v>
      </c>
      <c r="DQ1" s="211">
        <v>99</v>
      </c>
      <c r="DR1" s="211">
        <v>100</v>
      </c>
    </row>
    <row r="2" spans="1:122" ht="22.5" customHeight="1" x14ac:dyDescent="0.45">
      <c r="A2" s="211">
        <v>100</v>
      </c>
      <c r="B2" s="212">
        <v>-2.5</v>
      </c>
      <c r="C2" s="212">
        <v>-2.5</v>
      </c>
      <c r="D2" s="212">
        <v>-2.5</v>
      </c>
      <c r="E2" s="212">
        <v>-2.5</v>
      </c>
      <c r="F2" s="212">
        <v>0</v>
      </c>
      <c r="G2" s="212">
        <v>0</v>
      </c>
      <c r="H2" s="212">
        <v>0</v>
      </c>
      <c r="I2" s="212">
        <v>0</v>
      </c>
      <c r="J2" s="212">
        <v>0</v>
      </c>
      <c r="K2" s="212">
        <v>0</v>
      </c>
      <c r="L2" s="212">
        <v>2.5</v>
      </c>
      <c r="M2" s="212">
        <v>2.5</v>
      </c>
      <c r="N2" s="212">
        <v>2.5</v>
      </c>
      <c r="O2" s="212">
        <v>2.5</v>
      </c>
      <c r="P2" s="212">
        <v>2.5</v>
      </c>
      <c r="Q2" s="212">
        <v>2.5</v>
      </c>
      <c r="R2" s="212">
        <v>2.5</v>
      </c>
      <c r="S2" s="212">
        <v>2.5</v>
      </c>
      <c r="T2" s="212">
        <v>2.5</v>
      </c>
      <c r="U2" s="212">
        <v>2.5</v>
      </c>
      <c r="V2" s="212">
        <v>5</v>
      </c>
      <c r="W2" s="212">
        <v>5</v>
      </c>
      <c r="X2" s="212">
        <v>5</v>
      </c>
      <c r="Y2" s="212">
        <v>5</v>
      </c>
      <c r="Z2" s="212">
        <v>5</v>
      </c>
      <c r="AA2" s="212">
        <v>5</v>
      </c>
      <c r="AB2" s="212">
        <v>5</v>
      </c>
      <c r="AC2" s="212">
        <v>7.5</v>
      </c>
      <c r="AD2" s="212">
        <v>7.5</v>
      </c>
      <c r="AE2" s="212">
        <v>7.5</v>
      </c>
      <c r="AF2" s="212">
        <v>7.5</v>
      </c>
      <c r="AG2" s="212">
        <v>7.5</v>
      </c>
      <c r="AH2" s="212">
        <v>7.5</v>
      </c>
      <c r="AI2" s="212">
        <v>7.5</v>
      </c>
      <c r="AJ2" s="212">
        <v>10</v>
      </c>
      <c r="AK2" s="212">
        <v>10</v>
      </c>
      <c r="AL2" s="212">
        <v>10</v>
      </c>
      <c r="AM2" s="212">
        <v>10</v>
      </c>
      <c r="AN2" s="212">
        <v>10</v>
      </c>
      <c r="AO2" s="212">
        <v>10</v>
      </c>
      <c r="AP2" s="212">
        <v>12.5</v>
      </c>
      <c r="AQ2" s="212">
        <v>12.5</v>
      </c>
      <c r="AR2" s="212">
        <v>12.5</v>
      </c>
      <c r="AS2" s="212">
        <v>12.5</v>
      </c>
      <c r="AT2" s="212">
        <v>12.5</v>
      </c>
      <c r="AU2" s="212">
        <v>12.5</v>
      </c>
      <c r="AV2" s="212">
        <v>12.5</v>
      </c>
      <c r="AW2" s="212">
        <v>12.5</v>
      </c>
      <c r="AX2" s="212">
        <v>12.5</v>
      </c>
      <c r="AY2" s="212">
        <v>12.5</v>
      </c>
      <c r="AZ2" s="212">
        <v>15</v>
      </c>
      <c r="BA2" s="212">
        <v>15</v>
      </c>
      <c r="BB2" s="212">
        <v>15</v>
      </c>
      <c r="BC2" s="212">
        <v>15</v>
      </c>
      <c r="BD2" s="212">
        <v>15</v>
      </c>
      <c r="BE2" s="212">
        <v>15</v>
      </c>
      <c r="BF2" s="212">
        <v>15</v>
      </c>
      <c r="BG2" s="212">
        <v>15</v>
      </c>
      <c r="BH2" s="212">
        <v>15</v>
      </c>
      <c r="BI2" s="212">
        <v>15</v>
      </c>
      <c r="BJ2" s="212">
        <v>17.5</v>
      </c>
      <c r="BK2" s="212">
        <v>17.5</v>
      </c>
      <c r="BL2" s="212">
        <v>17.5</v>
      </c>
      <c r="BM2" s="212">
        <v>17.5</v>
      </c>
      <c r="BN2" s="212">
        <v>17.5</v>
      </c>
      <c r="BO2" s="212">
        <v>17.5</v>
      </c>
      <c r="BP2" s="212">
        <v>17.5</v>
      </c>
      <c r="BQ2" s="212">
        <v>17.5</v>
      </c>
      <c r="BR2" s="212">
        <v>17.5</v>
      </c>
      <c r="BS2" s="212">
        <v>17.5</v>
      </c>
      <c r="BT2" s="212">
        <v>20</v>
      </c>
      <c r="BU2" s="212">
        <v>20</v>
      </c>
      <c r="BV2" s="212">
        <v>20</v>
      </c>
      <c r="BW2" s="212">
        <v>20</v>
      </c>
      <c r="BX2" s="212">
        <v>20</v>
      </c>
      <c r="BY2" s="212">
        <v>20</v>
      </c>
      <c r="BZ2" s="212">
        <v>20</v>
      </c>
      <c r="CA2" s="212">
        <v>20</v>
      </c>
      <c r="CB2" s="212">
        <v>20</v>
      </c>
      <c r="CC2" s="212">
        <v>20</v>
      </c>
      <c r="CD2" s="212">
        <v>22.5</v>
      </c>
      <c r="CE2" s="212">
        <v>22.5</v>
      </c>
      <c r="CF2" s="212">
        <v>22.5</v>
      </c>
      <c r="CG2" s="212">
        <v>22.5</v>
      </c>
      <c r="CH2" s="212">
        <v>22.5</v>
      </c>
      <c r="CI2" s="212">
        <v>22.5</v>
      </c>
      <c r="CJ2" s="212">
        <v>22.5</v>
      </c>
      <c r="CK2" s="212">
        <v>22.5</v>
      </c>
      <c r="CL2" s="212">
        <v>22.5</v>
      </c>
      <c r="CM2" s="212">
        <v>22.5</v>
      </c>
      <c r="CN2" s="212">
        <v>22.5</v>
      </c>
      <c r="CO2" s="212">
        <v>22.5</v>
      </c>
      <c r="CP2" s="212">
        <v>22.5</v>
      </c>
      <c r="CQ2" s="212">
        <v>22.5</v>
      </c>
      <c r="CR2" s="212">
        <v>22.5</v>
      </c>
      <c r="CS2" s="212">
        <v>22.5</v>
      </c>
      <c r="CT2" s="212">
        <v>22.5</v>
      </c>
      <c r="CU2" s="212">
        <v>22.5</v>
      </c>
      <c r="CV2" s="212">
        <v>22.5</v>
      </c>
      <c r="CW2" s="212">
        <v>22.5</v>
      </c>
      <c r="CX2" s="212">
        <v>25</v>
      </c>
      <c r="CY2" s="212">
        <v>25</v>
      </c>
      <c r="CZ2" s="212">
        <v>25</v>
      </c>
      <c r="DA2" s="212">
        <v>25</v>
      </c>
      <c r="DB2" s="212">
        <v>25</v>
      </c>
      <c r="DC2" s="212">
        <v>25</v>
      </c>
      <c r="DD2" s="212">
        <v>25</v>
      </c>
      <c r="DE2" s="212">
        <v>25</v>
      </c>
      <c r="DF2" s="212">
        <v>25</v>
      </c>
      <c r="DG2" s="212">
        <v>25</v>
      </c>
      <c r="DH2" s="212">
        <v>27.5</v>
      </c>
      <c r="DI2" s="212">
        <v>27.5</v>
      </c>
      <c r="DJ2" s="212">
        <v>27.5</v>
      </c>
      <c r="DK2" s="212">
        <v>27.5</v>
      </c>
      <c r="DL2" s="212">
        <v>27.5</v>
      </c>
      <c r="DM2" s="212">
        <v>27.5</v>
      </c>
      <c r="DN2" s="212">
        <v>27.5</v>
      </c>
      <c r="DO2" s="212">
        <v>27.5</v>
      </c>
      <c r="DP2" s="212">
        <v>30</v>
      </c>
      <c r="DQ2" s="212">
        <v>30</v>
      </c>
      <c r="DR2" s="212">
        <v>30</v>
      </c>
    </row>
    <row r="3" spans="1:122" ht="22.5" customHeight="1" x14ac:dyDescent="0.45">
      <c r="A3" s="211">
        <v>99</v>
      </c>
      <c r="B3" s="212">
        <v>-2.5</v>
      </c>
      <c r="C3" s="212">
        <v>-2.5</v>
      </c>
      <c r="D3" s="212">
        <v>-2.5</v>
      </c>
      <c r="E3" s="212">
        <v>0</v>
      </c>
      <c r="F3" s="212">
        <v>0</v>
      </c>
      <c r="G3" s="212">
        <v>0</v>
      </c>
      <c r="H3" s="212">
        <v>0</v>
      </c>
      <c r="I3" s="212">
        <v>0</v>
      </c>
      <c r="J3" s="212">
        <v>0</v>
      </c>
      <c r="K3" s="212">
        <v>0</v>
      </c>
      <c r="L3" s="212">
        <v>0</v>
      </c>
      <c r="M3" s="212">
        <v>2.5</v>
      </c>
      <c r="N3" s="212">
        <v>2.5</v>
      </c>
      <c r="O3" s="212">
        <v>2.5</v>
      </c>
      <c r="P3" s="212">
        <v>2.5</v>
      </c>
      <c r="Q3" s="212">
        <v>2.5</v>
      </c>
      <c r="R3" s="212">
        <v>2.5</v>
      </c>
      <c r="S3" s="212">
        <v>2.5</v>
      </c>
      <c r="T3" s="212">
        <v>2.5</v>
      </c>
      <c r="U3" s="212">
        <v>2.5</v>
      </c>
      <c r="V3" s="212">
        <v>2.5</v>
      </c>
      <c r="W3" s="212">
        <v>5</v>
      </c>
      <c r="X3" s="212">
        <v>5</v>
      </c>
      <c r="Y3" s="212">
        <v>5</v>
      </c>
      <c r="Z3" s="212">
        <v>5</v>
      </c>
      <c r="AA3" s="212">
        <v>5</v>
      </c>
      <c r="AB3" s="212">
        <v>5</v>
      </c>
      <c r="AC3" s="212">
        <v>7.5</v>
      </c>
      <c r="AD3" s="212">
        <v>7.5</v>
      </c>
      <c r="AE3" s="212">
        <v>7.5</v>
      </c>
      <c r="AF3" s="212">
        <v>7.5</v>
      </c>
      <c r="AG3" s="212">
        <v>7.5</v>
      </c>
      <c r="AH3" s="212">
        <v>7.5</v>
      </c>
      <c r="AI3" s="212">
        <v>7.5</v>
      </c>
      <c r="AJ3" s="212">
        <v>10</v>
      </c>
      <c r="AK3" s="212">
        <v>10</v>
      </c>
      <c r="AL3" s="212">
        <v>10</v>
      </c>
      <c r="AM3" s="212">
        <v>10</v>
      </c>
      <c r="AN3" s="212">
        <v>10</v>
      </c>
      <c r="AO3" s="212">
        <v>10</v>
      </c>
      <c r="AP3" s="212">
        <v>10</v>
      </c>
      <c r="AQ3" s="212">
        <v>12.5</v>
      </c>
      <c r="AR3" s="212">
        <v>12.5</v>
      </c>
      <c r="AS3" s="212">
        <v>12.5</v>
      </c>
      <c r="AT3" s="212">
        <v>12.5</v>
      </c>
      <c r="AU3" s="212">
        <v>12.5</v>
      </c>
      <c r="AV3" s="212">
        <v>12.5</v>
      </c>
      <c r="AW3" s="212">
        <v>12.5</v>
      </c>
      <c r="AX3" s="212">
        <v>12.5</v>
      </c>
      <c r="AY3" s="212">
        <v>12.5</v>
      </c>
      <c r="AZ3" s="212">
        <v>12.5</v>
      </c>
      <c r="BA3" s="212">
        <v>15</v>
      </c>
      <c r="BB3" s="212">
        <v>15</v>
      </c>
      <c r="BC3" s="212">
        <v>15</v>
      </c>
      <c r="BD3" s="212">
        <v>15</v>
      </c>
      <c r="BE3" s="212">
        <v>15</v>
      </c>
      <c r="BF3" s="212">
        <v>15</v>
      </c>
      <c r="BG3" s="212">
        <v>15</v>
      </c>
      <c r="BH3" s="212">
        <v>15</v>
      </c>
      <c r="BI3" s="212">
        <v>15</v>
      </c>
      <c r="BJ3" s="212">
        <v>15</v>
      </c>
      <c r="BK3" s="212">
        <v>15</v>
      </c>
      <c r="BL3" s="212">
        <v>17.5</v>
      </c>
      <c r="BM3" s="212">
        <v>17.5</v>
      </c>
      <c r="BN3" s="212">
        <v>17.5</v>
      </c>
      <c r="BO3" s="212">
        <v>17.5</v>
      </c>
      <c r="BP3" s="212">
        <v>17.5</v>
      </c>
      <c r="BQ3" s="212">
        <v>17.5</v>
      </c>
      <c r="BR3" s="212">
        <v>17.5</v>
      </c>
      <c r="BS3" s="212">
        <v>17.5</v>
      </c>
      <c r="BT3" s="212">
        <v>17.5</v>
      </c>
      <c r="BU3" s="212">
        <v>17.5</v>
      </c>
      <c r="BV3" s="212">
        <v>20</v>
      </c>
      <c r="BW3" s="212">
        <v>20</v>
      </c>
      <c r="BX3" s="212">
        <v>20</v>
      </c>
      <c r="BY3" s="212">
        <v>20</v>
      </c>
      <c r="BZ3" s="212">
        <v>20</v>
      </c>
      <c r="CA3" s="212">
        <v>20</v>
      </c>
      <c r="CB3" s="212">
        <v>20</v>
      </c>
      <c r="CC3" s="212">
        <v>20</v>
      </c>
      <c r="CD3" s="212">
        <v>20</v>
      </c>
      <c r="CE3" s="212">
        <v>20</v>
      </c>
      <c r="CF3" s="212">
        <v>20</v>
      </c>
      <c r="CG3" s="212">
        <v>22.5</v>
      </c>
      <c r="CH3" s="212">
        <v>22.5</v>
      </c>
      <c r="CI3" s="212">
        <v>22.5</v>
      </c>
      <c r="CJ3" s="212">
        <v>22.5</v>
      </c>
      <c r="CK3" s="212">
        <v>22.5</v>
      </c>
      <c r="CL3" s="212">
        <v>22.5</v>
      </c>
      <c r="CM3" s="212">
        <v>22.5</v>
      </c>
      <c r="CN3" s="212">
        <v>22.5</v>
      </c>
      <c r="CO3" s="212">
        <v>22.5</v>
      </c>
      <c r="CP3" s="212">
        <v>22.5</v>
      </c>
      <c r="CQ3" s="212">
        <v>22.5</v>
      </c>
      <c r="CR3" s="212">
        <v>22.5</v>
      </c>
      <c r="CS3" s="212">
        <v>22.5</v>
      </c>
      <c r="CT3" s="212">
        <v>22.5</v>
      </c>
      <c r="CU3" s="212">
        <v>22.5</v>
      </c>
      <c r="CV3" s="212">
        <v>22.5</v>
      </c>
      <c r="CW3" s="212">
        <v>22.5</v>
      </c>
      <c r="CX3" s="212">
        <v>22.5</v>
      </c>
      <c r="CY3" s="212">
        <v>25</v>
      </c>
      <c r="CZ3" s="212">
        <v>25</v>
      </c>
      <c r="DA3" s="212">
        <v>25</v>
      </c>
      <c r="DB3" s="212">
        <v>25</v>
      </c>
      <c r="DC3" s="212">
        <v>25</v>
      </c>
      <c r="DD3" s="212">
        <v>25</v>
      </c>
      <c r="DE3" s="212">
        <v>25</v>
      </c>
      <c r="DF3" s="212">
        <v>25</v>
      </c>
      <c r="DG3" s="212">
        <v>25</v>
      </c>
      <c r="DH3" s="212">
        <v>25</v>
      </c>
      <c r="DI3" s="212">
        <v>27.5</v>
      </c>
      <c r="DJ3" s="212">
        <v>27.5</v>
      </c>
      <c r="DK3" s="212">
        <v>27.5</v>
      </c>
      <c r="DL3" s="212">
        <v>27.5</v>
      </c>
      <c r="DM3" s="212">
        <v>27.5</v>
      </c>
      <c r="DN3" s="212">
        <v>27.5</v>
      </c>
      <c r="DO3" s="212">
        <v>27.5</v>
      </c>
      <c r="DP3" s="212">
        <v>27.5</v>
      </c>
      <c r="DQ3" s="212">
        <v>30</v>
      </c>
      <c r="DR3" s="212">
        <v>30</v>
      </c>
    </row>
    <row r="4" spans="1:122" ht="22.5" customHeight="1" x14ac:dyDescent="0.45">
      <c r="A4" s="211">
        <v>98</v>
      </c>
      <c r="B4" s="212">
        <v>-2.5</v>
      </c>
      <c r="C4" s="212">
        <v>-2.5</v>
      </c>
      <c r="D4" s="212">
        <v>0</v>
      </c>
      <c r="E4" s="212">
        <v>0</v>
      </c>
      <c r="F4" s="212">
        <v>0</v>
      </c>
      <c r="G4" s="212">
        <v>0</v>
      </c>
      <c r="H4" s="212">
        <v>0</v>
      </c>
      <c r="I4" s="212">
        <v>0</v>
      </c>
      <c r="J4" s="212">
        <v>0</v>
      </c>
      <c r="K4" s="212">
        <v>0</v>
      </c>
      <c r="L4" s="212">
        <v>0</v>
      </c>
      <c r="M4" s="212">
        <v>0</v>
      </c>
      <c r="N4" s="212">
        <v>2.5</v>
      </c>
      <c r="O4" s="212">
        <v>2.5</v>
      </c>
      <c r="P4" s="212">
        <v>2.5</v>
      </c>
      <c r="Q4" s="212">
        <v>2.5</v>
      </c>
      <c r="R4" s="212">
        <v>2.5</v>
      </c>
      <c r="S4" s="212">
        <v>2.5</v>
      </c>
      <c r="T4" s="212">
        <v>2.5</v>
      </c>
      <c r="U4" s="212">
        <v>2.5</v>
      </c>
      <c r="V4" s="212">
        <v>2.5</v>
      </c>
      <c r="W4" s="212">
        <v>5</v>
      </c>
      <c r="X4" s="212">
        <v>5</v>
      </c>
      <c r="Y4" s="212">
        <v>5</v>
      </c>
      <c r="Z4" s="212">
        <v>5</v>
      </c>
      <c r="AA4" s="212">
        <v>5</v>
      </c>
      <c r="AB4" s="212">
        <v>5</v>
      </c>
      <c r="AC4" s="212">
        <v>5</v>
      </c>
      <c r="AD4" s="212">
        <v>7.5</v>
      </c>
      <c r="AE4" s="212">
        <v>7.5</v>
      </c>
      <c r="AF4" s="212">
        <v>7.5</v>
      </c>
      <c r="AG4" s="212">
        <v>7.5</v>
      </c>
      <c r="AH4" s="212">
        <v>7.5</v>
      </c>
      <c r="AI4" s="212">
        <v>7.5</v>
      </c>
      <c r="AJ4" s="212">
        <v>10</v>
      </c>
      <c r="AK4" s="212">
        <v>10</v>
      </c>
      <c r="AL4" s="212">
        <v>10</v>
      </c>
      <c r="AM4" s="212">
        <v>10</v>
      </c>
      <c r="AN4" s="212">
        <v>10</v>
      </c>
      <c r="AO4" s="212">
        <v>10</v>
      </c>
      <c r="AP4" s="212">
        <v>10</v>
      </c>
      <c r="AQ4" s="212">
        <v>10</v>
      </c>
      <c r="AR4" s="212">
        <v>12.5</v>
      </c>
      <c r="AS4" s="212">
        <v>12.5</v>
      </c>
      <c r="AT4" s="212">
        <v>12.5</v>
      </c>
      <c r="AU4" s="212">
        <v>12.5</v>
      </c>
      <c r="AV4" s="212">
        <v>12.5</v>
      </c>
      <c r="AW4" s="212">
        <v>12.5</v>
      </c>
      <c r="AX4" s="212">
        <v>12.5</v>
      </c>
      <c r="AY4" s="212">
        <v>12.5</v>
      </c>
      <c r="AZ4" s="212">
        <v>12.5</v>
      </c>
      <c r="BA4" s="212">
        <v>12.5</v>
      </c>
      <c r="BB4" s="212">
        <v>15</v>
      </c>
      <c r="BC4" s="212">
        <v>15</v>
      </c>
      <c r="BD4" s="212">
        <v>15</v>
      </c>
      <c r="BE4" s="212">
        <v>15</v>
      </c>
      <c r="BF4" s="212">
        <v>15</v>
      </c>
      <c r="BG4" s="212">
        <v>15</v>
      </c>
      <c r="BH4" s="212">
        <v>15</v>
      </c>
      <c r="BI4" s="212">
        <v>15</v>
      </c>
      <c r="BJ4" s="212">
        <v>15</v>
      </c>
      <c r="BK4" s="212">
        <v>15</v>
      </c>
      <c r="BL4" s="212">
        <v>15</v>
      </c>
      <c r="BM4" s="212">
        <v>17.5</v>
      </c>
      <c r="BN4" s="212">
        <v>17.5</v>
      </c>
      <c r="BO4" s="212">
        <v>17.5</v>
      </c>
      <c r="BP4" s="212">
        <v>17.5</v>
      </c>
      <c r="BQ4" s="212">
        <v>17.5</v>
      </c>
      <c r="BR4" s="212">
        <v>17.5</v>
      </c>
      <c r="BS4" s="212">
        <v>17.5</v>
      </c>
      <c r="BT4" s="212">
        <v>17.5</v>
      </c>
      <c r="BU4" s="212">
        <v>17.5</v>
      </c>
      <c r="BV4" s="212">
        <v>17.5</v>
      </c>
      <c r="BW4" s="212">
        <v>20</v>
      </c>
      <c r="BX4" s="212">
        <v>20</v>
      </c>
      <c r="BY4" s="212">
        <v>20</v>
      </c>
      <c r="BZ4" s="212">
        <v>20</v>
      </c>
      <c r="CA4" s="212">
        <v>20</v>
      </c>
      <c r="CB4" s="212">
        <v>20</v>
      </c>
      <c r="CC4" s="212">
        <v>20</v>
      </c>
      <c r="CD4" s="212">
        <v>20</v>
      </c>
      <c r="CE4" s="212">
        <v>20</v>
      </c>
      <c r="CF4" s="212">
        <v>20</v>
      </c>
      <c r="CG4" s="212">
        <v>20</v>
      </c>
      <c r="CH4" s="212">
        <v>20</v>
      </c>
      <c r="CI4" s="212">
        <v>20</v>
      </c>
      <c r="CJ4" s="212">
        <v>22.5</v>
      </c>
      <c r="CK4" s="212">
        <v>22.5</v>
      </c>
      <c r="CL4" s="212">
        <v>22.5</v>
      </c>
      <c r="CM4" s="212">
        <v>22.5</v>
      </c>
      <c r="CN4" s="212">
        <v>22.5</v>
      </c>
      <c r="CO4" s="212">
        <v>22.5</v>
      </c>
      <c r="CP4" s="212">
        <v>22.5</v>
      </c>
      <c r="CQ4" s="212">
        <v>22.5</v>
      </c>
      <c r="CR4" s="212">
        <v>22.5</v>
      </c>
      <c r="CS4" s="212">
        <v>22.5</v>
      </c>
      <c r="CT4" s="212">
        <v>22.5</v>
      </c>
      <c r="CU4" s="212">
        <v>22.5</v>
      </c>
      <c r="CV4" s="212">
        <v>22.5</v>
      </c>
      <c r="CW4" s="212">
        <v>22.5</v>
      </c>
      <c r="CX4" s="212">
        <v>22.5</v>
      </c>
      <c r="CY4" s="212">
        <v>22.5</v>
      </c>
      <c r="CZ4" s="212">
        <v>25</v>
      </c>
      <c r="DA4" s="212">
        <v>25</v>
      </c>
      <c r="DB4" s="212">
        <v>25</v>
      </c>
      <c r="DC4" s="212">
        <v>25</v>
      </c>
      <c r="DD4" s="212">
        <v>25</v>
      </c>
      <c r="DE4" s="212">
        <v>25</v>
      </c>
      <c r="DF4" s="212">
        <v>25</v>
      </c>
      <c r="DG4" s="212">
        <v>25</v>
      </c>
      <c r="DH4" s="212">
        <v>25</v>
      </c>
      <c r="DI4" s="212">
        <v>25</v>
      </c>
      <c r="DJ4" s="212">
        <v>27.5</v>
      </c>
      <c r="DK4" s="212">
        <v>27.5</v>
      </c>
      <c r="DL4" s="212">
        <v>27.5</v>
      </c>
      <c r="DM4" s="212">
        <v>27.5</v>
      </c>
      <c r="DN4" s="212">
        <v>27.5</v>
      </c>
      <c r="DO4" s="212">
        <v>27.5</v>
      </c>
      <c r="DP4" s="212">
        <v>27.5</v>
      </c>
      <c r="DQ4" s="212">
        <v>30</v>
      </c>
      <c r="DR4" s="212">
        <v>30</v>
      </c>
    </row>
    <row r="5" spans="1:122" ht="22.5" customHeight="1" x14ac:dyDescent="0.45">
      <c r="A5" s="211">
        <v>97</v>
      </c>
      <c r="B5" s="212">
        <v>-2.5</v>
      </c>
      <c r="C5" s="212">
        <v>0</v>
      </c>
      <c r="D5" s="212">
        <v>0</v>
      </c>
      <c r="E5" s="212">
        <v>0</v>
      </c>
      <c r="F5" s="212">
        <v>0</v>
      </c>
      <c r="G5" s="212">
        <v>0</v>
      </c>
      <c r="H5" s="212">
        <v>0</v>
      </c>
      <c r="I5" s="212">
        <v>0</v>
      </c>
      <c r="J5" s="212">
        <v>0</v>
      </c>
      <c r="K5" s="212">
        <v>0</v>
      </c>
      <c r="L5" s="212">
        <v>0</v>
      </c>
      <c r="M5" s="212">
        <v>0</v>
      </c>
      <c r="N5" s="212">
        <v>0</v>
      </c>
      <c r="O5" s="212">
        <v>2.5</v>
      </c>
      <c r="P5" s="212">
        <v>2.5</v>
      </c>
      <c r="Q5" s="212">
        <v>2.5</v>
      </c>
      <c r="R5" s="212">
        <v>2.5</v>
      </c>
      <c r="S5" s="212">
        <v>2.5</v>
      </c>
      <c r="T5" s="212">
        <v>2.5</v>
      </c>
      <c r="U5" s="212">
        <v>2.5</v>
      </c>
      <c r="V5" s="212">
        <v>2.5</v>
      </c>
      <c r="W5" s="212">
        <v>5</v>
      </c>
      <c r="X5" s="212">
        <v>5</v>
      </c>
      <c r="Y5" s="212">
        <v>5</v>
      </c>
      <c r="Z5" s="212">
        <v>5</v>
      </c>
      <c r="AA5" s="212">
        <v>5</v>
      </c>
      <c r="AB5" s="212">
        <v>5</v>
      </c>
      <c r="AC5" s="212">
        <v>5</v>
      </c>
      <c r="AD5" s="212">
        <v>7.5</v>
      </c>
      <c r="AE5" s="212">
        <v>7.5</v>
      </c>
      <c r="AF5" s="212">
        <v>7.5</v>
      </c>
      <c r="AG5" s="212">
        <v>7.5</v>
      </c>
      <c r="AH5" s="212">
        <v>7.5</v>
      </c>
      <c r="AI5" s="212">
        <v>7.5</v>
      </c>
      <c r="AJ5" s="212">
        <v>7.5</v>
      </c>
      <c r="AK5" s="212">
        <v>10</v>
      </c>
      <c r="AL5" s="212">
        <v>10</v>
      </c>
      <c r="AM5" s="212">
        <v>10</v>
      </c>
      <c r="AN5" s="212">
        <v>10</v>
      </c>
      <c r="AO5" s="212">
        <v>10</v>
      </c>
      <c r="AP5" s="212">
        <v>10</v>
      </c>
      <c r="AQ5" s="212">
        <v>10</v>
      </c>
      <c r="AR5" s="212">
        <v>12.5</v>
      </c>
      <c r="AS5" s="212">
        <v>12.5</v>
      </c>
      <c r="AT5" s="212">
        <v>12.5</v>
      </c>
      <c r="AU5" s="212">
        <v>12.5</v>
      </c>
      <c r="AV5" s="212">
        <v>12.5</v>
      </c>
      <c r="AW5" s="212">
        <v>12.5</v>
      </c>
      <c r="AX5" s="212">
        <v>12.5</v>
      </c>
      <c r="AY5" s="212">
        <v>12.5</v>
      </c>
      <c r="AZ5" s="212">
        <v>12.5</v>
      </c>
      <c r="BA5" s="212">
        <v>12.5</v>
      </c>
      <c r="BB5" s="212">
        <v>12.5</v>
      </c>
      <c r="BC5" s="212">
        <v>15</v>
      </c>
      <c r="BD5" s="212">
        <v>15</v>
      </c>
      <c r="BE5" s="212">
        <v>15</v>
      </c>
      <c r="BF5" s="212">
        <v>15</v>
      </c>
      <c r="BG5" s="212">
        <v>15</v>
      </c>
      <c r="BH5" s="212">
        <v>15</v>
      </c>
      <c r="BI5" s="212">
        <v>15</v>
      </c>
      <c r="BJ5" s="212">
        <v>15</v>
      </c>
      <c r="BK5" s="212">
        <v>15</v>
      </c>
      <c r="BL5" s="212">
        <v>15</v>
      </c>
      <c r="BM5" s="212">
        <v>15</v>
      </c>
      <c r="BN5" s="212">
        <v>17.5</v>
      </c>
      <c r="BO5" s="212">
        <v>17.5</v>
      </c>
      <c r="BP5" s="212">
        <v>17.5</v>
      </c>
      <c r="BQ5" s="212">
        <v>17.5</v>
      </c>
      <c r="BR5" s="212">
        <v>17.5</v>
      </c>
      <c r="BS5" s="212">
        <v>17.5</v>
      </c>
      <c r="BT5" s="212">
        <v>17.5</v>
      </c>
      <c r="BU5" s="212">
        <v>17.5</v>
      </c>
      <c r="BV5" s="212">
        <v>17.5</v>
      </c>
      <c r="BW5" s="212">
        <v>17.5</v>
      </c>
      <c r="BX5" s="212">
        <v>17.5</v>
      </c>
      <c r="BY5" s="212">
        <v>20</v>
      </c>
      <c r="BZ5" s="212">
        <v>20</v>
      </c>
      <c r="CA5" s="212">
        <v>20</v>
      </c>
      <c r="CB5" s="212">
        <v>20</v>
      </c>
      <c r="CC5" s="212">
        <v>20</v>
      </c>
      <c r="CD5" s="212">
        <v>20</v>
      </c>
      <c r="CE5" s="212">
        <v>20</v>
      </c>
      <c r="CF5" s="212">
        <v>20</v>
      </c>
      <c r="CG5" s="212">
        <v>20</v>
      </c>
      <c r="CH5" s="212">
        <v>20</v>
      </c>
      <c r="CI5" s="212">
        <v>20</v>
      </c>
      <c r="CJ5" s="212">
        <v>20</v>
      </c>
      <c r="CK5" s="212">
        <v>20</v>
      </c>
      <c r="CL5" s="212">
        <v>22.5</v>
      </c>
      <c r="CM5" s="212">
        <v>22.5</v>
      </c>
      <c r="CN5" s="212">
        <v>22.5</v>
      </c>
      <c r="CO5" s="212">
        <v>22.5</v>
      </c>
      <c r="CP5" s="212">
        <v>22.5</v>
      </c>
      <c r="CQ5" s="212">
        <v>22.5</v>
      </c>
      <c r="CR5" s="212">
        <v>22.5</v>
      </c>
      <c r="CS5" s="212">
        <v>22.5</v>
      </c>
      <c r="CT5" s="212">
        <v>22.5</v>
      </c>
      <c r="CU5" s="212">
        <v>22.5</v>
      </c>
      <c r="CV5" s="212">
        <v>22.5</v>
      </c>
      <c r="CW5" s="212">
        <v>22.5</v>
      </c>
      <c r="CX5" s="212">
        <v>22.5</v>
      </c>
      <c r="CY5" s="212">
        <v>22.5</v>
      </c>
      <c r="CZ5" s="212">
        <v>22.5</v>
      </c>
      <c r="DA5" s="212">
        <v>25</v>
      </c>
      <c r="DB5" s="212">
        <v>25</v>
      </c>
      <c r="DC5" s="212">
        <v>25</v>
      </c>
      <c r="DD5" s="212">
        <v>25</v>
      </c>
      <c r="DE5" s="212">
        <v>25</v>
      </c>
      <c r="DF5" s="212">
        <v>25</v>
      </c>
      <c r="DG5" s="212">
        <v>25</v>
      </c>
      <c r="DH5" s="212">
        <v>25</v>
      </c>
      <c r="DI5" s="212">
        <v>25</v>
      </c>
      <c r="DJ5" s="212">
        <v>25</v>
      </c>
      <c r="DK5" s="212">
        <v>27.5</v>
      </c>
      <c r="DL5" s="212">
        <v>27.5</v>
      </c>
      <c r="DM5" s="212">
        <v>27.5</v>
      </c>
      <c r="DN5" s="212">
        <v>27.5</v>
      </c>
      <c r="DO5" s="212">
        <v>27.5</v>
      </c>
      <c r="DP5" s="212">
        <v>27.5</v>
      </c>
      <c r="DQ5" s="212">
        <v>27.5</v>
      </c>
      <c r="DR5" s="212">
        <v>30</v>
      </c>
    </row>
    <row r="6" spans="1:122" ht="22.5" customHeight="1" x14ac:dyDescent="0.45">
      <c r="A6" s="211">
        <v>96</v>
      </c>
      <c r="B6" s="212">
        <v>-2.5</v>
      </c>
      <c r="C6" s="212">
        <v>0</v>
      </c>
      <c r="D6" s="212">
        <v>0</v>
      </c>
      <c r="E6" s="212">
        <v>0</v>
      </c>
      <c r="F6" s="212">
        <v>0</v>
      </c>
      <c r="G6" s="212">
        <v>0</v>
      </c>
      <c r="H6" s="212">
        <v>0</v>
      </c>
      <c r="I6" s="212">
        <v>0</v>
      </c>
      <c r="J6" s="212">
        <v>0</v>
      </c>
      <c r="K6" s="212">
        <v>0</v>
      </c>
      <c r="L6" s="212">
        <v>0</v>
      </c>
      <c r="M6" s="212">
        <v>0</v>
      </c>
      <c r="N6" s="212">
        <v>0</v>
      </c>
      <c r="O6" s="212">
        <v>2.5</v>
      </c>
      <c r="P6" s="212">
        <v>2.5</v>
      </c>
      <c r="Q6" s="212">
        <v>2.5</v>
      </c>
      <c r="R6" s="212">
        <v>2.5</v>
      </c>
      <c r="S6" s="212">
        <v>2.5</v>
      </c>
      <c r="T6" s="212">
        <v>2.5</v>
      </c>
      <c r="U6" s="212">
        <v>2.5</v>
      </c>
      <c r="V6" s="212">
        <v>2.5</v>
      </c>
      <c r="W6" s="212">
        <v>2.5</v>
      </c>
      <c r="X6" s="212">
        <v>5</v>
      </c>
      <c r="Y6" s="212">
        <v>5</v>
      </c>
      <c r="Z6" s="212">
        <v>5</v>
      </c>
      <c r="AA6" s="212">
        <v>5</v>
      </c>
      <c r="AB6" s="212">
        <v>5</v>
      </c>
      <c r="AC6" s="212">
        <v>5</v>
      </c>
      <c r="AD6" s="212">
        <v>7.5</v>
      </c>
      <c r="AE6" s="212">
        <v>7.5</v>
      </c>
      <c r="AF6" s="212">
        <v>7.5</v>
      </c>
      <c r="AG6" s="212">
        <v>7.5</v>
      </c>
      <c r="AH6" s="212">
        <v>7.5</v>
      </c>
      <c r="AI6" s="212">
        <v>7.5</v>
      </c>
      <c r="AJ6" s="212">
        <v>7.5</v>
      </c>
      <c r="AK6" s="212">
        <v>10</v>
      </c>
      <c r="AL6" s="212">
        <v>10</v>
      </c>
      <c r="AM6" s="212">
        <v>10</v>
      </c>
      <c r="AN6" s="212">
        <v>10</v>
      </c>
      <c r="AO6" s="212">
        <v>10</v>
      </c>
      <c r="AP6" s="212">
        <v>10</v>
      </c>
      <c r="AQ6" s="212">
        <v>10</v>
      </c>
      <c r="AR6" s="212">
        <v>10</v>
      </c>
      <c r="AS6" s="212">
        <v>12.5</v>
      </c>
      <c r="AT6" s="212">
        <v>12.5</v>
      </c>
      <c r="AU6" s="212">
        <v>12.5</v>
      </c>
      <c r="AV6" s="212">
        <v>12.5</v>
      </c>
      <c r="AW6" s="212">
        <v>12.5</v>
      </c>
      <c r="AX6" s="212">
        <v>12.5</v>
      </c>
      <c r="AY6" s="212">
        <v>12.5</v>
      </c>
      <c r="AZ6" s="212">
        <v>12.5</v>
      </c>
      <c r="BA6" s="212">
        <v>12.5</v>
      </c>
      <c r="BB6" s="212">
        <v>12.5</v>
      </c>
      <c r="BC6" s="212">
        <v>12.5</v>
      </c>
      <c r="BD6" s="212">
        <v>15</v>
      </c>
      <c r="BE6" s="212">
        <v>15</v>
      </c>
      <c r="BF6" s="212">
        <v>15</v>
      </c>
      <c r="BG6" s="212">
        <v>15</v>
      </c>
      <c r="BH6" s="212">
        <v>15</v>
      </c>
      <c r="BI6" s="212">
        <v>15</v>
      </c>
      <c r="BJ6" s="212">
        <v>15</v>
      </c>
      <c r="BK6" s="212">
        <v>15</v>
      </c>
      <c r="BL6" s="212">
        <v>15</v>
      </c>
      <c r="BM6" s="212">
        <v>15</v>
      </c>
      <c r="BN6" s="212">
        <v>15</v>
      </c>
      <c r="BO6" s="212">
        <v>17.5</v>
      </c>
      <c r="BP6" s="212">
        <v>17.5</v>
      </c>
      <c r="BQ6" s="212">
        <v>17.5</v>
      </c>
      <c r="BR6" s="212">
        <v>17.5</v>
      </c>
      <c r="BS6" s="212">
        <v>17.5</v>
      </c>
      <c r="BT6" s="212">
        <v>17.5</v>
      </c>
      <c r="BU6" s="212">
        <v>17.5</v>
      </c>
      <c r="BV6" s="212">
        <v>17.5</v>
      </c>
      <c r="BW6" s="212">
        <v>17.5</v>
      </c>
      <c r="BX6" s="212">
        <v>17.5</v>
      </c>
      <c r="BY6" s="212">
        <v>17.5</v>
      </c>
      <c r="BZ6" s="212">
        <v>20</v>
      </c>
      <c r="CA6" s="212">
        <v>20</v>
      </c>
      <c r="CB6" s="212">
        <v>20</v>
      </c>
      <c r="CC6" s="212">
        <v>20</v>
      </c>
      <c r="CD6" s="212">
        <v>20</v>
      </c>
      <c r="CE6" s="212">
        <v>20</v>
      </c>
      <c r="CF6" s="212">
        <v>20</v>
      </c>
      <c r="CG6" s="212">
        <v>20</v>
      </c>
      <c r="CH6" s="212">
        <v>20</v>
      </c>
      <c r="CI6" s="212">
        <v>20</v>
      </c>
      <c r="CJ6" s="212">
        <v>20</v>
      </c>
      <c r="CK6" s="212">
        <v>20</v>
      </c>
      <c r="CL6" s="212">
        <v>20</v>
      </c>
      <c r="CM6" s="212">
        <v>20</v>
      </c>
      <c r="CN6" s="212">
        <v>22.5</v>
      </c>
      <c r="CO6" s="212">
        <v>22.5</v>
      </c>
      <c r="CP6" s="212">
        <v>22.5</v>
      </c>
      <c r="CQ6" s="212">
        <v>22.5</v>
      </c>
      <c r="CR6" s="212">
        <v>22.5</v>
      </c>
      <c r="CS6" s="212">
        <v>22.5</v>
      </c>
      <c r="CT6" s="212">
        <v>22.5</v>
      </c>
      <c r="CU6" s="212">
        <v>22.5</v>
      </c>
      <c r="CV6" s="212">
        <v>22.5</v>
      </c>
      <c r="CW6" s="212">
        <v>22.5</v>
      </c>
      <c r="CX6" s="212">
        <v>22.5</v>
      </c>
      <c r="CY6" s="212">
        <v>22.5</v>
      </c>
      <c r="CZ6" s="212">
        <v>22.5</v>
      </c>
      <c r="DA6" s="212">
        <v>22.5</v>
      </c>
      <c r="DB6" s="212">
        <v>25</v>
      </c>
      <c r="DC6" s="212">
        <v>25</v>
      </c>
      <c r="DD6" s="212">
        <v>25</v>
      </c>
      <c r="DE6" s="212">
        <v>25</v>
      </c>
      <c r="DF6" s="212">
        <v>25</v>
      </c>
      <c r="DG6" s="212">
        <v>25</v>
      </c>
      <c r="DH6" s="212">
        <v>25</v>
      </c>
      <c r="DI6" s="212">
        <v>25</v>
      </c>
      <c r="DJ6" s="212">
        <v>25</v>
      </c>
      <c r="DK6" s="212">
        <v>25</v>
      </c>
      <c r="DL6" s="212">
        <v>27.5</v>
      </c>
      <c r="DM6" s="212">
        <v>27.5</v>
      </c>
      <c r="DN6" s="212">
        <v>27.5</v>
      </c>
      <c r="DO6" s="212">
        <v>27.5</v>
      </c>
      <c r="DP6" s="212">
        <v>27.5</v>
      </c>
      <c r="DQ6" s="212">
        <v>27.5</v>
      </c>
      <c r="DR6" s="212">
        <v>27.5</v>
      </c>
    </row>
    <row r="7" spans="1:122" ht="22.5" customHeight="1" x14ac:dyDescent="0.45">
      <c r="A7" s="211">
        <v>95</v>
      </c>
      <c r="B7" s="212">
        <v>-2.5</v>
      </c>
      <c r="C7" s="212">
        <v>0</v>
      </c>
      <c r="D7" s="212">
        <v>0</v>
      </c>
      <c r="E7" s="212">
        <v>0</v>
      </c>
      <c r="F7" s="212">
        <v>0</v>
      </c>
      <c r="G7" s="212">
        <v>0</v>
      </c>
      <c r="H7" s="212">
        <v>0</v>
      </c>
      <c r="I7" s="212">
        <v>0</v>
      </c>
      <c r="J7" s="212">
        <v>0</v>
      </c>
      <c r="K7" s="212">
        <v>0</v>
      </c>
      <c r="L7" s="212">
        <v>0</v>
      </c>
      <c r="M7" s="212">
        <v>0</v>
      </c>
      <c r="N7" s="212">
        <v>0</v>
      </c>
      <c r="O7" s="212">
        <v>0</v>
      </c>
      <c r="P7" s="212">
        <v>2.5</v>
      </c>
      <c r="Q7" s="212">
        <v>2.5</v>
      </c>
      <c r="R7" s="212">
        <v>2.5</v>
      </c>
      <c r="S7" s="212">
        <v>2.5</v>
      </c>
      <c r="T7" s="212">
        <v>2.5</v>
      </c>
      <c r="U7" s="212">
        <v>2.5</v>
      </c>
      <c r="V7" s="212">
        <v>2.5</v>
      </c>
      <c r="W7" s="212">
        <v>2.5</v>
      </c>
      <c r="X7" s="212">
        <v>5</v>
      </c>
      <c r="Y7" s="212">
        <v>5</v>
      </c>
      <c r="Z7" s="212">
        <v>5</v>
      </c>
      <c r="AA7" s="212">
        <v>5</v>
      </c>
      <c r="AB7" s="212">
        <v>5</v>
      </c>
      <c r="AC7" s="212">
        <v>5</v>
      </c>
      <c r="AD7" s="212">
        <v>5</v>
      </c>
      <c r="AE7" s="212">
        <v>7.5</v>
      </c>
      <c r="AF7" s="212">
        <v>7.5</v>
      </c>
      <c r="AG7" s="212">
        <v>7.5</v>
      </c>
      <c r="AH7" s="212">
        <v>7.5</v>
      </c>
      <c r="AI7" s="212">
        <v>7.5</v>
      </c>
      <c r="AJ7" s="212">
        <v>7.5</v>
      </c>
      <c r="AK7" s="212">
        <v>10</v>
      </c>
      <c r="AL7" s="212">
        <v>10</v>
      </c>
      <c r="AM7" s="212">
        <v>10</v>
      </c>
      <c r="AN7" s="212">
        <v>10</v>
      </c>
      <c r="AO7" s="212">
        <v>10</v>
      </c>
      <c r="AP7" s="212">
        <v>10</v>
      </c>
      <c r="AQ7" s="212">
        <v>10</v>
      </c>
      <c r="AR7" s="212">
        <v>10</v>
      </c>
      <c r="AS7" s="212">
        <v>12.5</v>
      </c>
      <c r="AT7" s="212">
        <v>12.5</v>
      </c>
      <c r="AU7" s="212">
        <v>12.5</v>
      </c>
      <c r="AV7" s="212">
        <v>12.5</v>
      </c>
      <c r="AW7" s="212">
        <v>12.5</v>
      </c>
      <c r="AX7" s="212">
        <v>12.5</v>
      </c>
      <c r="AY7" s="212">
        <v>12.5</v>
      </c>
      <c r="AZ7" s="212">
        <v>12.5</v>
      </c>
      <c r="BA7" s="212">
        <v>12.5</v>
      </c>
      <c r="BB7" s="212">
        <v>12.5</v>
      </c>
      <c r="BC7" s="212">
        <v>12.5</v>
      </c>
      <c r="BD7" s="212">
        <v>12.5</v>
      </c>
      <c r="BE7" s="212">
        <v>15</v>
      </c>
      <c r="BF7" s="212">
        <v>15</v>
      </c>
      <c r="BG7" s="212">
        <v>15</v>
      </c>
      <c r="BH7" s="212">
        <v>15</v>
      </c>
      <c r="BI7" s="212">
        <v>15</v>
      </c>
      <c r="BJ7" s="212">
        <v>15</v>
      </c>
      <c r="BK7" s="212">
        <v>15</v>
      </c>
      <c r="BL7" s="212">
        <v>15</v>
      </c>
      <c r="BM7" s="212">
        <v>15</v>
      </c>
      <c r="BN7" s="212">
        <v>15</v>
      </c>
      <c r="BO7" s="212">
        <v>15</v>
      </c>
      <c r="BP7" s="212">
        <v>17.5</v>
      </c>
      <c r="BQ7" s="212">
        <v>17.5</v>
      </c>
      <c r="BR7" s="212">
        <v>17.5</v>
      </c>
      <c r="BS7" s="212">
        <v>17.5</v>
      </c>
      <c r="BT7" s="212">
        <v>17.5</v>
      </c>
      <c r="BU7" s="212">
        <v>17.5</v>
      </c>
      <c r="BV7" s="212">
        <v>17.5</v>
      </c>
      <c r="BW7" s="212">
        <v>17.5</v>
      </c>
      <c r="BX7" s="212">
        <v>17.5</v>
      </c>
      <c r="BY7" s="212">
        <v>17.5</v>
      </c>
      <c r="BZ7" s="212">
        <v>17.5</v>
      </c>
      <c r="CA7" s="212">
        <v>17.5</v>
      </c>
      <c r="CB7" s="212">
        <v>20</v>
      </c>
      <c r="CC7" s="212">
        <v>20</v>
      </c>
      <c r="CD7" s="212">
        <v>20</v>
      </c>
      <c r="CE7" s="212">
        <v>20</v>
      </c>
      <c r="CF7" s="212">
        <v>20</v>
      </c>
      <c r="CG7" s="212">
        <v>20</v>
      </c>
      <c r="CH7" s="212">
        <v>20</v>
      </c>
      <c r="CI7" s="212">
        <v>20</v>
      </c>
      <c r="CJ7" s="212">
        <v>20</v>
      </c>
      <c r="CK7" s="212">
        <v>20</v>
      </c>
      <c r="CL7" s="212">
        <v>20</v>
      </c>
      <c r="CM7" s="212">
        <v>20</v>
      </c>
      <c r="CN7" s="212">
        <v>20</v>
      </c>
      <c r="CO7" s="212">
        <v>20</v>
      </c>
      <c r="CP7" s="212">
        <v>22.5</v>
      </c>
      <c r="CQ7" s="212">
        <v>22.5</v>
      </c>
      <c r="CR7" s="212">
        <v>22.5</v>
      </c>
      <c r="CS7" s="212">
        <v>22.5</v>
      </c>
      <c r="CT7" s="212">
        <v>22.5</v>
      </c>
      <c r="CU7" s="212">
        <v>22.5</v>
      </c>
      <c r="CV7" s="212">
        <v>22.5</v>
      </c>
      <c r="CW7" s="212">
        <v>22.5</v>
      </c>
      <c r="CX7" s="212">
        <v>22.5</v>
      </c>
      <c r="CY7" s="212">
        <v>22.5</v>
      </c>
      <c r="CZ7" s="212">
        <v>22.5</v>
      </c>
      <c r="DA7" s="212">
        <v>22.5</v>
      </c>
      <c r="DB7" s="212">
        <v>22.5</v>
      </c>
      <c r="DC7" s="212">
        <v>25</v>
      </c>
      <c r="DD7" s="212">
        <v>25</v>
      </c>
      <c r="DE7" s="212">
        <v>25</v>
      </c>
      <c r="DF7" s="212">
        <v>25</v>
      </c>
      <c r="DG7" s="212">
        <v>25</v>
      </c>
      <c r="DH7" s="212">
        <v>25</v>
      </c>
      <c r="DI7" s="212">
        <v>25</v>
      </c>
      <c r="DJ7" s="212">
        <v>25</v>
      </c>
      <c r="DK7" s="212">
        <v>25</v>
      </c>
      <c r="DL7" s="212">
        <v>25</v>
      </c>
      <c r="DM7" s="212">
        <v>27.5</v>
      </c>
      <c r="DN7" s="212">
        <v>27.5</v>
      </c>
      <c r="DO7" s="212">
        <v>27.5</v>
      </c>
      <c r="DP7" s="212">
        <v>27.5</v>
      </c>
      <c r="DQ7" s="212">
        <v>27.5</v>
      </c>
      <c r="DR7" s="212">
        <v>27.5</v>
      </c>
    </row>
    <row r="8" spans="1:122" ht="22.5" customHeight="1" x14ac:dyDescent="0.45">
      <c r="A8" s="211">
        <v>94</v>
      </c>
      <c r="B8" s="212">
        <v>-2.5</v>
      </c>
      <c r="C8" s="212">
        <v>0</v>
      </c>
      <c r="D8" s="212">
        <v>0</v>
      </c>
      <c r="E8" s="212">
        <v>0</v>
      </c>
      <c r="F8" s="212">
        <v>0</v>
      </c>
      <c r="G8" s="212">
        <v>0</v>
      </c>
      <c r="H8" s="212">
        <v>0</v>
      </c>
      <c r="I8" s="212">
        <v>0</v>
      </c>
      <c r="J8" s="212">
        <v>0</v>
      </c>
      <c r="K8" s="212">
        <v>0</v>
      </c>
      <c r="L8" s="212">
        <v>0</v>
      </c>
      <c r="M8" s="212">
        <v>0</v>
      </c>
      <c r="N8" s="212">
        <v>0</v>
      </c>
      <c r="O8" s="212">
        <v>0</v>
      </c>
      <c r="P8" s="212">
        <v>0</v>
      </c>
      <c r="Q8" s="212">
        <v>2.5</v>
      </c>
      <c r="R8" s="212">
        <v>2.5</v>
      </c>
      <c r="S8" s="212">
        <v>2.5</v>
      </c>
      <c r="T8" s="212">
        <v>2.5</v>
      </c>
      <c r="U8" s="212">
        <v>2.5</v>
      </c>
      <c r="V8" s="212">
        <v>2.5</v>
      </c>
      <c r="W8" s="212">
        <v>2.5</v>
      </c>
      <c r="X8" s="212">
        <v>5</v>
      </c>
      <c r="Y8" s="212">
        <v>5</v>
      </c>
      <c r="Z8" s="212">
        <v>5</v>
      </c>
      <c r="AA8" s="212">
        <v>5</v>
      </c>
      <c r="AB8" s="212">
        <v>5</v>
      </c>
      <c r="AC8" s="212">
        <v>5</v>
      </c>
      <c r="AD8" s="212">
        <v>5</v>
      </c>
      <c r="AE8" s="212">
        <v>7.5</v>
      </c>
      <c r="AF8" s="212">
        <v>7.5</v>
      </c>
      <c r="AG8" s="212">
        <v>7.5</v>
      </c>
      <c r="AH8" s="212">
        <v>7.5</v>
      </c>
      <c r="AI8" s="212">
        <v>7.5</v>
      </c>
      <c r="AJ8" s="212">
        <v>7.5</v>
      </c>
      <c r="AK8" s="212">
        <v>7.5</v>
      </c>
      <c r="AL8" s="212">
        <v>10</v>
      </c>
      <c r="AM8" s="212">
        <v>10</v>
      </c>
      <c r="AN8" s="212">
        <v>10</v>
      </c>
      <c r="AO8" s="212">
        <v>10</v>
      </c>
      <c r="AP8" s="212">
        <v>10</v>
      </c>
      <c r="AQ8" s="212">
        <v>10</v>
      </c>
      <c r="AR8" s="212">
        <v>10</v>
      </c>
      <c r="AS8" s="212">
        <v>10</v>
      </c>
      <c r="AT8" s="212">
        <v>12.5</v>
      </c>
      <c r="AU8" s="212">
        <v>12.5</v>
      </c>
      <c r="AV8" s="212">
        <v>12.5</v>
      </c>
      <c r="AW8" s="212">
        <v>12.5</v>
      </c>
      <c r="AX8" s="212">
        <v>12.5</v>
      </c>
      <c r="AY8" s="212">
        <v>12.5</v>
      </c>
      <c r="AZ8" s="212">
        <v>12.5</v>
      </c>
      <c r="BA8" s="212">
        <v>12.5</v>
      </c>
      <c r="BB8" s="212">
        <v>12.5</v>
      </c>
      <c r="BC8" s="212">
        <v>12.5</v>
      </c>
      <c r="BD8" s="212">
        <v>12.5</v>
      </c>
      <c r="BE8" s="212">
        <v>12.5</v>
      </c>
      <c r="BF8" s="212">
        <v>15</v>
      </c>
      <c r="BG8" s="212">
        <v>15</v>
      </c>
      <c r="BH8" s="212">
        <v>15</v>
      </c>
      <c r="BI8" s="212">
        <v>15</v>
      </c>
      <c r="BJ8" s="212">
        <v>15</v>
      </c>
      <c r="BK8" s="212">
        <v>15</v>
      </c>
      <c r="BL8" s="212">
        <v>15</v>
      </c>
      <c r="BM8" s="212">
        <v>15</v>
      </c>
      <c r="BN8" s="212">
        <v>15</v>
      </c>
      <c r="BO8" s="212">
        <v>15</v>
      </c>
      <c r="BP8" s="212">
        <v>15</v>
      </c>
      <c r="BQ8" s="212">
        <v>15</v>
      </c>
      <c r="BR8" s="212">
        <v>17.5</v>
      </c>
      <c r="BS8" s="212">
        <v>17.5</v>
      </c>
      <c r="BT8" s="212">
        <v>17.5</v>
      </c>
      <c r="BU8" s="212">
        <v>17.5</v>
      </c>
      <c r="BV8" s="212">
        <v>17.5</v>
      </c>
      <c r="BW8" s="212">
        <v>17.5</v>
      </c>
      <c r="BX8" s="212">
        <v>17.5</v>
      </c>
      <c r="BY8" s="212">
        <v>17.5</v>
      </c>
      <c r="BZ8" s="212">
        <v>17.5</v>
      </c>
      <c r="CA8" s="212">
        <v>17.5</v>
      </c>
      <c r="CB8" s="212">
        <v>17.5</v>
      </c>
      <c r="CC8" s="212">
        <v>20</v>
      </c>
      <c r="CD8" s="212">
        <v>20</v>
      </c>
      <c r="CE8" s="212">
        <v>20</v>
      </c>
      <c r="CF8" s="212">
        <v>20</v>
      </c>
      <c r="CG8" s="212">
        <v>20</v>
      </c>
      <c r="CH8" s="212">
        <v>20</v>
      </c>
      <c r="CI8" s="212">
        <v>20</v>
      </c>
      <c r="CJ8" s="212">
        <v>20</v>
      </c>
      <c r="CK8" s="212">
        <v>20</v>
      </c>
      <c r="CL8" s="212">
        <v>20</v>
      </c>
      <c r="CM8" s="212">
        <v>20</v>
      </c>
      <c r="CN8" s="212">
        <v>20</v>
      </c>
      <c r="CO8" s="212">
        <v>20</v>
      </c>
      <c r="CP8" s="212">
        <v>20</v>
      </c>
      <c r="CQ8" s="212">
        <v>20</v>
      </c>
      <c r="CR8" s="212">
        <v>22.5</v>
      </c>
      <c r="CS8" s="212">
        <v>22.5</v>
      </c>
      <c r="CT8" s="212">
        <v>22.5</v>
      </c>
      <c r="CU8" s="212">
        <v>22.5</v>
      </c>
      <c r="CV8" s="212">
        <v>22.5</v>
      </c>
      <c r="CW8" s="212">
        <v>22.5</v>
      </c>
      <c r="CX8" s="212">
        <v>22.5</v>
      </c>
      <c r="CY8" s="212">
        <v>22.5</v>
      </c>
      <c r="CZ8" s="212">
        <v>22.5</v>
      </c>
      <c r="DA8" s="212">
        <v>22.5</v>
      </c>
      <c r="DB8" s="212">
        <v>22.5</v>
      </c>
      <c r="DC8" s="212">
        <v>22.5</v>
      </c>
      <c r="DD8" s="212">
        <v>25</v>
      </c>
      <c r="DE8" s="212">
        <v>25</v>
      </c>
      <c r="DF8" s="212">
        <v>25</v>
      </c>
      <c r="DG8" s="212">
        <v>25</v>
      </c>
      <c r="DH8" s="212">
        <v>25</v>
      </c>
      <c r="DI8" s="212">
        <v>25</v>
      </c>
      <c r="DJ8" s="212">
        <v>25</v>
      </c>
      <c r="DK8" s="212">
        <v>25</v>
      </c>
      <c r="DL8" s="212">
        <v>25</v>
      </c>
      <c r="DM8" s="212">
        <v>25</v>
      </c>
      <c r="DN8" s="212">
        <v>27.5</v>
      </c>
      <c r="DO8" s="212">
        <v>27.5</v>
      </c>
      <c r="DP8" s="212">
        <v>27.5</v>
      </c>
      <c r="DQ8" s="212">
        <v>27.5</v>
      </c>
      <c r="DR8" s="212">
        <v>27.5</v>
      </c>
    </row>
    <row r="9" spans="1:122" ht="22.5" customHeight="1" x14ac:dyDescent="0.45">
      <c r="A9" s="211">
        <v>93</v>
      </c>
      <c r="B9" s="212">
        <v>-2.5</v>
      </c>
      <c r="C9" s="212">
        <v>0</v>
      </c>
      <c r="D9" s="212">
        <v>0</v>
      </c>
      <c r="E9" s="212">
        <v>0</v>
      </c>
      <c r="F9" s="212">
        <v>0</v>
      </c>
      <c r="G9" s="212">
        <v>0</v>
      </c>
      <c r="H9" s="212">
        <v>0</v>
      </c>
      <c r="I9" s="212">
        <v>0</v>
      </c>
      <c r="J9" s="212">
        <v>0</v>
      </c>
      <c r="K9" s="212">
        <v>0</v>
      </c>
      <c r="L9" s="212">
        <v>0</v>
      </c>
      <c r="M9" s="212">
        <v>0</v>
      </c>
      <c r="N9" s="212">
        <v>0</v>
      </c>
      <c r="O9" s="212">
        <v>0</v>
      </c>
      <c r="P9" s="212">
        <v>0</v>
      </c>
      <c r="Q9" s="212">
        <v>2.5</v>
      </c>
      <c r="R9" s="212">
        <v>2.5</v>
      </c>
      <c r="S9" s="212">
        <v>2.5</v>
      </c>
      <c r="T9" s="212">
        <v>2.5</v>
      </c>
      <c r="U9" s="212">
        <v>2.5</v>
      </c>
      <c r="V9" s="212">
        <v>2.5</v>
      </c>
      <c r="W9" s="212">
        <v>2.5</v>
      </c>
      <c r="X9" s="212">
        <v>2.5</v>
      </c>
      <c r="Y9" s="212">
        <v>5</v>
      </c>
      <c r="Z9" s="212">
        <v>5</v>
      </c>
      <c r="AA9" s="212">
        <v>5</v>
      </c>
      <c r="AB9" s="212">
        <v>5</v>
      </c>
      <c r="AC9" s="212">
        <v>5</v>
      </c>
      <c r="AD9" s="212">
        <v>5</v>
      </c>
      <c r="AE9" s="212">
        <v>7.5</v>
      </c>
      <c r="AF9" s="212">
        <v>7.5</v>
      </c>
      <c r="AG9" s="212">
        <v>7.5</v>
      </c>
      <c r="AH9" s="212">
        <v>7.5</v>
      </c>
      <c r="AI9" s="212">
        <v>7.5</v>
      </c>
      <c r="AJ9" s="212">
        <v>7.5</v>
      </c>
      <c r="AK9" s="212">
        <v>7.5</v>
      </c>
      <c r="AL9" s="212">
        <v>10</v>
      </c>
      <c r="AM9" s="212">
        <v>10</v>
      </c>
      <c r="AN9" s="212">
        <v>10</v>
      </c>
      <c r="AO9" s="212">
        <v>10</v>
      </c>
      <c r="AP9" s="212">
        <v>10</v>
      </c>
      <c r="AQ9" s="212">
        <v>10</v>
      </c>
      <c r="AR9" s="212">
        <v>10</v>
      </c>
      <c r="AS9" s="212">
        <v>10</v>
      </c>
      <c r="AT9" s="212">
        <v>10</v>
      </c>
      <c r="AU9" s="212">
        <v>12.5</v>
      </c>
      <c r="AV9" s="212">
        <v>12.5</v>
      </c>
      <c r="AW9" s="212">
        <v>12.5</v>
      </c>
      <c r="AX9" s="212">
        <v>12.5</v>
      </c>
      <c r="AY9" s="212">
        <v>12.5</v>
      </c>
      <c r="AZ9" s="212">
        <v>12.5</v>
      </c>
      <c r="BA9" s="212">
        <v>12.5</v>
      </c>
      <c r="BB9" s="212">
        <v>12.5</v>
      </c>
      <c r="BC9" s="212">
        <v>12.5</v>
      </c>
      <c r="BD9" s="212">
        <v>12.5</v>
      </c>
      <c r="BE9" s="212">
        <v>12.5</v>
      </c>
      <c r="BF9" s="212">
        <v>12.5</v>
      </c>
      <c r="BG9" s="212">
        <v>15</v>
      </c>
      <c r="BH9" s="212">
        <v>15</v>
      </c>
      <c r="BI9" s="212">
        <v>15</v>
      </c>
      <c r="BJ9" s="212">
        <v>15</v>
      </c>
      <c r="BK9" s="212">
        <v>15</v>
      </c>
      <c r="BL9" s="212">
        <v>15</v>
      </c>
      <c r="BM9" s="212">
        <v>15</v>
      </c>
      <c r="BN9" s="212">
        <v>15</v>
      </c>
      <c r="BO9" s="212">
        <v>15</v>
      </c>
      <c r="BP9" s="212">
        <v>15</v>
      </c>
      <c r="BQ9" s="212">
        <v>15</v>
      </c>
      <c r="BR9" s="212">
        <v>15</v>
      </c>
      <c r="BS9" s="212">
        <v>17.5</v>
      </c>
      <c r="BT9" s="212">
        <v>17.5</v>
      </c>
      <c r="BU9" s="212">
        <v>17.5</v>
      </c>
      <c r="BV9" s="212">
        <v>17.5</v>
      </c>
      <c r="BW9" s="212">
        <v>17.5</v>
      </c>
      <c r="BX9" s="212">
        <v>17.5</v>
      </c>
      <c r="BY9" s="212">
        <v>17.5</v>
      </c>
      <c r="BZ9" s="212">
        <v>17.5</v>
      </c>
      <c r="CA9" s="212">
        <v>17.5</v>
      </c>
      <c r="CB9" s="212">
        <v>17.5</v>
      </c>
      <c r="CC9" s="212">
        <v>17.5</v>
      </c>
      <c r="CD9" s="212">
        <v>17.5</v>
      </c>
      <c r="CE9" s="212">
        <v>20</v>
      </c>
      <c r="CF9" s="212">
        <v>20</v>
      </c>
      <c r="CG9" s="212">
        <v>20</v>
      </c>
      <c r="CH9" s="212">
        <v>20</v>
      </c>
      <c r="CI9" s="212">
        <v>20</v>
      </c>
      <c r="CJ9" s="212">
        <v>20</v>
      </c>
      <c r="CK9" s="212">
        <v>20</v>
      </c>
      <c r="CL9" s="212">
        <v>20</v>
      </c>
      <c r="CM9" s="212">
        <v>20</v>
      </c>
      <c r="CN9" s="212">
        <v>20</v>
      </c>
      <c r="CO9" s="212">
        <v>20</v>
      </c>
      <c r="CP9" s="212">
        <v>20</v>
      </c>
      <c r="CQ9" s="212">
        <v>20</v>
      </c>
      <c r="CR9" s="212">
        <v>20</v>
      </c>
      <c r="CS9" s="212">
        <v>20</v>
      </c>
      <c r="CT9" s="212">
        <v>22.5</v>
      </c>
      <c r="CU9" s="212">
        <v>22.5</v>
      </c>
      <c r="CV9" s="212">
        <v>22.5</v>
      </c>
      <c r="CW9" s="212">
        <v>22.5</v>
      </c>
      <c r="CX9" s="212">
        <v>22.5</v>
      </c>
      <c r="CY9" s="212">
        <v>22.5</v>
      </c>
      <c r="CZ9" s="212">
        <v>22.5</v>
      </c>
      <c r="DA9" s="212">
        <v>22.5</v>
      </c>
      <c r="DB9" s="212">
        <v>22.5</v>
      </c>
      <c r="DC9" s="212">
        <v>22.5</v>
      </c>
      <c r="DD9" s="212">
        <v>22.5</v>
      </c>
      <c r="DE9" s="212">
        <v>25</v>
      </c>
      <c r="DF9" s="212">
        <v>25</v>
      </c>
      <c r="DG9" s="212">
        <v>25</v>
      </c>
      <c r="DH9" s="212">
        <v>25</v>
      </c>
      <c r="DI9" s="212">
        <v>25</v>
      </c>
      <c r="DJ9" s="212">
        <v>25</v>
      </c>
      <c r="DK9" s="212">
        <v>25</v>
      </c>
      <c r="DL9" s="212">
        <v>25</v>
      </c>
      <c r="DM9" s="212">
        <v>25</v>
      </c>
      <c r="DN9" s="212">
        <v>25</v>
      </c>
      <c r="DO9" s="212">
        <v>27.5</v>
      </c>
      <c r="DP9" s="212">
        <v>27.5</v>
      </c>
      <c r="DQ9" s="212">
        <v>27.5</v>
      </c>
      <c r="DR9" s="212">
        <v>27.5</v>
      </c>
    </row>
    <row r="10" spans="1:122" ht="22.5" customHeight="1" x14ac:dyDescent="0.45">
      <c r="A10" s="211">
        <v>92</v>
      </c>
      <c r="B10" s="212">
        <v>-2.5</v>
      </c>
      <c r="C10" s="212">
        <v>-2.5</v>
      </c>
      <c r="D10" s="212">
        <v>0</v>
      </c>
      <c r="E10" s="212">
        <v>0</v>
      </c>
      <c r="F10" s="212">
        <v>0</v>
      </c>
      <c r="G10" s="212">
        <v>0</v>
      </c>
      <c r="H10" s="212">
        <v>0</v>
      </c>
      <c r="I10" s="212">
        <v>0</v>
      </c>
      <c r="J10" s="212">
        <v>0</v>
      </c>
      <c r="K10" s="212">
        <v>0</v>
      </c>
      <c r="L10" s="212">
        <v>0</v>
      </c>
      <c r="M10" s="212">
        <v>0</v>
      </c>
      <c r="N10" s="212">
        <v>0</v>
      </c>
      <c r="O10" s="212">
        <v>0</v>
      </c>
      <c r="P10" s="212">
        <v>0</v>
      </c>
      <c r="Q10" s="212">
        <v>0</v>
      </c>
      <c r="R10" s="212">
        <v>2.5</v>
      </c>
      <c r="S10" s="212">
        <v>2.5</v>
      </c>
      <c r="T10" s="212">
        <v>2.5</v>
      </c>
      <c r="U10" s="212">
        <v>2.5</v>
      </c>
      <c r="V10" s="212">
        <v>2.5</v>
      </c>
      <c r="W10" s="212">
        <v>2.5</v>
      </c>
      <c r="X10" s="212">
        <v>2.5</v>
      </c>
      <c r="Y10" s="212">
        <v>5</v>
      </c>
      <c r="Z10" s="212">
        <v>5</v>
      </c>
      <c r="AA10" s="212">
        <v>5</v>
      </c>
      <c r="AB10" s="212">
        <v>5</v>
      </c>
      <c r="AC10" s="212">
        <v>5</v>
      </c>
      <c r="AD10" s="212">
        <v>5</v>
      </c>
      <c r="AE10" s="212">
        <v>5</v>
      </c>
      <c r="AF10" s="212">
        <v>7.5</v>
      </c>
      <c r="AG10" s="212">
        <v>7.5</v>
      </c>
      <c r="AH10" s="212">
        <v>7.5</v>
      </c>
      <c r="AI10" s="212">
        <v>7.5</v>
      </c>
      <c r="AJ10" s="212">
        <v>7.5</v>
      </c>
      <c r="AK10" s="212">
        <v>7.5</v>
      </c>
      <c r="AL10" s="212">
        <v>10</v>
      </c>
      <c r="AM10" s="212">
        <v>10</v>
      </c>
      <c r="AN10" s="212">
        <v>10</v>
      </c>
      <c r="AO10" s="212">
        <v>10</v>
      </c>
      <c r="AP10" s="212">
        <v>10</v>
      </c>
      <c r="AQ10" s="212">
        <v>10</v>
      </c>
      <c r="AR10" s="212">
        <v>10</v>
      </c>
      <c r="AS10" s="212">
        <v>10</v>
      </c>
      <c r="AT10" s="212">
        <v>10</v>
      </c>
      <c r="AU10" s="212">
        <v>12.5</v>
      </c>
      <c r="AV10" s="212">
        <v>12.5</v>
      </c>
      <c r="AW10" s="212">
        <v>12.5</v>
      </c>
      <c r="AX10" s="212">
        <v>12.5</v>
      </c>
      <c r="AY10" s="212">
        <v>12.5</v>
      </c>
      <c r="AZ10" s="212">
        <v>12.5</v>
      </c>
      <c r="BA10" s="212">
        <v>12.5</v>
      </c>
      <c r="BB10" s="212">
        <v>12.5</v>
      </c>
      <c r="BC10" s="212">
        <v>12.5</v>
      </c>
      <c r="BD10" s="212">
        <v>12.5</v>
      </c>
      <c r="BE10" s="212">
        <v>12.5</v>
      </c>
      <c r="BF10" s="212">
        <v>12.5</v>
      </c>
      <c r="BG10" s="212">
        <v>12.5</v>
      </c>
      <c r="BH10" s="212">
        <v>15</v>
      </c>
      <c r="BI10" s="212">
        <v>15</v>
      </c>
      <c r="BJ10" s="212">
        <v>15</v>
      </c>
      <c r="BK10" s="212">
        <v>15</v>
      </c>
      <c r="BL10" s="212">
        <v>15</v>
      </c>
      <c r="BM10" s="212">
        <v>15</v>
      </c>
      <c r="BN10" s="212">
        <v>15</v>
      </c>
      <c r="BO10" s="212">
        <v>15</v>
      </c>
      <c r="BP10" s="212">
        <v>15</v>
      </c>
      <c r="BQ10" s="212">
        <v>15</v>
      </c>
      <c r="BR10" s="212">
        <v>15</v>
      </c>
      <c r="BS10" s="212">
        <v>15</v>
      </c>
      <c r="BT10" s="212">
        <v>17.5</v>
      </c>
      <c r="BU10" s="212">
        <v>17.5</v>
      </c>
      <c r="BV10" s="212">
        <v>17.5</v>
      </c>
      <c r="BW10" s="212">
        <v>17.5</v>
      </c>
      <c r="BX10" s="212">
        <v>17.5</v>
      </c>
      <c r="BY10" s="212">
        <v>17.5</v>
      </c>
      <c r="BZ10" s="212">
        <v>17.5</v>
      </c>
      <c r="CA10" s="212">
        <v>17.5</v>
      </c>
      <c r="CB10" s="212">
        <v>17.5</v>
      </c>
      <c r="CC10" s="212">
        <v>17.5</v>
      </c>
      <c r="CD10" s="212">
        <v>17.5</v>
      </c>
      <c r="CE10" s="212">
        <v>17.5</v>
      </c>
      <c r="CF10" s="212">
        <v>17.5</v>
      </c>
      <c r="CG10" s="212">
        <v>20</v>
      </c>
      <c r="CH10" s="212">
        <v>20</v>
      </c>
      <c r="CI10" s="212">
        <v>20</v>
      </c>
      <c r="CJ10" s="212">
        <v>20</v>
      </c>
      <c r="CK10" s="212">
        <v>20</v>
      </c>
      <c r="CL10" s="212">
        <v>20</v>
      </c>
      <c r="CM10" s="212">
        <v>20</v>
      </c>
      <c r="CN10" s="212">
        <v>20</v>
      </c>
      <c r="CO10" s="212">
        <v>20</v>
      </c>
      <c r="CP10" s="212">
        <v>20</v>
      </c>
      <c r="CQ10" s="212">
        <v>20</v>
      </c>
      <c r="CR10" s="212">
        <v>20</v>
      </c>
      <c r="CS10" s="212">
        <v>20</v>
      </c>
      <c r="CT10" s="212">
        <v>20</v>
      </c>
      <c r="CU10" s="212">
        <v>20</v>
      </c>
      <c r="CV10" s="212">
        <v>22.5</v>
      </c>
      <c r="CW10" s="212">
        <v>22.5</v>
      </c>
      <c r="CX10" s="212">
        <v>22.5</v>
      </c>
      <c r="CY10" s="212">
        <v>22.5</v>
      </c>
      <c r="CZ10" s="212">
        <v>22.5</v>
      </c>
      <c r="DA10" s="212">
        <v>22.5</v>
      </c>
      <c r="DB10" s="212">
        <v>22.5</v>
      </c>
      <c r="DC10" s="212">
        <v>22.5</v>
      </c>
      <c r="DD10" s="212">
        <v>22.5</v>
      </c>
      <c r="DE10" s="212">
        <v>22.5</v>
      </c>
      <c r="DF10" s="212">
        <v>25</v>
      </c>
      <c r="DG10" s="212">
        <v>25</v>
      </c>
      <c r="DH10" s="212">
        <v>25</v>
      </c>
      <c r="DI10" s="212">
        <v>25</v>
      </c>
      <c r="DJ10" s="212">
        <v>25</v>
      </c>
      <c r="DK10" s="212">
        <v>25</v>
      </c>
      <c r="DL10" s="212">
        <v>25</v>
      </c>
      <c r="DM10" s="212">
        <v>25</v>
      </c>
      <c r="DN10" s="212">
        <v>25</v>
      </c>
      <c r="DO10" s="212">
        <v>25</v>
      </c>
      <c r="DP10" s="212">
        <v>27.5</v>
      </c>
      <c r="DQ10" s="212">
        <v>27.5</v>
      </c>
      <c r="DR10" s="212">
        <v>27.5</v>
      </c>
    </row>
    <row r="11" spans="1:122" ht="22.5" customHeight="1" x14ac:dyDescent="0.45">
      <c r="A11" s="211">
        <v>91</v>
      </c>
      <c r="B11" s="212">
        <v>-2.5</v>
      </c>
      <c r="C11" s="212">
        <v>-2.5</v>
      </c>
      <c r="D11" s="212">
        <v>-2.5</v>
      </c>
      <c r="E11" s="212">
        <v>-2.5</v>
      </c>
      <c r="F11" s="212">
        <v>0</v>
      </c>
      <c r="G11" s="212">
        <v>0</v>
      </c>
      <c r="H11" s="212">
        <v>0</v>
      </c>
      <c r="I11" s="212">
        <v>0</v>
      </c>
      <c r="J11" s="212">
        <v>0</v>
      </c>
      <c r="K11" s="212">
        <v>0</v>
      </c>
      <c r="L11" s="212">
        <v>0</v>
      </c>
      <c r="M11" s="212">
        <v>0</v>
      </c>
      <c r="N11" s="212">
        <v>0</v>
      </c>
      <c r="O11" s="212">
        <v>0</v>
      </c>
      <c r="P11" s="212">
        <v>0</v>
      </c>
      <c r="Q11" s="212">
        <v>0</v>
      </c>
      <c r="R11" s="212">
        <v>2.5</v>
      </c>
      <c r="S11" s="212">
        <v>2.5</v>
      </c>
      <c r="T11" s="212">
        <v>2.5</v>
      </c>
      <c r="U11" s="212">
        <v>2.5</v>
      </c>
      <c r="V11" s="212">
        <v>2.5</v>
      </c>
      <c r="W11" s="212">
        <v>2.5</v>
      </c>
      <c r="X11" s="212">
        <v>2.5</v>
      </c>
      <c r="Y11" s="212">
        <v>5</v>
      </c>
      <c r="Z11" s="212">
        <v>5</v>
      </c>
      <c r="AA11" s="212">
        <v>5</v>
      </c>
      <c r="AB11" s="212">
        <v>5</v>
      </c>
      <c r="AC11" s="212">
        <v>5</v>
      </c>
      <c r="AD11" s="212">
        <v>5</v>
      </c>
      <c r="AE11" s="212">
        <v>5</v>
      </c>
      <c r="AF11" s="212">
        <v>7.5</v>
      </c>
      <c r="AG11" s="212">
        <v>7.5</v>
      </c>
      <c r="AH11" s="212">
        <v>7.5</v>
      </c>
      <c r="AI11" s="212">
        <v>7.5</v>
      </c>
      <c r="AJ11" s="212">
        <v>7.5</v>
      </c>
      <c r="AK11" s="212">
        <v>7.5</v>
      </c>
      <c r="AL11" s="212">
        <v>7.5</v>
      </c>
      <c r="AM11" s="212">
        <v>10</v>
      </c>
      <c r="AN11" s="212">
        <v>10</v>
      </c>
      <c r="AO11" s="212">
        <v>10</v>
      </c>
      <c r="AP11" s="212">
        <v>10</v>
      </c>
      <c r="AQ11" s="212">
        <v>10</v>
      </c>
      <c r="AR11" s="212">
        <v>10</v>
      </c>
      <c r="AS11" s="212">
        <v>10</v>
      </c>
      <c r="AT11" s="212">
        <v>10</v>
      </c>
      <c r="AU11" s="212">
        <v>10</v>
      </c>
      <c r="AV11" s="212">
        <v>12.5</v>
      </c>
      <c r="AW11" s="212">
        <v>12.5</v>
      </c>
      <c r="AX11" s="212">
        <v>12.5</v>
      </c>
      <c r="AY11" s="212">
        <v>12.5</v>
      </c>
      <c r="AZ11" s="212">
        <v>12.5</v>
      </c>
      <c r="BA11" s="212">
        <v>12.5</v>
      </c>
      <c r="BB11" s="212">
        <v>12.5</v>
      </c>
      <c r="BC11" s="212">
        <v>12.5</v>
      </c>
      <c r="BD11" s="212">
        <v>12.5</v>
      </c>
      <c r="BE11" s="212">
        <v>12.5</v>
      </c>
      <c r="BF11" s="212">
        <v>12.5</v>
      </c>
      <c r="BG11" s="212">
        <v>12.5</v>
      </c>
      <c r="BH11" s="212">
        <v>12.5</v>
      </c>
      <c r="BI11" s="212">
        <v>15</v>
      </c>
      <c r="BJ11" s="212">
        <v>15</v>
      </c>
      <c r="BK11" s="212">
        <v>15</v>
      </c>
      <c r="BL11" s="212">
        <v>15</v>
      </c>
      <c r="BM11" s="212">
        <v>15</v>
      </c>
      <c r="BN11" s="212">
        <v>15</v>
      </c>
      <c r="BO11" s="212">
        <v>15</v>
      </c>
      <c r="BP11" s="212">
        <v>15</v>
      </c>
      <c r="BQ11" s="212">
        <v>15</v>
      </c>
      <c r="BR11" s="212">
        <v>15</v>
      </c>
      <c r="BS11" s="212">
        <v>15</v>
      </c>
      <c r="BT11" s="212">
        <v>15</v>
      </c>
      <c r="BU11" s="212">
        <v>15</v>
      </c>
      <c r="BV11" s="212">
        <v>17.5</v>
      </c>
      <c r="BW11" s="212">
        <v>17.5</v>
      </c>
      <c r="BX11" s="212">
        <v>17.5</v>
      </c>
      <c r="BY11" s="212">
        <v>17.5</v>
      </c>
      <c r="BZ11" s="212">
        <v>17.5</v>
      </c>
      <c r="CA11" s="212">
        <v>17.5</v>
      </c>
      <c r="CB11" s="212">
        <v>17.5</v>
      </c>
      <c r="CC11" s="212">
        <v>17.5</v>
      </c>
      <c r="CD11" s="212">
        <v>17.5</v>
      </c>
      <c r="CE11" s="212">
        <v>17.5</v>
      </c>
      <c r="CF11" s="212">
        <v>17.5</v>
      </c>
      <c r="CG11" s="212">
        <v>17.5</v>
      </c>
      <c r="CH11" s="212">
        <v>17.5</v>
      </c>
      <c r="CI11" s="212">
        <v>20</v>
      </c>
      <c r="CJ11" s="212">
        <v>20</v>
      </c>
      <c r="CK11" s="212">
        <v>20</v>
      </c>
      <c r="CL11" s="212">
        <v>20</v>
      </c>
      <c r="CM11" s="212">
        <v>20</v>
      </c>
      <c r="CN11" s="212">
        <v>20</v>
      </c>
      <c r="CO11" s="212">
        <v>20</v>
      </c>
      <c r="CP11" s="212">
        <v>20</v>
      </c>
      <c r="CQ11" s="212">
        <v>20</v>
      </c>
      <c r="CR11" s="212">
        <v>20</v>
      </c>
      <c r="CS11" s="212">
        <v>20</v>
      </c>
      <c r="CT11" s="212">
        <v>20</v>
      </c>
      <c r="CU11" s="212">
        <v>20</v>
      </c>
      <c r="CV11" s="212">
        <v>20</v>
      </c>
      <c r="CW11" s="212">
        <v>22.5</v>
      </c>
      <c r="CX11" s="212">
        <v>22.5</v>
      </c>
      <c r="CY11" s="212">
        <v>22.5</v>
      </c>
      <c r="CZ11" s="212">
        <v>22.5</v>
      </c>
      <c r="DA11" s="212">
        <v>22.5</v>
      </c>
      <c r="DB11" s="212">
        <v>22.5</v>
      </c>
      <c r="DC11" s="212">
        <v>22.5</v>
      </c>
      <c r="DD11" s="212">
        <v>22.5</v>
      </c>
      <c r="DE11" s="212">
        <v>22.5</v>
      </c>
      <c r="DF11" s="212">
        <v>22.5</v>
      </c>
      <c r="DG11" s="212">
        <v>25</v>
      </c>
      <c r="DH11" s="212">
        <v>25</v>
      </c>
      <c r="DI11" s="212">
        <v>25</v>
      </c>
      <c r="DJ11" s="212">
        <v>25</v>
      </c>
      <c r="DK11" s="212">
        <v>25</v>
      </c>
      <c r="DL11" s="212">
        <v>25</v>
      </c>
      <c r="DM11" s="212">
        <v>25</v>
      </c>
      <c r="DN11" s="212">
        <v>25</v>
      </c>
      <c r="DO11" s="212">
        <v>25</v>
      </c>
      <c r="DP11" s="212">
        <v>25</v>
      </c>
      <c r="DQ11" s="212">
        <v>27.5</v>
      </c>
      <c r="DR11" s="212">
        <v>27.5</v>
      </c>
    </row>
    <row r="12" spans="1:122" ht="22.5" customHeight="1" x14ac:dyDescent="0.45">
      <c r="A12" s="211">
        <v>90</v>
      </c>
      <c r="B12" s="212">
        <v>-2.5</v>
      </c>
      <c r="C12" s="212">
        <v>-2.5</v>
      </c>
      <c r="D12" s="212">
        <v>-2.5</v>
      </c>
      <c r="E12" s="212">
        <v>-2.5</v>
      </c>
      <c r="F12" s="212">
        <v>0</v>
      </c>
      <c r="G12" s="212">
        <v>0</v>
      </c>
      <c r="H12" s="212">
        <v>0</v>
      </c>
      <c r="I12" s="212">
        <v>0</v>
      </c>
      <c r="J12" s="212">
        <v>0</v>
      </c>
      <c r="K12" s="212">
        <v>0</v>
      </c>
      <c r="L12" s="212">
        <v>0</v>
      </c>
      <c r="M12" s="212">
        <v>0</v>
      </c>
      <c r="N12" s="212">
        <v>0</v>
      </c>
      <c r="O12" s="212">
        <v>0</v>
      </c>
      <c r="P12" s="212">
        <v>0</v>
      </c>
      <c r="Q12" s="212">
        <v>0</v>
      </c>
      <c r="R12" s="212">
        <v>0</v>
      </c>
      <c r="S12" s="212">
        <v>2.5</v>
      </c>
      <c r="T12" s="212">
        <v>2.5</v>
      </c>
      <c r="U12" s="212">
        <v>2.5</v>
      </c>
      <c r="V12" s="212">
        <v>2.5</v>
      </c>
      <c r="W12" s="212">
        <v>2.5</v>
      </c>
      <c r="X12" s="212">
        <v>2.5</v>
      </c>
      <c r="Y12" s="212">
        <v>2.5</v>
      </c>
      <c r="Z12" s="212">
        <v>5</v>
      </c>
      <c r="AA12" s="212">
        <v>5</v>
      </c>
      <c r="AB12" s="212">
        <v>5</v>
      </c>
      <c r="AC12" s="212">
        <v>5</v>
      </c>
      <c r="AD12" s="212">
        <v>5</v>
      </c>
      <c r="AE12" s="212">
        <v>5</v>
      </c>
      <c r="AF12" s="212">
        <v>7.5</v>
      </c>
      <c r="AG12" s="212">
        <v>7.5</v>
      </c>
      <c r="AH12" s="212">
        <v>7.5</v>
      </c>
      <c r="AI12" s="212">
        <v>7.5</v>
      </c>
      <c r="AJ12" s="212">
        <v>7.5</v>
      </c>
      <c r="AK12" s="212">
        <v>7.5</v>
      </c>
      <c r="AL12" s="212">
        <v>7.5</v>
      </c>
      <c r="AM12" s="212">
        <v>10</v>
      </c>
      <c r="AN12" s="212">
        <v>10</v>
      </c>
      <c r="AO12" s="212">
        <v>10</v>
      </c>
      <c r="AP12" s="212">
        <v>10</v>
      </c>
      <c r="AQ12" s="212">
        <v>10</v>
      </c>
      <c r="AR12" s="212">
        <v>10</v>
      </c>
      <c r="AS12" s="212">
        <v>10</v>
      </c>
      <c r="AT12" s="212">
        <v>10</v>
      </c>
      <c r="AU12" s="212">
        <v>10</v>
      </c>
      <c r="AV12" s="212">
        <v>10</v>
      </c>
      <c r="AW12" s="212">
        <v>12.5</v>
      </c>
      <c r="AX12" s="212">
        <v>12.5</v>
      </c>
      <c r="AY12" s="212">
        <v>12.5</v>
      </c>
      <c r="AZ12" s="212">
        <v>12.5</v>
      </c>
      <c r="BA12" s="212">
        <v>12.5</v>
      </c>
      <c r="BB12" s="212">
        <v>12.5</v>
      </c>
      <c r="BC12" s="212">
        <v>12.5</v>
      </c>
      <c r="BD12" s="212">
        <v>12.5</v>
      </c>
      <c r="BE12" s="212">
        <v>12.5</v>
      </c>
      <c r="BF12" s="212">
        <v>12.5</v>
      </c>
      <c r="BG12" s="212">
        <v>12.5</v>
      </c>
      <c r="BH12" s="212">
        <v>12.5</v>
      </c>
      <c r="BI12" s="212">
        <v>12.5</v>
      </c>
      <c r="BJ12" s="212">
        <v>15</v>
      </c>
      <c r="BK12" s="212">
        <v>15</v>
      </c>
      <c r="BL12" s="212">
        <v>15</v>
      </c>
      <c r="BM12" s="212">
        <v>15</v>
      </c>
      <c r="BN12" s="212">
        <v>15</v>
      </c>
      <c r="BO12" s="212">
        <v>15</v>
      </c>
      <c r="BP12" s="212">
        <v>15</v>
      </c>
      <c r="BQ12" s="212">
        <v>15</v>
      </c>
      <c r="BR12" s="212">
        <v>15</v>
      </c>
      <c r="BS12" s="212">
        <v>15</v>
      </c>
      <c r="BT12" s="212">
        <v>15</v>
      </c>
      <c r="BU12" s="212">
        <v>15</v>
      </c>
      <c r="BV12" s="212">
        <v>15</v>
      </c>
      <c r="BW12" s="212">
        <v>15</v>
      </c>
      <c r="BX12" s="212">
        <v>17.5</v>
      </c>
      <c r="BY12" s="212">
        <v>17.5</v>
      </c>
      <c r="BZ12" s="212">
        <v>17.5</v>
      </c>
      <c r="CA12" s="212">
        <v>17.5</v>
      </c>
      <c r="CB12" s="212">
        <v>17.5</v>
      </c>
      <c r="CC12" s="212">
        <v>17.5</v>
      </c>
      <c r="CD12" s="212">
        <v>17.5</v>
      </c>
      <c r="CE12" s="212">
        <v>17.5</v>
      </c>
      <c r="CF12" s="212">
        <v>17.5</v>
      </c>
      <c r="CG12" s="212">
        <v>17.5</v>
      </c>
      <c r="CH12" s="212">
        <v>17.5</v>
      </c>
      <c r="CI12" s="212">
        <v>17.5</v>
      </c>
      <c r="CJ12" s="212">
        <v>17.5</v>
      </c>
      <c r="CK12" s="212">
        <v>20</v>
      </c>
      <c r="CL12" s="212">
        <v>20</v>
      </c>
      <c r="CM12" s="212">
        <v>20</v>
      </c>
      <c r="CN12" s="212">
        <v>20</v>
      </c>
      <c r="CO12" s="212">
        <v>20</v>
      </c>
      <c r="CP12" s="212">
        <v>20</v>
      </c>
      <c r="CQ12" s="212">
        <v>20</v>
      </c>
      <c r="CR12" s="212">
        <v>20</v>
      </c>
      <c r="CS12" s="212">
        <v>20</v>
      </c>
      <c r="CT12" s="212">
        <v>20</v>
      </c>
      <c r="CU12" s="212">
        <v>20</v>
      </c>
      <c r="CV12" s="212">
        <v>20</v>
      </c>
      <c r="CW12" s="212">
        <v>20</v>
      </c>
      <c r="CX12" s="212">
        <v>22.5</v>
      </c>
      <c r="CY12" s="212">
        <v>22.5</v>
      </c>
      <c r="CZ12" s="212">
        <v>22.5</v>
      </c>
      <c r="DA12" s="212">
        <v>22.5</v>
      </c>
      <c r="DB12" s="212">
        <v>22.5</v>
      </c>
      <c r="DC12" s="212">
        <v>22.5</v>
      </c>
      <c r="DD12" s="212">
        <v>22.5</v>
      </c>
      <c r="DE12" s="212">
        <v>22.5</v>
      </c>
      <c r="DF12" s="212">
        <v>22.5</v>
      </c>
      <c r="DG12" s="212">
        <v>22.5</v>
      </c>
      <c r="DH12" s="212">
        <v>25</v>
      </c>
      <c r="DI12" s="212">
        <v>25</v>
      </c>
      <c r="DJ12" s="212">
        <v>25</v>
      </c>
      <c r="DK12" s="212">
        <v>25</v>
      </c>
      <c r="DL12" s="212" t="s">
        <v>271</v>
      </c>
      <c r="DM12" s="212">
        <v>25</v>
      </c>
      <c r="DN12" s="212">
        <v>25</v>
      </c>
      <c r="DO12" s="212">
        <v>25</v>
      </c>
      <c r="DP12" s="212">
        <v>25</v>
      </c>
      <c r="DQ12" s="212">
        <v>25</v>
      </c>
      <c r="DR12" s="212">
        <v>27.5</v>
      </c>
    </row>
    <row r="13" spans="1:122" ht="22.5" customHeight="1" x14ac:dyDescent="0.45">
      <c r="A13" s="211">
        <v>89</v>
      </c>
      <c r="B13" s="212">
        <v>-2.5</v>
      </c>
      <c r="C13" s="212">
        <v>-2.5</v>
      </c>
      <c r="D13" s="212">
        <v>-2.5</v>
      </c>
      <c r="E13" s="212">
        <v>-2.5</v>
      </c>
      <c r="F13" s="212">
        <v>-2.5</v>
      </c>
      <c r="G13" s="212">
        <v>0</v>
      </c>
      <c r="H13" s="212">
        <v>0</v>
      </c>
      <c r="I13" s="212">
        <v>0</v>
      </c>
      <c r="J13" s="212">
        <v>0</v>
      </c>
      <c r="K13" s="212">
        <v>0</v>
      </c>
      <c r="L13" s="212">
        <v>0</v>
      </c>
      <c r="M13" s="212">
        <v>0</v>
      </c>
      <c r="N13" s="212">
        <v>0</v>
      </c>
      <c r="O13" s="212">
        <v>0</v>
      </c>
      <c r="P13" s="212">
        <v>0</v>
      </c>
      <c r="Q13" s="212">
        <v>0</v>
      </c>
      <c r="R13" s="212">
        <v>0</v>
      </c>
      <c r="S13" s="212">
        <v>2.5</v>
      </c>
      <c r="T13" s="212">
        <v>2.5</v>
      </c>
      <c r="U13" s="212">
        <v>2.5</v>
      </c>
      <c r="V13" s="212">
        <v>2.5</v>
      </c>
      <c r="W13" s="212">
        <v>2.5</v>
      </c>
      <c r="X13" s="212">
        <v>2.5</v>
      </c>
      <c r="Y13" s="212">
        <v>2.5</v>
      </c>
      <c r="Z13" s="212">
        <v>5</v>
      </c>
      <c r="AA13" s="212">
        <v>5</v>
      </c>
      <c r="AB13" s="212">
        <v>5</v>
      </c>
      <c r="AC13" s="212">
        <v>5</v>
      </c>
      <c r="AD13" s="212">
        <v>5</v>
      </c>
      <c r="AE13" s="212">
        <v>5</v>
      </c>
      <c r="AF13" s="212">
        <v>5</v>
      </c>
      <c r="AG13" s="212">
        <v>7.5</v>
      </c>
      <c r="AH13" s="212">
        <v>7.5</v>
      </c>
      <c r="AI13" s="212">
        <v>7.5</v>
      </c>
      <c r="AJ13" s="212">
        <v>7.5</v>
      </c>
      <c r="AK13" s="212">
        <v>7.5</v>
      </c>
      <c r="AL13" s="212">
        <v>7.5</v>
      </c>
      <c r="AM13" s="212">
        <v>10</v>
      </c>
      <c r="AN13" s="212">
        <v>10</v>
      </c>
      <c r="AO13" s="212">
        <v>10</v>
      </c>
      <c r="AP13" s="212">
        <v>10</v>
      </c>
      <c r="AQ13" s="212">
        <v>10</v>
      </c>
      <c r="AR13" s="212">
        <v>10</v>
      </c>
      <c r="AS13" s="212">
        <v>10</v>
      </c>
      <c r="AT13" s="212">
        <v>10</v>
      </c>
      <c r="AU13" s="212">
        <v>10</v>
      </c>
      <c r="AV13" s="212">
        <v>10</v>
      </c>
      <c r="AW13" s="212">
        <v>10</v>
      </c>
      <c r="AX13" s="212">
        <v>12.5</v>
      </c>
      <c r="AY13" s="212">
        <v>12.5</v>
      </c>
      <c r="AZ13" s="212">
        <v>12.5</v>
      </c>
      <c r="BA13" s="212">
        <v>12.5</v>
      </c>
      <c r="BB13" s="212">
        <v>12.5</v>
      </c>
      <c r="BC13" s="212">
        <v>12.5</v>
      </c>
      <c r="BD13" s="212">
        <v>12.5</v>
      </c>
      <c r="BE13" s="212">
        <v>12.5</v>
      </c>
      <c r="BF13" s="212">
        <v>12.5</v>
      </c>
      <c r="BG13" s="212">
        <v>12.5</v>
      </c>
      <c r="BH13" s="212">
        <v>12.5</v>
      </c>
      <c r="BI13" s="212">
        <v>12.5</v>
      </c>
      <c r="BJ13" s="212">
        <v>12.5</v>
      </c>
      <c r="BK13" s="212">
        <v>12.5</v>
      </c>
      <c r="BL13" s="212">
        <v>15</v>
      </c>
      <c r="BM13" s="212">
        <v>15</v>
      </c>
      <c r="BN13" s="212">
        <v>15</v>
      </c>
      <c r="BO13" s="212">
        <v>15</v>
      </c>
      <c r="BP13" s="212">
        <v>15</v>
      </c>
      <c r="BQ13" s="212">
        <v>15</v>
      </c>
      <c r="BR13" s="212">
        <v>15</v>
      </c>
      <c r="BS13" s="212">
        <v>15</v>
      </c>
      <c r="BT13" s="212">
        <v>15</v>
      </c>
      <c r="BU13" s="212">
        <v>15</v>
      </c>
      <c r="BV13" s="212">
        <v>15</v>
      </c>
      <c r="BW13" s="212">
        <v>15</v>
      </c>
      <c r="BX13" s="212">
        <v>15</v>
      </c>
      <c r="BY13" s="212">
        <v>15</v>
      </c>
      <c r="BZ13" s="212">
        <v>17.5</v>
      </c>
      <c r="CA13" s="212">
        <v>17.5</v>
      </c>
      <c r="CB13" s="212">
        <v>17.5</v>
      </c>
      <c r="CC13" s="212">
        <v>17.5</v>
      </c>
      <c r="CD13" s="212">
        <v>17.5</v>
      </c>
      <c r="CE13" s="212">
        <v>17.5</v>
      </c>
      <c r="CF13" s="212">
        <v>17.5</v>
      </c>
      <c r="CG13" s="212">
        <v>17.5</v>
      </c>
      <c r="CH13" s="212">
        <v>17.5</v>
      </c>
      <c r="CI13" s="212">
        <v>17.5</v>
      </c>
      <c r="CJ13" s="212">
        <v>17.5</v>
      </c>
      <c r="CK13" s="212">
        <v>17.5</v>
      </c>
      <c r="CL13" s="212">
        <v>17.5</v>
      </c>
      <c r="CM13" s="212">
        <v>20</v>
      </c>
      <c r="CN13" s="212">
        <v>20</v>
      </c>
      <c r="CO13" s="212">
        <v>20</v>
      </c>
      <c r="CP13" s="212">
        <v>20</v>
      </c>
      <c r="CQ13" s="212">
        <v>20</v>
      </c>
      <c r="CR13" s="212">
        <v>20</v>
      </c>
      <c r="CS13" s="212">
        <v>20</v>
      </c>
      <c r="CT13" s="212">
        <v>20</v>
      </c>
      <c r="CU13" s="212">
        <v>20</v>
      </c>
      <c r="CV13" s="212">
        <v>20</v>
      </c>
      <c r="CW13" s="212">
        <v>20</v>
      </c>
      <c r="CX13" s="212">
        <v>20</v>
      </c>
      <c r="CY13" s="212">
        <v>22.5</v>
      </c>
      <c r="CZ13" s="212">
        <v>22.5</v>
      </c>
      <c r="DA13" s="212">
        <v>22.5</v>
      </c>
      <c r="DB13" s="212">
        <v>22.5</v>
      </c>
      <c r="DC13" s="212">
        <v>22.5</v>
      </c>
      <c r="DD13" s="212">
        <v>22.5</v>
      </c>
      <c r="DE13" s="212">
        <v>22.5</v>
      </c>
      <c r="DF13" s="212">
        <v>22.5</v>
      </c>
      <c r="DG13" s="212">
        <v>22.5</v>
      </c>
      <c r="DH13" s="212">
        <v>22.5</v>
      </c>
      <c r="DI13" s="212">
        <v>25</v>
      </c>
      <c r="DJ13" s="212">
        <v>25</v>
      </c>
      <c r="DK13" s="212">
        <v>25</v>
      </c>
      <c r="DL13" s="212">
        <v>25</v>
      </c>
      <c r="DM13" s="212">
        <v>25</v>
      </c>
      <c r="DN13" s="212">
        <v>25</v>
      </c>
      <c r="DO13" s="212">
        <v>25</v>
      </c>
      <c r="DP13" s="212">
        <v>25</v>
      </c>
      <c r="DQ13" s="212">
        <v>25</v>
      </c>
      <c r="DR13" s="212">
        <v>25</v>
      </c>
    </row>
    <row r="14" spans="1:122" ht="22.5" customHeight="1" x14ac:dyDescent="0.45">
      <c r="A14" s="211">
        <v>88</v>
      </c>
      <c r="B14" s="212">
        <v>-2.5</v>
      </c>
      <c r="C14" s="212">
        <v>-2.5</v>
      </c>
      <c r="D14" s="212">
        <v>-2.5</v>
      </c>
      <c r="E14" s="212">
        <v>-2.5</v>
      </c>
      <c r="F14" s="212">
        <v>-2.5</v>
      </c>
      <c r="G14" s="212">
        <v>-2.5</v>
      </c>
      <c r="H14" s="212">
        <v>0</v>
      </c>
      <c r="I14" s="212">
        <v>0</v>
      </c>
      <c r="J14" s="212">
        <v>0</v>
      </c>
      <c r="K14" s="212">
        <v>0</v>
      </c>
      <c r="L14" s="212">
        <v>0</v>
      </c>
      <c r="M14" s="212">
        <v>0</v>
      </c>
      <c r="N14" s="212">
        <v>0</v>
      </c>
      <c r="O14" s="212">
        <v>0</v>
      </c>
      <c r="P14" s="212">
        <v>0</v>
      </c>
      <c r="Q14" s="212">
        <v>0</v>
      </c>
      <c r="R14" s="212">
        <v>0</v>
      </c>
      <c r="S14" s="212">
        <v>0</v>
      </c>
      <c r="T14" s="212">
        <v>2.5</v>
      </c>
      <c r="U14" s="212">
        <v>2.5</v>
      </c>
      <c r="V14" s="212">
        <v>2.5</v>
      </c>
      <c r="W14" s="212">
        <v>2.5</v>
      </c>
      <c r="X14" s="212">
        <v>2.5</v>
      </c>
      <c r="Y14" s="212">
        <v>2.5</v>
      </c>
      <c r="Z14" s="212">
        <v>5</v>
      </c>
      <c r="AA14" s="212">
        <v>5</v>
      </c>
      <c r="AB14" s="212">
        <v>5</v>
      </c>
      <c r="AC14" s="212">
        <v>5</v>
      </c>
      <c r="AD14" s="212">
        <v>5</v>
      </c>
      <c r="AE14" s="212">
        <v>5</v>
      </c>
      <c r="AF14" s="212">
        <v>5</v>
      </c>
      <c r="AG14" s="212">
        <v>7.5</v>
      </c>
      <c r="AH14" s="212">
        <v>7.5</v>
      </c>
      <c r="AI14" s="212">
        <v>7.5</v>
      </c>
      <c r="AJ14" s="212">
        <v>7.5</v>
      </c>
      <c r="AK14" s="212">
        <v>7.5</v>
      </c>
      <c r="AL14" s="212">
        <v>7.5</v>
      </c>
      <c r="AM14" s="212">
        <v>7.5</v>
      </c>
      <c r="AN14" s="212">
        <v>10</v>
      </c>
      <c r="AO14" s="212">
        <v>10</v>
      </c>
      <c r="AP14" s="212">
        <v>10</v>
      </c>
      <c r="AQ14" s="212">
        <v>10</v>
      </c>
      <c r="AR14" s="212">
        <v>10</v>
      </c>
      <c r="AS14" s="212">
        <v>10</v>
      </c>
      <c r="AT14" s="212">
        <v>10</v>
      </c>
      <c r="AU14" s="212">
        <v>10</v>
      </c>
      <c r="AV14" s="212">
        <v>10</v>
      </c>
      <c r="AW14" s="212">
        <v>10</v>
      </c>
      <c r="AX14" s="212">
        <v>10</v>
      </c>
      <c r="AY14" s="212">
        <v>12.5</v>
      </c>
      <c r="AZ14" s="212">
        <v>12.5</v>
      </c>
      <c r="BA14" s="212">
        <v>12.5</v>
      </c>
      <c r="BB14" s="212">
        <v>12.5</v>
      </c>
      <c r="BC14" s="212">
        <v>12.5</v>
      </c>
      <c r="BD14" s="212">
        <v>12.5</v>
      </c>
      <c r="BE14" s="212">
        <v>12.5</v>
      </c>
      <c r="BF14" s="212">
        <v>12.5</v>
      </c>
      <c r="BG14" s="212">
        <v>12.5</v>
      </c>
      <c r="BH14" s="212">
        <v>12.5</v>
      </c>
      <c r="BI14" s="212">
        <v>12.5</v>
      </c>
      <c r="BJ14" s="212">
        <v>12.5</v>
      </c>
      <c r="BK14" s="212">
        <v>12.5</v>
      </c>
      <c r="BL14" s="212">
        <v>12.5</v>
      </c>
      <c r="BM14" s="212">
        <v>15</v>
      </c>
      <c r="BN14" s="212">
        <v>15</v>
      </c>
      <c r="BO14" s="212">
        <v>15</v>
      </c>
      <c r="BP14" s="212">
        <v>15</v>
      </c>
      <c r="BQ14" s="212">
        <v>15</v>
      </c>
      <c r="BR14" s="212">
        <v>15</v>
      </c>
      <c r="BS14" s="212">
        <v>15</v>
      </c>
      <c r="BT14" s="212">
        <v>15</v>
      </c>
      <c r="BU14" s="212">
        <v>15</v>
      </c>
      <c r="BV14" s="212">
        <v>15</v>
      </c>
      <c r="BW14" s="212">
        <v>15</v>
      </c>
      <c r="BX14" s="212">
        <v>15</v>
      </c>
      <c r="BY14" s="212">
        <v>15</v>
      </c>
      <c r="BZ14" s="212">
        <v>15</v>
      </c>
      <c r="CA14" s="212">
        <v>15</v>
      </c>
      <c r="CB14" s="212">
        <v>17.5</v>
      </c>
      <c r="CC14" s="212">
        <v>17.5</v>
      </c>
      <c r="CD14" s="212">
        <v>17.5</v>
      </c>
      <c r="CE14" s="212">
        <v>17.5</v>
      </c>
      <c r="CF14" s="212">
        <v>17.5</v>
      </c>
      <c r="CG14" s="212">
        <v>17.5</v>
      </c>
      <c r="CH14" s="212">
        <v>17.5</v>
      </c>
      <c r="CI14" s="212">
        <v>17.5</v>
      </c>
      <c r="CJ14" s="212">
        <v>17.5</v>
      </c>
      <c r="CK14" s="212">
        <v>17.5</v>
      </c>
      <c r="CL14" s="212">
        <v>17.5</v>
      </c>
      <c r="CM14" s="212">
        <v>17.5</v>
      </c>
      <c r="CN14" s="212">
        <v>20</v>
      </c>
      <c r="CO14" s="212">
        <v>20</v>
      </c>
      <c r="CP14" s="212">
        <v>20</v>
      </c>
      <c r="CQ14" s="212">
        <v>20</v>
      </c>
      <c r="CR14" s="212">
        <v>20</v>
      </c>
      <c r="CS14" s="212">
        <v>20</v>
      </c>
      <c r="CT14" s="212">
        <v>20</v>
      </c>
      <c r="CU14" s="212">
        <v>20</v>
      </c>
      <c r="CV14" s="212">
        <v>20</v>
      </c>
      <c r="CW14" s="212">
        <v>20</v>
      </c>
      <c r="CX14" s="212">
        <v>20</v>
      </c>
      <c r="CY14" s="212">
        <v>20</v>
      </c>
      <c r="CZ14" s="212">
        <v>22.5</v>
      </c>
      <c r="DA14" s="212">
        <v>22.5</v>
      </c>
      <c r="DB14" s="212">
        <v>22.5</v>
      </c>
      <c r="DC14" s="212">
        <v>22.5</v>
      </c>
      <c r="DD14" s="212">
        <v>22.5</v>
      </c>
      <c r="DE14" s="212">
        <v>22.5</v>
      </c>
      <c r="DF14" s="212">
        <v>22.5</v>
      </c>
      <c r="DG14" s="212">
        <v>22.5</v>
      </c>
      <c r="DH14" s="212">
        <v>22.5</v>
      </c>
      <c r="DI14" s="212">
        <v>22.5</v>
      </c>
      <c r="DJ14" s="212">
        <v>25</v>
      </c>
      <c r="DK14" s="212">
        <v>25</v>
      </c>
      <c r="DL14" s="212">
        <v>25</v>
      </c>
      <c r="DM14" s="212">
        <v>25</v>
      </c>
      <c r="DN14" s="212">
        <v>25</v>
      </c>
      <c r="DO14" s="212">
        <v>25</v>
      </c>
      <c r="DP14" s="212">
        <v>25</v>
      </c>
      <c r="DQ14" s="212">
        <v>25</v>
      </c>
      <c r="DR14" s="212">
        <v>25</v>
      </c>
    </row>
    <row r="15" spans="1:122" ht="22.5" customHeight="1" x14ac:dyDescent="0.45">
      <c r="A15" s="211">
        <v>87</v>
      </c>
      <c r="B15" s="212">
        <v>-2.5</v>
      </c>
      <c r="C15" s="212">
        <v>-2.5</v>
      </c>
      <c r="D15" s="212">
        <v>-2.5</v>
      </c>
      <c r="E15" s="212">
        <v>-2.5</v>
      </c>
      <c r="F15" s="212">
        <v>-2.5</v>
      </c>
      <c r="G15" s="212">
        <v>-2.5</v>
      </c>
      <c r="H15" s="212">
        <v>-2.5</v>
      </c>
      <c r="I15" s="212">
        <v>-2.5</v>
      </c>
      <c r="J15" s="212">
        <v>-2.5</v>
      </c>
      <c r="K15" s="212">
        <v>-2.5</v>
      </c>
      <c r="L15" s="212">
        <v>-2.5</v>
      </c>
      <c r="M15" s="212">
        <v>0</v>
      </c>
      <c r="N15" s="212">
        <v>0</v>
      </c>
      <c r="O15" s="212">
        <v>0</v>
      </c>
      <c r="P15" s="212">
        <v>0</v>
      </c>
      <c r="Q15" s="212">
        <v>0</v>
      </c>
      <c r="R15" s="212">
        <v>0</v>
      </c>
      <c r="S15" s="212">
        <v>0</v>
      </c>
      <c r="T15" s="212">
        <v>2.5</v>
      </c>
      <c r="U15" s="212">
        <v>2.5</v>
      </c>
      <c r="V15" s="212">
        <v>2.5</v>
      </c>
      <c r="W15" s="212">
        <v>2.5</v>
      </c>
      <c r="X15" s="212">
        <v>2.5</v>
      </c>
      <c r="Y15" s="212">
        <v>2.5</v>
      </c>
      <c r="Z15" s="212">
        <v>2.5</v>
      </c>
      <c r="AA15" s="212">
        <v>5</v>
      </c>
      <c r="AB15" s="212">
        <v>5</v>
      </c>
      <c r="AC15" s="212">
        <v>5</v>
      </c>
      <c r="AD15" s="212">
        <v>5</v>
      </c>
      <c r="AE15" s="212">
        <v>5</v>
      </c>
      <c r="AF15" s="212">
        <v>5</v>
      </c>
      <c r="AG15" s="212">
        <v>7.5</v>
      </c>
      <c r="AH15" s="212">
        <v>7.5</v>
      </c>
      <c r="AI15" s="212">
        <v>7.5</v>
      </c>
      <c r="AJ15" s="212">
        <v>7.5</v>
      </c>
      <c r="AK15" s="212">
        <v>7.5</v>
      </c>
      <c r="AL15" s="212">
        <v>7.5</v>
      </c>
      <c r="AM15" s="212">
        <v>7.5</v>
      </c>
      <c r="AN15" s="212">
        <v>10</v>
      </c>
      <c r="AO15" s="212">
        <v>10</v>
      </c>
      <c r="AP15" s="212">
        <v>10</v>
      </c>
      <c r="AQ15" s="212">
        <v>10</v>
      </c>
      <c r="AR15" s="212">
        <v>10</v>
      </c>
      <c r="AS15" s="212">
        <v>10</v>
      </c>
      <c r="AT15" s="212">
        <v>10</v>
      </c>
      <c r="AU15" s="212">
        <v>10</v>
      </c>
      <c r="AV15" s="212">
        <v>10</v>
      </c>
      <c r="AW15" s="212">
        <v>10</v>
      </c>
      <c r="AX15" s="212">
        <v>10</v>
      </c>
      <c r="AY15" s="212">
        <v>10</v>
      </c>
      <c r="AZ15" s="212">
        <v>12.5</v>
      </c>
      <c r="BA15" s="212">
        <v>12.5</v>
      </c>
      <c r="BB15" s="212">
        <v>12.5</v>
      </c>
      <c r="BC15" s="212">
        <v>12.5</v>
      </c>
      <c r="BD15" s="212">
        <v>12.5</v>
      </c>
      <c r="BE15" s="212">
        <v>12.5</v>
      </c>
      <c r="BF15" s="212">
        <v>12.5</v>
      </c>
      <c r="BG15" s="212">
        <v>12.5</v>
      </c>
      <c r="BH15" s="212">
        <v>12.5</v>
      </c>
      <c r="BI15" s="212">
        <v>12.5</v>
      </c>
      <c r="BJ15" s="212">
        <v>12.5</v>
      </c>
      <c r="BK15" s="212">
        <v>12.5</v>
      </c>
      <c r="BL15" s="212">
        <v>12.5</v>
      </c>
      <c r="BM15" s="212">
        <v>12.5</v>
      </c>
      <c r="BN15" s="212">
        <v>12.5</v>
      </c>
      <c r="BO15" s="212">
        <v>15</v>
      </c>
      <c r="BP15" s="212">
        <v>15</v>
      </c>
      <c r="BQ15" s="212">
        <v>15</v>
      </c>
      <c r="BR15" s="212">
        <v>15</v>
      </c>
      <c r="BS15" s="212">
        <v>15</v>
      </c>
      <c r="BT15" s="212">
        <v>15</v>
      </c>
      <c r="BU15" s="212">
        <v>15</v>
      </c>
      <c r="BV15" s="212">
        <v>15</v>
      </c>
      <c r="BW15" s="212">
        <v>15</v>
      </c>
      <c r="BX15" s="212">
        <v>15</v>
      </c>
      <c r="BY15" s="212">
        <v>15</v>
      </c>
      <c r="BZ15" s="212">
        <v>15</v>
      </c>
      <c r="CA15" s="212">
        <v>15</v>
      </c>
      <c r="CB15" s="212">
        <v>15</v>
      </c>
      <c r="CC15" s="212">
        <v>15</v>
      </c>
      <c r="CD15" s="212">
        <v>17.5</v>
      </c>
      <c r="CE15" s="212">
        <v>17.5</v>
      </c>
      <c r="CF15" s="212">
        <v>17.5</v>
      </c>
      <c r="CG15" s="212">
        <v>17.5</v>
      </c>
      <c r="CH15" s="212">
        <v>17.5</v>
      </c>
      <c r="CI15" s="212">
        <v>17.5</v>
      </c>
      <c r="CJ15" s="212">
        <v>17.5</v>
      </c>
      <c r="CK15" s="212">
        <v>17.5</v>
      </c>
      <c r="CL15" s="212">
        <v>17.5</v>
      </c>
      <c r="CM15" s="212">
        <v>17.5</v>
      </c>
      <c r="CN15" s="212">
        <v>17.5</v>
      </c>
      <c r="CO15" s="212">
        <v>17.5</v>
      </c>
      <c r="CP15" s="212">
        <v>20</v>
      </c>
      <c r="CQ15" s="212">
        <v>20</v>
      </c>
      <c r="CR15" s="212">
        <v>20</v>
      </c>
      <c r="CS15" s="212">
        <v>20</v>
      </c>
      <c r="CT15" s="212">
        <v>20</v>
      </c>
      <c r="CU15" s="212">
        <v>20</v>
      </c>
      <c r="CV15" s="212">
        <v>20</v>
      </c>
      <c r="CW15" s="212">
        <v>20</v>
      </c>
      <c r="CX15" s="212">
        <v>20</v>
      </c>
      <c r="CY15" s="212">
        <v>20</v>
      </c>
      <c r="CZ15" s="212">
        <v>20</v>
      </c>
      <c r="DA15" s="212">
        <v>22.5</v>
      </c>
      <c r="DB15" s="212">
        <v>22.5</v>
      </c>
      <c r="DC15" s="212">
        <v>22.5</v>
      </c>
      <c r="DD15" s="212">
        <v>22.5</v>
      </c>
      <c r="DE15" s="212">
        <v>22.5</v>
      </c>
      <c r="DF15" s="212">
        <v>22.5</v>
      </c>
      <c r="DG15" s="212">
        <v>22.5</v>
      </c>
      <c r="DH15" s="212">
        <v>22.5</v>
      </c>
      <c r="DI15" s="212">
        <v>22.5</v>
      </c>
      <c r="DJ15" s="212">
        <v>22.5</v>
      </c>
      <c r="DK15" s="212">
        <v>25</v>
      </c>
      <c r="DL15" s="212">
        <v>25</v>
      </c>
      <c r="DM15" s="212">
        <v>25</v>
      </c>
      <c r="DN15" s="212">
        <v>25</v>
      </c>
      <c r="DO15" s="212">
        <v>25</v>
      </c>
      <c r="DP15" s="212">
        <v>25</v>
      </c>
      <c r="DQ15" s="212">
        <v>25</v>
      </c>
      <c r="DR15" s="212">
        <v>25</v>
      </c>
    </row>
    <row r="16" spans="1:122" ht="22.5" customHeight="1" x14ac:dyDescent="0.45">
      <c r="A16" s="211">
        <v>86</v>
      </c>
      <c r="B16" s="212">
        <v>-2.5</v>
      </c>
      <c r="C16" s="212">
        <v>-2.5</v>
      </c>
      <c r="D16" s="212">
        <v>-2.5</v>
      </c>
      <c r="E16" s="212">
        <v>-2.5</v>
      </c>
      <c r="F16" s="212">
        <v>-2.5</v>
      </c>
      <c r="G16" s="212">
        <v>-2.5</v>
      </c>
      <c r="H16" s="212">
        <v>-2.5</v>
      </c>
      <c r="I16" s="212">
        <v>-2.5</v>
      </c>
      <c r="J16" s="212">
        <v>-2.5</v>
      </c>
      <c r="K16" s="212">
        <v>-2.5</v>
      </c>
      <c r="L16" s="212">
        <v>-2.5</v>
      </c>
      <c r="M16" s="212">
        <v>0</v>
      </c>
      <c r="N16" s="212">
        <v>0</v>
      </c>
      <c r="O16" s="212">
        <v>0</v>
      </c>
      <c r="P16" s="212">
        <v>0</v>
      </c>
      <c r="Q16" s="212">
        <v>0</v>
      </c>
      <c r="R16" s="212">
        <v>0</v>
      </c>
      <c r="S16" s="212">
        <v>0</v>
      </c>
      <c r="T16" s="212">
        <v>2.5</v>
      </c>
      <c r="U16" s="212">
        <v>2.5</v>
      </c>
      <c r="V16" s="212">
        <v>2.5</v>
      </c>
      <c r="W16" s="212">
        <v>2.5</v>
      </c>
      <c r="X16" s="212">
        <v>2.5</v>
      </c>
      <c r="Y16" s="212">
        <v>2.5</v>
      </c>
      <c r="Z16" s="212">
        <v>2.5</v>
      </c>
      <c r="AA16" s="212">
        <v>5</v>
      </c>
      <c r="AB16" s="212">
        <v>5</v>
      </c>
      <c r="AC16" s="212">
        <v>5</v>
      </c>
      <c r="AD16" s="212">
        <v>5</v>
      </c>
      <c r="AE16" s="212">
        <v>5</v>
      </c>
      <c r="AF16" s="212">
        <v>5</v>
      </c>
      <c r="AG16" s="212">
        <v>5</v>
      </c>
      <c r="AH16" s="212">
        <v>7.5</v>
      </c>
      <c r="AI16" s="212">
        <v>7.5</v>
      </c>
      <c r="AJ16" s="212">
        <v>7.5</v>
      </c>
      <c r="AK16" s="212">
        <v>7.5</v>
      </c>
      <c r="AL16" s="212">
        <v>7.5</v>
      </c>
      <c r="AM16" s="212">
        <v>7.5</v>
      </c>
      <c r="AN16" s="212">
        <v>10</v>
      </c>
      <c r="AO16" s="212">
        <v>10</v>
      </c>
      <c r="AP16" s="212">
        <v>10</v>
      </c>
      <c r="AQ16" s="212">
        <v>10</v>
      </c>
      <c r="AR16" s="212">
        <v>10</v>
      </c>
      <c r="AS16" s="212">
        <v>10</v>
      </c>
      <c r="AT16" s="212">
        <v>10</v>
      </c>
      <c r="AU16" s="212">
        <v>10</v>
      </c>
      <c r="AV16" s="212">
        <v>10</v>
      </c>
      <c r="AW16" s="212">
        <v>10</v>
      </c>
      <c r="AX16" s="212">
        <v>10</v>
      </c>
      <c r="AY16" s="212">
        <v>10</v>
      </c>
      <c r="AZ16" s="212">
        <v>10</v>
      </c>
      <c r="BA16" s="212">
        <v>12.5</v>
      </c>
      <c r="BB16" s="212">
        <v>12.5</v>
      </c>
      <c r="BC16" s="212">
        <v>12.5</v>
      </c>
      <c r="BD16" s="212">
        <v>12.5</v>
      </c>
      <c r="BE16" s="212">
        <v>12.5</v>
      </c>
      <c r="BF16" s="212">
        <v>12.5</v>
      </c>
      <c r="BG16" s="212">
        <v>12.5</v>
      </c>
      <c r="BH16" s="212">
        <v>12.5</v>
      </c>
      <c r="BI16" s="212">
        <v>12.5</v>
      </c>
      <c r="BJ16" s="212">
        <v>12.5</v>
      </c>
      <c r="BK16" s="212">
        <v>12.5</v>
      </c>
      <c r="BL16" s="212">
        <v>12.5</v>
      </c>
      <c r="BM16" s="212">
        <v>12.5</v>
      </c>
      <c r="BN16" s="212">
        <v>12.5</v>
      </c>
      <c r="BO16" s="212">
        <v>12.5</v>
      </c>
      <c r="BP16" s="212">
        <v>12.5</v>
      </c>
      <c r="BQ16" s="212">
        <v>15</v>
      </c>
      <c r="BR16" s="212">
        <v>15</v>
      </c>
      <c r="BS16" s="212">
        <v>15</v>
      </c>
      <c r="BT16" s="212">
        <v>15</v>
      </c>
      <c r="BU16" s="212">
        <v>15</v>
      </c>
      <c r="BV16" s="212">
        <v>15</v>
      </c>
      <c r="BW16" s="212">
        <v>15</v>
      </c>
      <c r="BX16" s="212">
        <v>15</v>
      </c>
      <c r="BY16" s="212">
        <v>15</v>
      </c>
      <c r="BZ16" s="212">
        <v>15</v>
      </c>
      <c r="CA16" s="212">
        <v>15</v>
      </c>
      <c r="CB16" s="212">
        <v>15</v>
      </c>
      <c r="CC16" s="212">
        <v>15</v>
      </c>
      <c r="CD16" s="212">
        <v>15</v>
      </c>
      <c r="CE16" s="212">
        <v>15</v>
      </c>
      <c r="CF16" s="212">
        <v>17.5</v>
      </c>
      <c r="CG16" s="212">
        <v>17.5</v>
      </c>
      <c r="CH16" s="212">
        <v>17.5</v>
      </c>
      <c r="CI16" s="212">
        <v>17.5</v>
      </c>
      <c r="CJ16" s="212">
        <v>17.5</v>
      </c>
      <c r="CK16" s="212">
        <v>17.5</v>
      </c>
      <c r="CL16" s="212">
        <v>17.5</v>
      </c>
      <c r="CM16" s="212">
        <v>17.5</v>
      </c>
      <c r="CN16" s="212">
        <v>17.5</v>
      </c>
      <c r="CO16" s="212">
        <v>17.5</v>
      </c>
      <c r="CP16" s="212">
        <v>17.5</v>
      </c>
      <c r="CQ16" s="212">
        <v>20</v>
      </c>
      <c r="CR16" s="212">
        <v>20</v>
      </c>
      <c r="CS16" s="212">
        <v>20</v>
      </c>
      <c r="CT16" s="212">
        <v>20</v>
      </c>
      <c r="CU16" s="212">
        <v>20</v>
      </c>
      <c r="CV16" s="212">
        <v>20</v>
      </c>
      <c r="CW16" s="212">
        <v>20</v>
      </c>
      <c r="CX16" s="212">
        <v>20</v>
      </c>
      <c r="CY16" s="212">
        <v>20</v>
      </c>
      <c r="CZ16" s="212">
        <v>20</v>
      </c>
      <c r="DA16" s="212">
        <v>20</v>
      </c>
      <c r="DB16" s="212">
        <v>22.5</v>
      </c>
      <c r="DC16" s="212">
        <v>22.5</v>
      </c>
      <c r="DD16" s="212">
        <v>22.5</v>
      </c>
      <c r="DE16" s="212">
        <v>22.5</v>
      </c>
      <c r="DF16" s="212">
        <v>22.5</v>
      </c>
      <c r="DG16" s="212">
        <v>22.5</v>
      </c>
      <c r="DH16" s="212">
        <v>22.5</v>
      </c>
      <c r="DI16" s="212">
        <v>22.5</v>
      </c>
      <c r="DJ16" s="212">
        <v>22.5</v>
      </c>
      <c r="DK16" s="212">
        <v>22.5</v>
      </c>
      <c r="DL16" s="212">
        <v>25</v>
      </c>
      <c r="DM16" s="212">
        <v>25</v>
      </c>
      <c r="DN16" s="212">
        <v>25</v>
      </c>
      <c r="DO16" s="212">
        <v>25</v>
      </c>
      <c r="DP16" s="212">
        <v>25</v>
      </c>
      <c r="DQ16" s="212">
        <v>25</v>
      </c>
      <c r="DR16" s="212">
        <v>25</v>
      </c>
    </row>
    <row r="17" spans="1:122" ht="22.5" customHeight="1" x14ac:dyDescent="0.45">
      <c r="A17" s="211">
        <v>85</v>
      </c>
      <c r="B17" s="212">
        <v>-2.5</v>
      </c>
      <c r="C17" s="212">
        <v>-2.5</v>
      </c>
      <c r="D17" s="212">
        <v>-2.5</v>
      </c>
      <c r="E17" s="212">
        <v>-2.5</v>
      </c>
      <c r="F17" s="212">
        <v>-2.5</v>
      </c>
      <c r="G17" s="212">
        <v>-2.5</v>
      </c>
      <c r="H17" s="212">
        <v>-2.5</v>
      </c>
      <c r="I17" s="212">
        <v>-2.5</v>
      </c>
      <c r="J17" s="212">
        <v>-2.5</v>
      </c>
      <c r="K17" s="212">
        <v>-2.5</v>
      </c>
      <c r="L17" s="212">
        <v>-2.5</v>
      </c>
      <c r="M17" s="212">
        <v>-2.5</v>
      </c>
      <c r="N17" s="212">
        <v>0</v>
      </c>
      <c r="O17" s="212">
        <v>0</v>
      </c>
      <c r="P17" s="212">
        <v>0</v>
      </c>
      <c r="Q17" s="212">
        <v>0</v>
      </c>
      <c r="R17" s="212">
        <v>0</v>
      </c>
      <c r="S17" s="212">
        <v>0</v>
      </c>
      <c r="T17" s="212">
        <v>0</v>
      </c>
      <c r="U17" s="212">
        <v>2.5</v>
      </c>
      <c r="V17" s="212">
        <v>2.5</v>
      </c>
      <c r="W17" s="212">
        <v>2.5</v>
      </c>
      <c r="X17" s="212">
        <v>2.5</v>
      </c>
      <c r="Y17" s="212">
        <v>2.5</v>
      </c>
      <c r="Z17" s="212">
        <v>2.5</v>
      </c>
      <c r="AA17" s="212">
        <v>5</v>
      </c>
      <c r="AB17" s="212">
        <v>5</v>
      </c>
      <c r="AC17" s="212">
        <v>5</v>
      </c>
      <c r="AD17" s="212">
        <v>5</v>
      </c>
      <c r="AE17" s="212">
        <v>5</v>
      </c>
      <c r="AF17" s="212">
        <v>5</v>
      </c>
      <c r="AG17" s="212">
        <v>5</v>
      </c>
      <c r="AH17" s="212">
        <v>7.5</v>
      </c>
      <c r="AI17" s="212">
        <v>7.5</v>
      </c>
      <c r="AJ17" s="212">
        <v>7.5</v>
      </c>
      <c r="AK17" s="212">
        <v>7.5</v>
      </c>
      <c r="AL17" s="212">
        <v>7.5</v>
      </c>
      <c r="AM17" s="212">
        <v>7.5</v>
      </c>
      <c r="AN17" s="212">
        <v>7.5</v>
      </c>
      <c r="AO17" s="212">
        <v>10</v>
      </c>
      <c r="AP17" s="212">
        <v>10</v>
      </c>
      <c r="AQ17" s="212">
        <v>10</v>
      </c>
      <c r="AR17" s="212">
        <v>10</v>
      </c>
      <c r="AS17" s="212">
        <v>10</v>
      </c>
      <c r="AT17" s="212">
        <v>10</v>
      </c>
      <c r="AU17" s="212">
        <v>10</v>
      </c>
      <c r="AV17" s="212">
        <v>10</v>
      </c>
      <c r="AW17" s="212">
        <v>10</v>
      </c>
      <c r="AX17" s="212">
        <v>10</v>
      </c>
      <c r="AY17" s="212">
        <v>10</v>
      </c>
      <c r="AZ17" s="212">
        <v>10</v>
      </c>
      <c r="BA17" s="212">
        <v>10</v>
      </c>
      <c r="BB17" s="212">
        <v>12.5</v>
      </c>
      <c r="BC17" s="212">
        <v>12.5</v>
      </c>
      <c r="BD17" s="212">
        <v>12.5</v>
      </c>
      <c r="BE17" s="212">
        <v>12.5</v>
      </c>
      <c r="BF17" s="212">
        <v>12.5</v>
      </c>
      <c r="BG17" s="212">
        <v>12.5</v>
      </c>
      <c r="BH17" s="212">
        <v>12.5</v>
      </c>
      <c r="BI17" s="212">
        <v>12.5</v>
      </c>
      <c r="BJ17" s="212">
        <v>12.5</v>
      </c>
      <c r="BK17" s="212">
        <v>12.5</v>
      </c>
      <c r="BL17" s="212">
        <v>12.5</v>
      </c>
      <c r="BM17" s="212">
        <v>12.5</v>
      </c>
      <c r="BN17" s="212">
        <v>12.5</v>
      </c>
      <c r="BO17" s="212">
        <v>12.5</v>
      </c>
      <c r="BP17" s="212">
        <v>12.5</v>
      </c>
      <c r="BQ17" s="212">
        <v>12.5</v>
      </c>
      <c r="BR17" s="212">
        <v>15</v>
      </c>
      <c r="BS17" s="212">
        <v>15</v>
      </c>
      <c r="BT17" s="212">
        <v>15</v>
      </c>
      <c r="BU17" s="212">
        <v>15</v>
      </c>
      <c r="BV17" s="212">
        <v>15</v>
      </c>
      <c r="BW17" s="212">
        <v>15</v>
      </c>
      <c r="BX17" s="212">
        <v>15</v>
      </c>
      <c r="BY17" s="212">
        <v>15</v>
      </c>
      <c r="BZ17" s="212">
        <v>15</v>
      </c>
      <c r="CA17" s="212">
        <v>15</v>
      </c>
      <c r="CB17" s="212">
        <v>15</v>
      </c>
      <c r="CC17" s="212">
        <v>15</v>
      </c>
      <c r="CD17" s="212">
        <v>15</v>
      </c>
      <c r="CE17" s="212">
        <v>15</v>
      </c>
      <c r="CF17" s="212">
        <v>15</v>
      </c>
      <c r="CG17" s="212">
        <v>17.5</v>
      </c>
      <c r="CH17" s="212">
        <v>17.5</v>
      </c>
      <c r="CI17" s="212">
        <v>17.5</v>
      </c>
      <c r="CJ17" s="212">
        <v>17.5</v>
      </c>
      <c r="CK17" s="212">
        <v>17.5</v>
      </c>
      <c r="CL17" s="212">
        <v>17.5</v>
      </c>
      <c r="CM17" s="212">
        <v>17.5</v>
      </c>
      <c r="CN17" s="212">
        <v>17.5</v>
      </c>
      <c r="CO17" s="212">
        <v>17.5</v>
      </c>
      <c r="CP17" s="212">
        <v>17.5</v>
      </c>
      <c r="CQ17" s="212">
        <v>17.5</v>
      </c>
      <c r="CR17" s="212">
        <v>17.5</v>
      </c>
      <c r="CS17" s="212">
        <v>20</v>
      </c>
      <c r="CT17" s="212">
        <v>20</v>
      </c>
      <c r="CU17" s="212">
        <v>20</v>
      </c>
      <c r="CV17" s="212">
        <v>20</v>
      </c>
      <c r="CW17" s="212">
        <v>20</v>
      </c>
      <c r="CX17" s="212">
        <v>20</v>
      </c>
      <c r="CY17" s="212">
        <v>20</v>
      </c>
      <c r="CZ17" s="212">
        <v>20</v>
      </c>
      <c r="DA17" s="212">
        <v>20</v>
      </c>
      <c r="DB17" s="212">
        <v>20</v>
      </c>
      <c r="DC17" s="212">
        <v>22.5</v>
      </c>
      <c r="DD17" s="212">
        <v>22.5</v>
      </c>
      <c r="DE17" s="212">
        <v>22.5</v>
      </c>
      <c r="DF17" s="212">
        <v>22.5</v>
      </c>
      <c r="DG17" s="212">
        <v>22.5</v>
      </c>
      <c r="DH17" s="212">
        <v>22.5</v>
      </c>
      <c r="DI17" s="212">
        <v>22.5</v>
      </c>
      <c r="DJ17" s="212">
        <v>22.5</v>
      </c>
      <c r="DK17" s="212">
        <v>22.5</v>
      </c>
      <c r="DL17" s="212">
        <v>22.5</v>
      </c>
      <c r="DM17" s="212">
        <v>25</v>
      </c>
      <c r="DN17" s="212">
        <v>25</v>
      </c>
      <c r="DO17" s="212">
        <v>25</v>
      </c>
      <c r="DP17" s="212">
        <v>25</v>
      </c>
      <c r="DQ17" s="212">
        <v>25</v>
      </c>
      <c r="DR17" s="212">
        <v>25</v>
      </c>
    </row>
    <row r="18" spans="1:122" ht="22.5" customHeight="1" x14ac:dyDescent="0.45">
      <c r="A18" s="211">
        <v>84</v>
      </c>
      <c r="B18" s="212">
        <v>-2.5</v>
      </c>
      <c r="C18" s="212">
        <v>-2.5</v>
      </c>
      <c r="D18" s="212">
        <v>-2.5</v>
      </c>
      <c r="E18" s="212">
        <v>-2.5</v>
      </c>
      <c r="F18" s="212">
        <v>-2.5</v>
      </c>
      <c r="G18" s="212">
        <v>-2.5</v>
      </c>
      <c r="H18" s="212">
        <v>-2.5</v>
      </c>
      <c r="I18" s="212">
        <v>-2.5</v>
      </c>
      <c r="J18" s="212">
        <v>-2.5</v>
      </c>
      <c r="K18" s="212">
        <v>-2.5</v>
      </c>
      <c r="L18" s="212">
        <v>-2.5</v>
      </c>
      <c r="M18" s="212">
        <v>-2.5</v>
      </c>
      <c r="N18" s="212">
        <v>0</v>
      </c>
      <c r="O18" s="212">
        <v>0</v>
      </c>
      <c r="P18" s="212">
        <v>0</v>
      </c>
      <c r="Q18" s="212">
        <v>0</v>
      </c>
      <c r="R18" s="212">
        <v>0</v>
      </c>
      <c r="S18" s="212">
        <v>0</v>
      </c>
      <c r="T18" s="212">
        <v>0</v>
      </c>
      <c r="U18" s="212">
        <v>2.5</v>
      </c>
      <c r="V18" s="212">
        <v>2.5</v>
      </c>
      <c r="W18" s="212">
        <v>2.5</v>
      </c>
      <c r="X18" s="212">
        <v>2.5</v>
      </c>
      <c r="Y18" s="212">
        <v>2.5</v>
      </c>
      <c r="Z18" s="212">
        <v>2.5</v>
      </c>
      <c r="AA18" s="212">
        <v>2.5</v>
      </c>
      <c r="AB18" s="212">
        <v>5</v>
      </c>
      <c r="AC18" s="212">
        <v>5</v>
      </c>
      <c r="AD18" s="212">
        <v>5</v>
      </c>
      <c r="AE18" s="212">
        <v>5</v>
      </c>
      <c r="AF18" s="212">
        <v>5</v>
      </c>
      <c r="AG18" s="212">
        <v>5</v>
      </c>
      <c r="AH18" s="212">
        <v>7.5</v>
      </c>
      <c r="AI18" s="212">
        <v>7.5</v>
      </c>
      <c r="AJ18" s="212">
        <v>7.5</v>
      </c>
      <c r="AK18" s="212">
        <v>7.5</v>
      </c>
      <c r="AL18" s="212">
        <v>7.5</v>
      </c>
      <c r="AM18" s="212">
        <v>7.5</v>
      </c>
      <c r="AN18" s="212">
        <v>7.5</v>
      </c>
      <c r="AO18" s="212">
        <v>10</v>
      </c>
      <c r="AP18" s="212">
        <v>10</v>
      </c>
      <c r="AQ18" s="212">
        <v>10</v>
      </c>
      <c r="AR18" s="212">
        <v>10</v>
      </c>
      <c r="AS18" s="212">
        <v>10</v>
      </c>
      <c r="AT18" s="212">
        <v>10</v>
      </c>
      <c r="AU18" s="212">
        <v>10</v>
      </c>
      <c r="AV18" s="212">
        <v>10</v>
      </c>
      <c r="AW18" s="212">
        <v>10</v>
      </c>
      <c r="AX18" s="212">
        <v>10</v>
      </c>
      <c r="AY18" s="212">
        <v>10</v>
      </c>
      <c r="AZ18" s="212">
        <v>10</v>
      </c>
      <c r="BA18" s="212">
        <v>10</v>
      </c>
      <c r="BB18" s="212">
        <v>10</v>
      </c>
      <c r="BC18" s="212">
        <v>10</v>
      </c>
      <c r="BD18" s="212">
        <v>12.5</v>
      </c>
      <c r="BE18" s="212">
        <v>12.5</v>
      </c>
      <c r="BF18" s="212">
        <v>12.5</v>
      </c>
      <c r="BG18" s="212">
        <v>12.5</v>
      </c>
      <c r="BH18" s="212">
        <v>12.5</v>
      </c>
      <c r="BI18" s="212">
        <v>12.5</v>
      </c>
      <c r="BJ18" s="212">
        <v>12.5</v>
      </c>
      <c r="BK18" s="212">
        <v>12.5</v>
      </c>
      <c r="BL18" s="212">
        <v>12.5</v>
      </c>
      <c r="BM18" s="212">
        <v>12.5</v>
      </c>
      <c r="BN18" s="212">
        <v>12.5</v>
      </c>
      <c r="BO18" s="212">
        <v>12.5</v>
      </c>
      <c r="BP18" s="212">
        <v>12.5</v>
      </c>
      <c r="BQ18" s="212">
        <v>12.5</v>
      </c>
      <c r="BR18" s="212">
        <v>12.5</v>
      </c>
      <c r="BS18" s="212">
        <v>12.5</v>
      </c>
      <c r="BT18" s="212">
        <v>15</v>
      </c>
      <c r="BU18" s="212">
        <v>15</v>
      </c>
      <c r="BV18" s="212">
        <v>15</v>
      </c>
      <c r="BW18" s="212">
        <v>15</v>
      </c>
      <c r="BX18" s="212">
        <v>15</v>
      </c>
      <c r="BY18" s="212">
        <v>15</v>
      </c>
      <c r="BZ18" s="212">
        <v>15</v>
      </c>
      <c r="CA18" s="212">
        <v>15</v>
      </c>
      <c r="CB18" s="212">
        <v>15</v>
      </c>
      <c r="CC18" s="212">
        <v>15</v>
      </c>
      <c r="CD18" s="212">
        <v>15</v>
      </c>
      <c r="CE18" s="212">
        <v>15</v>
      </c>
      <c r="CF18" s="212">
        <v>15</v>
      </c>
      <c r="CG18" s="212">
        <v>15</v>
      </c>
      <c r="CH18" s="212">
        <v>15</v>
      </c>
      <c r="CI18" s="212">
        <v>17.5</v>
      </c>
      <c r="CJ18" s="212">
        <v>17.5</v>
      </c>
      <c r="CK18" s="212">
        <v>17.5</v>
      </c>
      <c r="CL18" s="212">
        <v>17.5</v>
      </c>
      <c r="CM18" s="212">
        <v>17.5</v>
      </c>
      <c r="CN18" s="212">
        <v>17.5</v>
      </c>
      <c r="CO18" s="212">
        <v>17.5</v>
      </c>
      <c r="CP18" s="212">
        <v>17.5</v>
      </c>
      <c r="CQ18" s="212">
        <v>17.5</v>
      </c>
      <c r="CR18" s="212">
        <v>17.5</v>
      </c>
      <c r="CS18" s="212">
        <v>17.5</v>
      </c>
      <c r="CT18" s="212">
        <v>20</v>
      </c>
      <c r="CU18" s="212">
        <v>20</v>
      </c>
      <c r="CV18" s="212">
        <v>20</v>
      </c>
      <c r="CW18" s="212">
        <v>20</v>
      </c>
      <c r="CX18" s="212">
        <v>20</v>
      </c>
      <c r="CY18" s="212">
        <v>20</v>
      </c>
      <c r="CZ18" s="212">
        <v>20</v>
      </c>
      <c r="DA18" s="212">
        <v>20</v>
      </c>
      <c r="DB18" s="212">
        <v>20</v>
      </c>
      <c r="DC18" s="212">
        <v>20</v>
      </c>
      <c r="DD18" s="212">
        <v>22.5</v>
      </c>
      <c r="DE18" s="212">
        <v>22.5</v>
      </c>
      <c r="DF18" s="212">
        <v>22.5</v>
      </c>
      <c r="DG18" s="212">
        <v>22.5</v>
      </c>
      <c r="DH18" s="212">
        <v>22.5</v>
      </c>
      <c r="DI18" s="212">
        <v>22.5</v>
      </c>
      <c r="DJ18" s="212">
        <v>22.5</v>
      </c>
      <c r="DK18" s="212">
        <v>22.5</v>
      </c>
      <c r="DL18" s="212">
        <v>22.5</v>
      </c>
      <c r="DM18" s="212">
        <v>22.5</v>
      </c>
      <c r="DN18" s="212">
        <v>25</v>
      </c>
      <c r="DO18" s="212">
        <v>25</v>
      </c>
      <c r="DP18" s="212">
        <v>25</v>
      </c>
      <c r="DQ18" s="212">
        <v>25</v>
      </c>
      <c r="DR18" s="212">
        <v>25</v>
      </c>
    </row>
    <row r="19" spans="1:122" ht="22.5" customHeight="1" x14ac:dyDescent="0.45">
      <c r="A19" s="211">
        <v>83</v>
      </c>
      <c r="B19" s="212">
        <v>-2.5</v>
      </c>
      <c r="C19" s="212">
        <v>-2.5</v>
      </c>
      <c r="D19" s="212">
        <v>-2.5</v>
      </c>
      <c r="E19" s="212">
        <v>-2.5</v>
      </c>
      <c r="F19" s="212">
        <v>-2.5</v>
      </c>
      <c r="G19" s="212">
        <v>-2.5</v>
      </c>
      <c r="H19" s="212">
        <v>-2.5</v>
      </c>
      <c r="I19" s="212">
        <v>-2.5</v>
      </c>
      <c r="J19" s="212">
        <v>-2.5</v>
      </c>
      <c r="K19" s="212">
        <v>-2.5</v>
      </c>
      <c r="L19" s="212">
        <v>-2.5</v>
      </c>
      <c r="M19" s="212">
        <v>-2.5</v>
      </c>
      <c r="N19" s="212">
        <v>-2.5</v>
      </c>
      <c r="O19" s="212">
        <v>0</v>
      </c>
      <c r="P19" s="212">
        <v>0</v>
      </c>
      <c r="Q19" s="212">
        <v>0</v>
      </c>
      <c r="R19" s="212">
        <v>0</v>
      </c>
      <c r="S19" s="212">
        <v>0</v>
      </c>
      <c r="T19" s="212">
        <v>0</v>
      </c>
      <c r="U19" s="212">
        <v>0</v>
      </c>
      <c r="V19" s="212">
        <v>2.5</v>
      </c>
      <c r="W19" s="212">
        <v>2.5</v>
      </c>
      <c r="X19" s="212">
        <v>2.5</v>
      </c>
      <c r="Y19" s="212">
        <v>2.5</v>
      </c>
      <c r="Z19" s="212">
        <v>2.5</v>
      </c>
      <c r="AA19" s="212">
        <v>2.5</v>
      </c>
      <c r="AB19" s="212">
        <v>5</v>
      </c>
      <c r="AC19" s="212">
        <v>5</v>
      </c>
      <c r="AD19" s="212">
        <v>5</v>
      </c>
      <c r="AE19" s="212">
        <v>5</v>
      </c>
      <c r="AF19" s="212">
        <v>5</v>
      </c>
      <c r="AG19" s="212">
        <v>5</v>
      </c>
      <c r="AH19" s="212">
        <v>5</v>
      </c>
      <c r="AI19" s="212">
        <v>7.5</v>
      </c>
      <c r="AJ19" s="212">
        <v>7.5</v>
      </c>
      <c r="AK19" s="212">
        <v>7.5</v>
      </c>
      <c r="AL19" s="212">
        <v>7.5</v>
      </c>
      <c r="AM19" s="212">
        <v>7.5</v>
      </c>
      <c r="AN19" s="212">
        <v>7.5</v>
      </c>
      <c r="AO19" s="212">
        <v>10</v>
      </c>
      <c r="AP19" s="212">
        <v>10</v>
      </c>
      <c r="AQ19" s="212">
        <v>10</v>
      </c>
      <c r="AR19" s="212">
        <v>10</v>
      </c>
      <c r="AS19" s="212">
        <v>10</v>
      </c>
      <c r="AT19" s="212">
        <v>10</v>
      </c>
      <c r="AU19" s="212">
        <v>10</v>
      </c>
      <c r="AV19" s="212">
        <v>10</v>
      </c>
      <c r="AW19" s="212">
        <v>10</v>
      </c>
      <c r="AX19" s="212">
        <v>10</v>
      </c>
      <c r="AY19" s="212">
        <v>10</v>
      </c>
      <c r="AZ19" s="212">
        <v>10</v>
      </c>
      <c r="BA19" s="212">
        <v>10</v>
      </c>
      <c r="BB19" s="212">
        <v>10</v>
      </c>
      <c r="BC19" s="212">
        <v>10</v>
      </c>
      <c r="BD19" s="212">
        <v>10</v>
      </c>
      <c r="BE19" s="212">
        <v>12.5</v>
      </c>
      <c r="BF19" s="212">
        <v>12.5</v>
      </c>
      <c r="BG19" s="212">
        <v>12.5</v>
      </c>
      <c r="BH19" s="212">
        <v>12.5</v>
      </c>
      <c r="BI19" s="212">
        <v>12.5</v>
      </c>
      <c r="BJ19" s="212">
        <v>12.5</v>
      </c>
      <c r="BK19" s="212">
        <v>12.5</v>
      </c>
      <c r="BL19" s="212">
        <v>12.5</v>
      </c>
      <c r="BM19" s="212">
        <v>12.5</v>
      </c>
      <c r="BN19" s="212">
        <v>12.5</v>
      </c>
      <c r="BO19" s="212">
        <v>12.5</v>
      </c>
      <c r="BP19" s="212">
        <v>12.5</v>
      </c>
      <c r="BQ19" s="212">
        <v>12.5</v>
      </c>
      <c r="BR19" s="212">
        <v>12.5</v>
      </c>
      <c r="BS19" s="212">
        <v>12.5</v>
      </c>
      <c r="BT19" s="212">
        <v>12.5</v>
      </c>
      <c r="BU19" s="212">
        <v>12.5</v>
      </c>
      <c r="BV19" s="212">
        <v>12.5</v>
      </c>
      <c r="BW19" s="212">
        <v>15</v>
      </c>
      <c r="BX19" s="212">
        <v>15</v>
      </c>
      <c r="BY19" s="212">
        <v>15</v>
      </c>
      <c r="BZ19" s="212">
        <v>15</v>
      </c>
      <c r="CA19" s="212">
        <v>15</v>
      </c>
      <c r="CB19" s="212">
        <v>15</v>
      </c>
      <c r="CC19" s="212">
        <v>15</v>
      </c>
      <c r="CD19" s="212">
        <v>15</v>
      </c>
      <c r="CE19" s="212">
        <v>15</v>
      </c>
      <c r="CF19" s="212">
        <v>15</v>
      </c>
      <c r="CG19" s="212">
        <v>15</v>
      </c>
      <c r="CH19" s="212">
        <v>15</v>
      </c>
      <c r="CI19" s="212">
        <v>15</v>
      </c>
      <c r="CJ19" s="212">
        <v>17.5</v>
      </c>
      <c r="CK19" s="212">
        <v>17.5</v>
      </c>
      <c r="CL19" s="212">
        <v>17.5</v>
      </c>
      <c r="CM19" s="212">
        <v>17.5</v>
      </c>
      <c r="CN19" s="212">
        <v>17.5</v>
      </c>
      <c r="CO19" s="212">
        <v>17.5</v>
      </c>
      <c r="CP19" s="212">
        <v>17.5</v>
      </c>
      <c r="CQ19" s="212">
        <v>17.5</v>
      </c>
      <c r="CR19" s="212">
        <v>17.5</v>
      </c>
      <c r="CS19" s="212">
        <v>17.5</v>
      </c>
      <c r="CT19" s="212">
        <v>17.5</v>
      </c>
      <c r="CU19" s="212">
        <v>20</v>
      </c>
      <c r="CV19" s="212">
        <v>20</v>
      </c>
      <c r="CW19" s="212">
        <v>20</v>
      </c>
      <c r="CX19" s="212">
        <v>20</v>
      </c>
      <c r="CY19" s="212">
        <v>20</v>
      </c>
      <c r="CZ19" s="212">
        <v>20</v>
      </c>
      <c r="DA19" s="212">
        <v>20</v>
      </c>
      <c r="DB19" s="212">
        <v>20</v>
      </c>
      <c r="DC19" s="212">
        <v>20</v>
      </c>
      <c r="DD19" s="212">
        <v>20</v>
      </c>
      <c r="DE19" s="212">
        <v>22.5</v>
      </c>
      <c r="DF19" s="212">
        <v>22.5</v>
      </c>
      <c r="DG19" s="212">
        <v>22.5</v>
      </c>
      <c r="DH19" s="212">
        <v>22.5</v>
      </c>
      <c r="DI19" s="212">
        <v>22.5</v>
      </c>
      <c r="DJ19" s="212">
        <v>22.5</v>
      </c>
      <c r="DK19" s="212">
        <v>22.5</v>
      </c>
      <c r="DL19" s="212">
        <v>22.5</v>
      </c>
      <c r="DM19" s="212">
        <v>22.5</v>
      </c>
      <c r="DN19" s="212">
        <v>22.5</v>
      </c>
      <c r="DO19" s="212">
        <v>25</v>
      </c>
      <c r="DP19" s="212">
        <v>25</v>
      </c>
      <c r="DQ19" s="212">
        <v>25</v>
      </c>
      <c r="DR19" s="212">
        <v>25</v>
      </c>
    </row>
    <row r="20" spans="1:122" ht="22.5" customHeight="1" x14ac:dyDescent="0.45">
      <c r="A20" s="211">
        <v>82</v>
      </c>
      <c r="B20" s="212">
        <v>-2.5</v>
      </c>
      <c r="C20" s="212">
        <v>-2.5</v>
      </c>
      <c r="D20" s="212">
        <v>-2.5</v>
      </c>
      <c r="E20" s="212">
        <v>-2.5</v>
      </c>
      <c r="F20" s="212">
        <v>-2.5</v>
      </c>
      <c r="G20" s="212">
        <v>-2.5</v>
      </c>
      <c r="H20" s="212">
        <v>-2.5</v>
      </c>
      <c r="I20" s="212">
        <v>-2.5</v>
      </c>
      <c r="J20" s="212">
        <v>-2.5</v>
      </c>
      <c r="K20" s="212">
        <v>-2.5</v>
      </c>
      <c r="L20" s="212">
        <v>-2.5</v>
      </c>
      <c r="M20" s="212">
        <v>-2.5</v>
      </c>
      <c r="N20" s="212">
        <v>-2.5</v>
      </c>
      <c r="O20" s="212">
        <v>0</v>
      </c>
      <c r="P20" s="212">
        <v>0</v>
      </c>
      <c r="Q20" s="212">
        <v>0</v>
      </c>
      <c r="R20" s="212">
        <v>0</v>
      </c>
      <c r="S20" s="212">
        <v>0</v>
      </c>
      <c r="T20" s="212">
        <v>0</v>
      </c>
      <c r="U20" s="212">
        <v>0</v>
      </c>
      <c r="V20" s="212">
        <v>2.5</v>
      </c>
      <c r="W20" s="212">
        <v>2.5</v>
      </c>
      <c r="X20" s="212">
        <v>2.5</v>
      </c>
      <c r="Y20" s="212">
        <v>2.5</v>
      </c>
      <c r="Z20" s="212">
        <v>2.5</v>
      </c>
      <c r="AA20" s="212">
        <v>2.5</v>
      </c>
      <c r="AB20" s="212">
        <v>5</v>
      </c>
      <c r="AC20" s="212">
        <v>5</v>
      </c>
      <c r="AD20" s="212">
        <v>5</v>
      </c>
      <c r="AE20" s="212">
        <v>5</v>
      </c>
      <c r="AF20" s="212">
        <v>5</v>
      </c>
      <c r="AG20" s="212">
        <v>5</v>
      </c>
      <c r="AH20" s="212">
        <v>5</v>
      </c>
      <c r="AI20" s="212">
        <v>7.5</v>
      </c>
      <c r="AJ20" s="212">
        <v>7.5</v>
      </c>
      <c r="AK20" s="212">
        <v>7.5</v>
      </c>
      <c r="AL20" s="212">
        <v>7.5</v>
      </c>
      <c r="AM20" s="212">
        <v>7.5</v>
      </c>
      <c r="AN20" s="212">
        <v>7.5</v>
      </c>
      <c r="AO20" s="212">
        <v>7.5</v>
      </c>
      <c r="AP20" s="212">
        <v>10</v>
      </c>
      <c r="AQ20" s="212">
        <v>10</v>
      </c>
      <c r="AR20" s="212">
        <v>10</v>
      </c>
      <c r="AS20" s="212">
        <v>10</v>
      </c>
      <c r="AT20" s="212">
        <v>10</v>
      </c>
      <c r="AU20" s="212">
        <v>10</v>
      </c>
      <c r="AV20" s="212">
        <v>10</v>
      </c>
      <c r="AW20" s="212">
        <v>10</v>
      </c>
      <c r="AX20" s="212">
        <v>10</v>
      </c>
      <c r="AY20" s="212">
        <v>10</v>
      </c>
      <c r="AZ20" s="212">
        <v>10</v>
      </c>
      <c r="BA20" s="212">
        <v>10</v>
      </c>
      <c r="BB20" s="212">
        <v>10</v>
      </c>
      <c r="BC20" s="212">
        <v>10</v>
      </c>
      <c r="BD20" s="212">
        <v>10</v>
      </c>
      <c r="BE20" s="212">
        <v>10</v>
      </c>
      <c r="BF20" s="212">
        <v>10</v>
      </c>
      <c r="BG20" s="212">
        <v>12.5</v>
      </c>
      <c r="BH20" s="212">
        <v>12.5</v>
      </c>
      <c r="BI20" s="212">
        <v>12.5</v>
      </c>
      <c r="BJ20" s="212">
        <v>12.5</v>
      </c>
      <c r="BK20" s="212">
        <v>12.5</v>
      </c>
      <c r="BL20" s="212">
        <v>12.5</v>
      </c>
      <c r="BM20" s="212">
        <v>12.5</v>
      </c>
      <c r="BN20" s="212">
        <v>12.5</v>
      </c>
      <c r="BO20" s="212">
        <v>12.5</v>
      </c>
      <c r="BP20" s="212">
        <v>12.5</v>
      </c>
      <c r="BQ20" s="212">
        <v>12.5</v>
      </c>
      <c r="BR20" s="212">
        <v>12.5</v>
      </c>
      <c r="BS20" s="212">
        <v>12.5</v>
      </c>
      <c r="BT20" s="212">
        <v>12.5</v>
      </c>
      <c r="BU20" s="212">
        <v>12.5</v>
      </c>
      <c r="BV20" s="212">
        <v>12.5</v>
      </c>
      <c r="BW20" s="212">
        <v>12.5</v>
      </c>
      <c r="BX20" s="212">
        <v>12.5</v>
      </c>
      <c r="BY20" s="212">
        <v>15</v>
      </c>
      <c r="BZ20" s="212">
        <v>15</v>
      </c>
      <c r="CA20" s="212">
        <v>15</v>
      </c>
      <c r="CB20" s="212">
        <v>15</v>
      </c>
      <c r="CC20" s="212">
        <v>15</v>
      </c>
      <c r="CD20" s="212">
        <v>15</v>
      </c>
      <c r="CE20" s="212">
        <v>15</v>
      </c>
      <c r="CF20" s="212">
        <v>15</v>
      </c>
      <c r="CG20" s="212">
        <v>15</v>
      </c>
      <c r="CH20" s="212">
        <v>15</v>
      </c>
      <c r="CI20" s="212">
        <v>15</v>
      </c>
      <c r="CJ20" s="212">
        <v>15</v>
      </c>
      <c r="CK20" s="212">
        <v>15</v>
      </c>
      <c r="CL20" s="212">
        <v>17.5</v>
      </c>
      <c r="CM20" s="212">
        <v>17.5</v>
      </c>
      <c r="CN20" s="212">
        <v>17.5</v>
      </c>
      <c r="CO20" s="212">
        <v>17.5</v>
      </c>
      <c r="CP20" s="212">
        <v>17.5</v>
      </c>
      <c r="CQ20" s="212">
        <v>17.5</v>
      </c>
      <c r="CR20" s="212">
        <v>17.5</v>
      </c>
      <c r="CS20" s="212">
        <v>17.5</v>
      </c>
      <c r="CT20" s="212">
        <v>17.5</v>
      </c>
      <c r="CU20" s="212">
        <v>17.5</v>
      </c>
      <c r="CV20" s="212">
        <v>20</v>
      </c>
      <c r="CW20" s="212">
        <v>20</v>
      </c>
      <c r="CX20" s="212">
        <v>20</v>
      </c>
      <c r="CY20" s="212">
        <v>20</v>
      </c>
      <c r="CZ20" s="212">
        <v>20</v>
      </c>
      <c r="DA20" s="212">
        <v>20</v>
      </c>
      <c r="DB20" s="212">
        <v>20</v>
      </c>
      <c r="DC20" s="212">
        <v>20</v>
      </c>
      <c r="DD20" s="212">
        <v>20</v>
      </c>
      <c r="DE20" s="212">
        <v>20</v>
      </c>
      <c r="DF20" s="212">
        <v>22.5</v>
      </c>
      <c r="DG20" s="212">
        <v>22.5</v>
      </c>
      <c r="DH20" s="212">
        <v>22.5</v>
      </c>
      <c r="DI20" s="212">
        <v>22.5</v>
      </c>
      <c r="DJ20" s="212">
        <v>22.5</v>
      </c>
      <c r="DK20" s="212">
        <v>22.5</v>
      </c>
      <c r="DL20" s="212">
        <v>22.5</v>
      </c>
      <c r="DM20" s="212">
        <v>22.5</v>
      </c>
      <c r="DN20" s="212">
        <v>22.5</v>
      </c>
      <c r="DO20" s="212">
        <v>22.5</v>
      </c>
      <c r="DP20" s="212">
        <v>25</v>
      </c>
      <c r="DQ20" s="212">
        <v>25</v>
      </c>
      <c r="DR20" s="212">
        <v>25</v>
      </c>
    </row>
    <row r="21" spans="1:122" ht="22.5" customHeight="1" x14ac:dyDescent="0.45">
      <c r="A21" s="211">
        <v>81</v>
      </c>
      <c r="B21" s="212">
        <v>-2.5</v>
      </c>
      <c r="C21" s="212">
        <v>-2.5</v>
      </c>
      <c r="D21" s="212">
        <v>-2.5</v>
      </c>
      <c r="E21" s="212">
        <v>-2.5</v>
      </c>
      <c r="F21" s="212">
        <v>-2.5</v>
      </c>
      <c r="G21" s="212">
        <v>-2.5</v>
      </c>
      <c r="H21" s="212">
        <v>-2.5</v>
      </c>
      <c r="I21" s="212">
        <v>-2.5</v>
      </c>
      <c r="J21" s="212">
        <v>-2.5</v>
      </c>
      <c r="K21" s="212">
        <v>-2.5</v>
      </c>
      <c r="L21" s="212">
        <v>-2.5</v>
      </c>
      <c r="M21" s="212">
        <v>-2.5</v>
      </c>
      <c r="N21" s="212">
        <v>-2.5</v>
      </c>
      <c r="O21" s="212">
        <v>-2.5</v>
      </c>
      <c r="P21" s="212">
        <v>0</v>
      </c>
      <c r="Q21" s="212">
        <v>0</v>
      </c>
      <c r="R21" s="212">
        <v>0</v>
      </c>
      <c r="S21" s="212">
        <v>0</v>
      </c>
      <c r="T21" s="212">
        <v>0</v>
      </c>
      <c r="U21" s="212">
        <v>0</v>
      </c>
      <c r="V21" s="212">
        <v>2.5</v>
      </c>
      <c r="W21" s="212">
        <v>2.5</v>
      </c>
      <c r="X21" s="212">
        <v>2.5</v>
      </c>
      <c r="Y21" s="212">
        <v>2.5</v>
      </c>
      <c r="Z21" s="212">
        <v>2.5</v>
      </c>
      <c r="AA21" s="212">
        <v>2.5</v>
      </c>
      <c r="AB21" s="212">
        <v>2.5</v>
      </c>
      <c r="AC21" s="212">
        <v>5</v>
      </c>
      <c r="AD21" s="212">
        <v>5</v>
      </c>
      <c r="AE21" s="212">
        <v>5</v>
      </c>
      <c r="AF21" s="212">
        <v>5</v>
      </c>
      <c r="AG21" s="212">
        <v>5</v>
      </c>
      <c r="AH21" s="212">
        <v>5</v>
      </c>
      <c r="AI21" s="212">
        <v>7.5</v>
      </c>
      <c r="AJ21" s="212">
        <v>7.5</v>
      </c>
      <c r="AK21" s="212">
        <v>7.5</v>
      </c>
      <c r="AL21" s="212">
        <v>7.5</v>
      </c>
      <c r="AM21" s="212">
        <v>7.5</v>
      </c>
      <c r="AN21" s="212">
        <v>7.5</v>
      </c>
      <c r="AO21" s="212">
        <v>7.5</v>
      </c>
      <c r="AP21" s="212">
        <v>10</v>
      </c>
      <c r="AQ21" s="212">
        <v>10</v>
      </c>
      <c r="AR21" s="212">
        <v>10</v>
      </c>
      <c r="AS21" s="212">
        <v>10</v>
      </c>
      <c r="AT21" s="212">
        <v>10</v>
      </c>
      <c r="AU21" s="212">
        <v>10</v>
      </c>
      <c r="AV21" s="212">
        <v>10</v>
      </c>
      <c r="AW21" s="212">
        <v>10</v>
      </c>
      <c r="AX21" s="212">
        <v>10</v>
      </c>
      <c r="AY21" s="212">
        <v>10</v>
      </c>
      <c r="AZ21" s="212">
        <v>10</v>
      </c>
      <c r="BA21" s="212">
        <v>10</v>
      </c>
      <c r="BB21" s="212">
        <v>10</v>
      </c>
      <c r="BC21" s="212">
        <v>10</v>
      </c>
      <c r="BD21" s="212">
        <v>10</v>
      </c>
      <c r="BE21" s="212">
        <v>10</v>
      </c>
      <c r="BF21" s="212">
        <v>10</v>
      </c>
      <c r="BG21" s="212">
        <v>10</v>
      </c>
      <c r="BH21" s="212">
        <v>10</v>
      </c>
      <c r="BI21" s="212">
        <v>12.5</v>
      </c>
      <c r="BJ21" s="212">
        <v>12.5</v>
      </c>
      <c r="BK21" s="212">
        <v>12.5</v>
      </c>
      <c r="BL21" s="212">
        <v>12.5</v>
      </c>
      <c r="BM21" s="212">
        <v>12.5</v>
      </c>
      <c r="BN21" s="212">
        <v>12.5</v>
      </c>
      <c r="BO21" s="212">
        <v>12.5</v>
      </c>
      <c r="BP21" s="212">
        <v>12.5</v>
      </c>
      <c r="BQ21" s="212">
        <v>12.5</v>
      </c>
      <c r="BR21" s="212">
        <v>12.5</v>
      </c>
      <c r="BS21" s="212">
        <v>12.5</v>
      </c>
      <c r="BT21" s="212">
        <v>12.5</v>
      </c>
      <c r="BU21" s="212">
        <v>12.5</v>
      </c>
      <c r="BV21" s="212">
        <v>12.5</v>
      </c>
      <c r="BW21" s="212">
        <v>12.5</v>
      </c>
      <c r="BX21" s="212">
        <v>12.5</v>
      </c>
      <c r="BY21" s="212">
        <v>12.5</v>
      </c>
      <c r="BZ21" s="212">
        <v>12.5</v>
      </c>
      <c r="CA21" s="212">
        <v>12.5</v>
      </c>
      <c r="CB21" s="212">
        <v>15</v>
      </c>
      <c r="CC21" s="212">
        <v>15</v>
      </c>
      <c r="CD21" s="212">
        <v>15</v>
      </c>
      <c r="CE21" s="212">
        <v>15</v>
      </c>
      <c r="CF21" s="212">
        <v>15</v>
      </c>
      <c r="CG21" s="212">
        <v>15</v>
      </c>
      <c r="CH21" s="212">
        <v>15</v>
      </c>
      <c r="CI21" s="212">
        <v>15</v>
      </c>
      <c r="CJ21" s="212">
        <v>15</v>
      </c>
      <c r="CK21" s="212">
        <v>15</v>
      </c>
      <c r="CL21" s="212">
        <v>15</v>
      </c>
      <c r="CM21" s="212">
        <v>17.5</v>
      </c>
      <c r="CN21" s="212">
        <v>17.5</v>
      </c>
      <c r="CO21" s="212">
        <v>17.5</v>
      </c>
      <c r="CP21" s="212">
        <v>17.5</v>
      </c>
      <c r="CQ21" s="212">
        <v>17.5</v>
      </c>
      <c r="CR21" s="212">
        <v>17.5</v>
      </c>
      <c r="CS21" s="212">
        <v>17.5</v>
      </c>
      <c r="CT21" s="212">
        <v>17.5</v>
      </c>
      <c r="CU21" s="212">
        <v>17.5</v>
      </c>
      <c r="CV21" s="212">
        <v>17.5</v>
      </c>
      <c r="CW21" s="212">
        <v>20</v>
      </c>
      <c r="CX21" s="212">
        <v>20</v>
      </c>
      <c r="CY21" s="212">
        <v>20</v>
      </c>
      <c r="CZ21" s="212">
        <v>20</v>
      </c>
      <c r="DA21" s="212">
        <v>20</v>
      </c>
      <c r="DB21" s="212">
        <v>20</v>
      </c>
      <c r="DC21" s="212">
        <v>20</v>
      </c>
      <c r="DD21" s="212">
        <v>20</v>
      </c>
      <c r="DE21" s="212">
        <v>20</v>
      </c>
      <c r="DF21" s="212">
        <v>20</v>
      </c>
      <c r="DG21" s="212">
        <v>22.5</v>
      </c>
      <c r="DH21" s="212">
        <v>22.5</v>
      </c>
      <c r="DI21" s="212">
        <v>22.5</v>
      </c>
      <c r="DJ21" s="212">
        <v>22.5</v>
      </c>
      <c r="DK21" s="212">
        <v>22.5</v>
      </c>
      <c r="DL21" s="212">
        <v>22.5</v>
      </c>
      <c r="DM21" s="212">
        <v>22.5</v>
      </c>
      <c r="DN21" s="212">
        <v>22.5</v>
      </c>
      <c r="DO21" s="212">
        <v>22.5</v>
      </c>
      <c r="DP21" s="212">
        <v>22.5</v>
      </c>
      <c r="DQ21" s="212">
        <v>25</v>
      </c>
      <c r="DR21" s="212">
        <v>25</v>
      </c>
    </row>
    <row r="22" spans="1:122" ht="22.5" customHeight="1" x14ac:dyDescent="0.45">
      <c r="A22" s="211">
        <v>80</v>
      </c>
      <c r="B22" s="212">
        <v>-2.5</v>
      </c>
      <c r="C22" s="212">
        <v>-2.5</v>
      </c>
      <c r="D22" s="212">
        <v>-2.5</v>
      </c>
      <c r="E22" s="212">
        <v>-2.5</v>
      </c>
      <c r="F22" s="212">
        <v>-2.5</v>
      </c>
      <c r="G22" s="212">
        <v>-2.5</v>
      </c>
      <c r="H22" s="212">
        <v>-2.5</v>
      </c>
      <c r="I22" s="212">
        <v>-2.5</v>
      </c>
      <c r="J22" s="212">
        <v>-2.5</v>
      </c>
      <c r="K22" s="212">
        <v>-2.5</v>
      </c>
      <c r="L22" s="212">
        <v>-2.5</v>
      </c>
      <c r="M22" s="212">
        <v>-2.5</v>
      </c>
      <c r="N22" s="212">
        <v>-2.5</v>
      </c>
      <c r="O22" s="212">
        <v>-2.5</v>
      </c>
      <c r="P22" s="212">
        <v>0</v>
      </c>
      <c r="Q22" s="212">
        <v>0</v>
      </c>
      <c r="R22" s="212">
        <v>0</v>
      </c>
      <c r="S22" s="212">
        <v>0</v>
      </c>
      <c r="T22" s="212">
        <v>0</v>
      </c>
      <c r="U22" s="212">
        <v>0</v>
      </c>
      <c r="V22" s="212">
        <v>2.5</v>
      </c>
      <c r="W22" s="212">
        <v>2.5</v>
      </c>
      <c r="X22" s="212">
        <v>2.5</v>
      </c>
      <c r="Y22" s="212">
        <v>2.5</v>
      </c>
      <c r="Z22" s="212">
        <v>2.5</v>
      </c>
      <c r="AA22" s="212">
        <v>2.5</v>
      </c>
      <c r="AB22" s="212">
        <v>2.5</v>
      </c>
      <c r="AC22" s="212">
        <v>5</v>
      </c>
      <c r="AD22" s="212">
        <v>5</v>
      </c>
      <c r="AE22" s="212">
        <v>5</v>
      </c>
      <c r="AF22" s="212">
        <v>5</v>
      </c>
      <c r="AG22" s="212">
        <v>5</v>
      </c>
      <c r="AH22" s="212">
        <v>5</v>
      </c>
      <c r="AI22" s="212">
        <v>5</v>
      </c>
      <c r="AJ22" s="212">
        <v>7.5</v>
      </c>
      <c r="AK22" s="212">
        <v>7.5</v>
      </c>
      <c r="AL22" s="212">
        <v>7.5</v>
      </c>
      <c r="AM22" s="212">
        <v>7.5</v>
      </c>
      <c r="AN22" s="212">
        <v>7.5</v>
      </c>
      <c r="AO22" s="212">
        <v>7.5</v>
      </c>
      <c r="AP22" s="212">
        <v>10</v>
      </c>
      <c r="AQ22" s="212">
        <v>10</v>
      </c>
      <c r="AR22" s="212">
        <v>10</v>
      </c>
      <c r="AS22" s="212">
        <v>10</v>
      </c>
      <c r="AT22" s="212">
        <v>10</v>
      </c>
      <c r="AU22" s="212">
        <v>10</v>
      </c>
      <c r="AV22" s="212">
        <v>10</v>
      </c>
      <c r="AW22" s="212">
        <v>10</v>
      </c>
      <c r="AX22" s="212">
        <v>10</v>
      </c>
      <c r="AY22" s="212">
        <v>10</v>
      </c>
      <c r="AZ22" s="212">
        <v>10</v>
      </c>
      <c r="BA22" s="212">
        <v>10</v>
      </c>
      <c r="BB22" s="212">
        <v>10</v>
      </c>
      <c r="BC22" s="212">
        <v>10</v>
      </c>
      <c r="BD22" s="212">
        <v>10</v>
      </c>
      <c r="BE22" s="212">
        <v>10</v>
      </c>
      <c r="BF22" s="212">
        <v>10</v>
      </c>
      <c r="BG22" s="212">
        <v>10</v>
      </c>
      <c r="BH22" s="212">
        <v>10</v>
      </c>
      <c r="BI22" s="212">
        <v>10</v>
      </c>
      <c r="BJ22" s="212">
        <v>12.5</v>
      </c>
      <c r="BK22" s="212">
        <v>12.5</v>
      </c>
      <c r="BL22" s="212">
        <v>12.5</v>
      </c>
      <c r="BM22" s="212">
        <v>12.5</v>
      </c>
      <c r="BN22" s="212">
        <v>12.5</v>
      </c>
      <c r="BO22" s="212">
        <v>12.5</v>
      </c>
      <c r="BP22" s="212">
        <v>12.5</v>
      </c>
      <c r="BQ22" s="212">
        <v>12.5</v>
      </c>
      <c r="BR22" s="212">
        <v>12.5</v>
      </c>
      <c r="BS22" s="212">
        <v>12.5</v>
      </c>
      <c r="BT22" s="212">
        <v>12.5</v>
      </c>
      <c r="BU22" s="212">
        <v>12.5</v>
      </c>
      <c r="BV22" s="212">
        <v>12.5</v>
      </c>
      <c r="BW22" s="212">
        <v>12.5</v>
      </c>
      <c r="BX22" s="212">
        <v>12.5</v>
      </c>
      <c r="BY22" s="212">
        <v>12.5</v>
      </c>
      <c r="BZ22" s="212">
        <v>12.5</v>
      </c>
      <c r="CA22" s="212">
        <v>12.5</v>
      </c>
      <c r="CB22" s="212">
        <v>12.5</v>
      </c>
      <c r="CC22" s="212">
        <v>12.5</v>
      </c>
      <c r="CD22" s="212">
        <v>15</v>
      </c>
      <c r="CE22" s="212">
        <v>15</v>
      </c>
      <c r="CF22" s="212">
        <v>15</v>
      </c>
      <c r="CG22" s="212">
        <v>15</v>
      </c>
      <c r="CH22" s="212">
        <v>15</v>
      </c>
      <c r="CI22" s="212">
        <v>15</v>
      </c>
      <c r="CJ22" s="212">
        <v>15</v>
      </c>
      <c r="CK22" s="212">
        <v>15</v>
      </c>
      <c r="CL22" s="212">
        <v>15</v>
      </c>
      <c r="CM22" s="212">
        <v>15</v>
      </c>
      <c r="CN22" s="212">
        <v>17.5</v>
      </c>
      <c r="CO22" s="212">
        <v>17.5</v>
      </c>
      <c r="CP22" s="212">
        <v>17.5</v>
      </c>
      <c r="CQ22" s="212">
        <v>17.5</v>
      </c>
      <c r="CR22" s="212">
        <v>17.5</v>
      </c>
      <c r="CS22" s="212">
        <v>17.5</v>
      </c>
      <c r="CT22" s="212">
        <v>17.5</v>
      </c>
      <c r="CU22" s="212">
        <v>17.5</v>
      </c>
      <c r="CV22" s="212">
        <v>17.5</v>
      </c>
      <c r="CW22" s="212">
        <v>17.5</v>
      </c>
      <c r="CX22" s="212">
        <v>20</v>
      </c>
      <c r="CY22" s="212">
        <v>20</v>
      </c>
      <c r="CZ22" s="212">
        <v>20</v>
      </c>
      <c r="DA22" s="212">
        <v>20</v>
      </c>
      <c r="DB22" s="212">
        <v>20</v>
      </c>
      <c r="DC22" s="212">
        <v>20</v>
      </c>
      <c r="DD22" s="212">
        <v>20</v>
      </c>
      <c r="DE22" s="212">
        <v>20</v>
      </c>
      <c r="DF22" s="212">
        <v>20</v>
      </c>
      <c r="DG22" s="212">
        <v>20</v>
      </c>
      <c r="DH22" s="212">
        <v>22.5</v>
      </c>
      <c r="DI22" s="212">
        <v>22.5</v>
      </c>
      <c r="DJ22" s="212">
        <v>22.5</v>
      </c>
      <c r="DK22" s="212">
        <v>22.5</v>
      </c>
      <c r="DL22" s="212">
        <v>22.5</v>
      </c>
      <c r="DM22" s="212">
        <v>22.5</v>
      </c>
      <c r="DN22" s="212">
        <v>22.5</v>
      </c>
      <c r="DO22" s="212">
        <v>22.5</v>
      </c>
      <c r="DP22" s="212">
        <v>22.5</v>
      </c>
      <c r="DQ22" s="212">
        <v>22.5</v>
      </c>
      <c r="DR22" s="212">
        <v>25</v>
      </c>
    </row>
    <row r="23" spans="1:122" ht="22.5" customHeight="1" x14ac:dyDescent="0.45">
      <c r="A23" s="211">
        <v>79</v>
      </c>
      <c r="B23" s="212">
        <v>-2.5</v>
      </c>
      <c r="C23" s="212">
        <v>-2.5</v>
      </c>
      <c r="D23" s="212">
        <v>-2.5</v>
      </c>
      <c r="E23" s="212">
        <v>-2.5</v>
      </c>
      <c r="F23" s="212">
        <v>-2.5</v>
      </c>
      <c r="G23" s="212">
        <v>-2.5</v>
      </c>
      <c r="H23" s="212">
        <v>-2.5</v>
      </c>
      <c r="I23" s="212">
        <v>-2.5</v>
      </c>
      <c r="J23" s="212">
        <v>-2.5</v>
      </c>
      <c r="K23" s="212">
        <v>-2.5</v>
      </c>
      <c r="L23" s="212">
        <v>-2.5</v>
      </c>
      <c r="M23" s="212">
        <v>-2.5</v>
      </c>
      <c r="N23" s="212">
        <v>-2.5</v>
      </c>
      <c r="O23" s="212">
        <v>-2.5</v>
      </c>
      <c r="P23" s="212">
        <v>-2.5</v>
      </c>
      <c r="Q23" s="212">
        <v>0</v>
      </c>
      <c r="R23" s="212">
        <v>0</v>
      </c>
      <c r="S23" s="212">
        <v>0</v>
      </c>
      <c r="T23" s="212">
        <v>0</v>
      </c>
      <c r="U23" s="212">
        <v>0</v>
      </c>
      <c r="V23" s="212">
        <v>0</v>
      </c>
      <c r="W23" s="212">
        <v>2.5</v>
      </c>
      <c r="X23" s="212">
        <v>2.5</v>
      </c>
      <c r="Y23" s="212">
        <v>2.5</v>
      </c>
      <c r="Z23" s="212">
        <v>2.5</v>
      </c>
      <c r="AA23" s="212">
        <v>2.5</v>
      </c>
      <c r="AB23" s="212">
        <v>2.5</v>
      </c>
      <c r="AC23" s="212">
        <v>5</v>
      </c>
      <c r="AD23" s="212">
        <v>5</v>
      </c>
      <c r="AE23" s="212">
        <v>5</v>
      </c>
      <c r="AF23" s="212">
        <v>5</v>
      </c>
      <c r="AG23" s="212">
        <v>5</v>
      </c>
      <c r="AH23" s="212">
        <v>5</v>
      </c>
      <c r="AI23" s="212">
        <v>5</v>
      </c>
      <c r="AJ23" s="212">
        <v>7.5</v>
      </c>
      <c r="AK23" s="212">
        <v>7.5</v>
      </c>
      <c r="AL23" s="212">
        <v>7.5</v>
      </c>
      <c r="AM23" s="212">
        <v>7.5</v>
      </c>
      <c r="AN23" s="212">
        <v>7.5</v>
      </c>
      <c r="AO23" s="212">
        <v>7.5</v>
      </c>
      <c r="AP23" s="212">
        <v>7.5</v>
      </c>
      <c r="AQ23" s="212">
        <v>10</v>
      </c>
      <c r="AR23" s="212">
        <v>10</v>
      </c>
      <c r="AS23" s="212">
        <v>10</v>
      </c>
      <c r="AT23" s="212">
        <v>10</v>
      </c>
      <c r="AU23" s="212">
        <v>10</v>
      </c>
      <c r="AV23" s="212">
        <v>10</v>
      </c>
      <c r="AW23" s="212">
        <v>10</v>
      </c>
      <c r="AX23" s="212">
        <v>10</v>
      </c>
      <c r="AY23" s="212">
        <v>10</v>
      </c>
      <c r="AZ23" s="212">
        <v>10</v>
      </c>
      <c r="BA23" s="212">
        <v>10</v>
      </c>
      <c r="BB23" s="212">
        <v>10</v>
      </c>
      <c r="BC23" s="212">
        <v>10</v>
      </c>
      <c r="BD23" s="212">
        <v>10</v>
      </c>
      <c r="BE23" s="212">
        <v>10</v>
      </c>
      <c r="BF23" s="212">
        <v>10</v>
      </c>
      <c r="BG23" s="212">
        <v>10</v>
      </c>
      <c r="BH23" s="212">
        <v>10</v>
      </c>
      <c r="BI23" s="212">
        <v>10</v>
      </c>
      <c r="BJ23" s="212">
        <v>10</v>
      </c>
      <c r="BK23" s="212">
        <v>12.5</v>
      </c>
      <c r="BL23" s="212">
        <v>12.5</v>
      </c>
      <c r="BM23" s="212">
        <v>12.5</v>
      </c>
      <c r="BN23" s="212">
        <v>12.5</v>
      </c>
      <c r="BO23" s="212">
        <v>12.5</v>
      </c>
      <c r="BP23" s="212">
        <v>12.5</v>
      </c>
      <c r="BQ23" s="212">
        <v>12.5</v>
      </c>
      <c r="BR23" s="212">
        <v>12.5</v>
      </c>
      <c r="BS23" s="212">
        <v>12.5</v>
      </c>
      <c r="BT23" s="212">
        <v>12.5</v>
      </c>
      <c r="BU23" s="212">
        <v>12.5</v>
      </c>
      <c r="BV23" s="212">
        <v>12.5</v>
      </c>
      <c r="BW23" s="212">
        <v>12.5</v>
      </c>
      <c r="BX23" s="212">
        <v>12.5</v>
      </c>
      <c r="BY23" s="212">
        <v>12.5</v>
      </c>
      <c r="BZ23" s="212">
        <v>12.5</v>
      </c>
      <c r="CA23" s="212">
        <v>12.5</v>
      </c>
      <c r="CB23" s="212">
        <v>12.5</v>
      </c>
      <c r="CC23" s="212">
        <v>12.5</v>
      </c>
      <c r="CD23" s="212">
        <v>12.5</v>
      </c>
      <c r="CE23" s="212">
        <v>15</v>
      </c>
      <c r="CF23" s="212">
        <v>15</v>
      </c>
      <c r="CG23" s="212">
        <v>15</v>
      </c>
      <c r="CH23" s="212">
        <v>15</v>
      </c>
      <c r="CI23" s="212">
        <v>15</v>
      </c>
      <c r="CJ23" s="212">
        <v>15</v>
      </c>
      <c r="CK23" s="212">
        <v>15</v>
      </c>
      <c r="CL23" s="212">
        <v>15</v>
      </c>
      <c r="CM23" s="212">
        <v>15</v>
      </c>
      <c r="CN23" s="212">
        <v>15</v>
      </c>
      <c r="CO23" s="212">
        <v>17.5</v>
      </c>
      <c r="CP23" s="212">
        <v>17.5</v>
      </c>
      <c r="CQ23" s="212">
        <v>17.5</v>
      </c>
      <c r="CR23" s="212">
        <v>17.5</v>
      </c>
      <c r="CS23" s="212">
        <v>17.5</v>
      </c>
      <c r="CT23" s="212">
        <v>17.5</v>
      </c>
      <c r="CU23" s="212">
        <v>17.5</v>
      </c>
      <c r="CV23" s="212">
        <v>17.5</v>
      </c>
      <c r="CW23" s="212">
        <v>17.5</v>
      </c>
      <c r="CX23" s="212">
        <v>17.5</v>
      </c>
      <c r="CY23" s="212">
        <v>17.5</v>
      </c>
      <c r="CZ23" s="212">
        <v>20</v>
      </c>
      <c r="DA23" s="212">
        <v>20</v>
      </c>
      <c r="DB23" s="212">
        <v>20</v>
      </c>
      <c r="DC23" s="212">
        <v>20</v>
      </c>
      <c r="DD23" s="212">
        <v>20</v>
      </c>
      <c r="DE23" s="212">
        <v>20</v>
      </c>
      <c r="DF23" s="212">
        <v>20</v>
      </c>
      <c r="DG23" s="212">
        <v>20</v>
      </c>
      <c r="DH23" s="212">
        <v>20</v>
      </c>
      <c r="DI23" s="212">
        <v>20</v>
      </c>
      <c r="DJ23" s="212">
        <v>22.5</v>
      </c>
      <c r="DK23" s="212">
        <v>22.5</v>
      </c>
      <c r="DL23" s="212">
        <v>22.5</v>
      </c>
      <c r="DM23" s="212">
        <v>22.5</v>
      </c>
      <c r="DN23" s="212">
        <v>22.5</v>
      </c>
      <c r="DO23" s="212">
        <v>22.5</v>
      </c>
      <c r="DP23" s="212">
        <v>22.5</v>
      </c>
      <c r="DQ23" s="212">
        <v>22.5</v>
      </c>
      <c r="DR23" s="212">
        <v>22.5</v>
      </c>
    </row>
    <row r="24" spans="1:122" ht="22.5" customHeight="1" x14ac:dyDescent="0.45">
      <c r="A24" s="211">
        <v>78</v>
      </c>
      <c r="B24" s="212">
        <v>-2.5</v>
      </c>
      <c r="C24" s="212">
        <v>-2.5</v>
      </c>
      <c r="D24" s="212">
        <v>-2.5</v>
      </c>
      <c r="E24" s="212">
        <v>-2.5</v>
      </c>
      <c r="F24" s="212">
        <v>-2.5</v>
      </c>
      <c r="G24" s="212">
        <v>-2.5</v>
      </c>
      <c r="H24" s="212">
        <v>-2.5</v>
      </c>
      <c r="I24" s="212">
        <v>-2.5</v>
      </c>
      <c r="J24" s="212">
        <v>-2.5</v>
      </c>
      <c r="K24" s="212">
        <v>-2.5</v>
      </c>
      <c r="L24" s="212">
        <v>-2.5</v>
      </c>
      <c r="M24" s="212">
        <v>-2.5</v>
      </c>
      <c r="N24" s="212">
        <v>-2.5</v>
      </c>
      <c r="O24" s="212">
        <v>-2.5</v>
      </c>
      <c r="P24" s="212">
        <v>-2.5</v>
      </c>
      <c r="Q24" s="212">
        <v>0</v>
      </c>
      <c r="R24" s="212">
        <v>0</v>
      </c>
      <c r="S24" s="212">
        <v>0</v>
      </c>
      <c r="T24" s="212">
        <v>0</v>
      </c>
      <c r="U24" s="212">
        <v>0</v>
      </c>
      <c r="V24" s="212">
        <v>0</v>
      </c>
      <c r="W24" s="212">
        <v>2.5</v>
      </c>
      <c r="X24" s="212">
        <v>2.5</v>
      </c>
      <c r="Y24" s="212">
        <v>2.5</v>
      </c>
      <c r="Z24" s="212">
        <v>2.5</v>
      </c>
      <c r="AA24" s="212">
        <v>2.5</v>
      </c>
      <c r="AB24" s="212">
        <v>2.5</v>
      </c>
      <c r="AC24" s="212">
        <v>2.5</v>
      </c>
      <c r="AD24" s="212">
        <v>5</v>
      </c>
      <c r="AE24" s="212">
        <v>5</v>
      </c>
      <c r="AF24" s="212">
        <v>5</v>
      </c>
      <c r="AG24" s="212">
        <v>5</v>
      </c>
      <c r="AH24" s="212">
        <v>5</v>
      </c>
      <c r="AI24" s="212">
        <v>5</v>
      </c>
      <c r="AJ24" s="212">
        <v>7.5</v>
      </c>
      <c r="AK24" s="212">
        <v>7.5</v>
      </c>
      <c r="AL24" s="212">
        <v>7.5</v>
      </c>
      <c r="AM24" s="212">
        <v>7.5</v>
      </c>
      <c r="AN24" s="212">
        <v>7.5</v>
      </c>
      <c r="AO24" s="212">
        <v>7.5</v>
      </c>
      <c r="AP24" s="212">
        <v>7.5</v>
      </c>
      <c r="AQ24" s="212">
        <v>7.5</v>
      </c>
      <c r="AR24" s="212">
        <v>10</v>
      </c>
      <c r="AS24" s="212">
        <v>10</v>
      </c>
      <c r="AT24" s="212">
        <v>10</v>
      </c>
      <c r="AU24" s="212">
        <v>10</v>
      </c>
      <c r="AV24" s="212">
        <v>10</v>
      </c>
      <c r="AW24" s="212">
        <v>10</v>
      </c>
      <c r="AX24" s="212">
        <v>10</v>
      </c>
      <c r="AY24" s="212">
        <v>10</v>
      </c>
      <c r="AZ24" s="212">
        <v>10</v>
      </c>
      <c r="BA24" s="212">
        <v>10</v>
      </c>
      <c r="BB24" s="212">
        <v>10</v>
      </c>
      <c r="BC24" s="212">
        <v>10</v>
      </c>
      <c r="BD24" s="212">
        <v>10</v>
      </c>
      <c r="BE24" s="212">
        <v>10</v>
      </c>
      <c r="BF24" s="212">
        <v>10</v>
      </c>
      <c r="BG24" s="212">
        <v>10</v>
      </c>
      <c r="BH24" s="212">
        <v>10</v>
      </c>
      <c r="BI24" s="212">
        <v>10</v>
      </c>
      <c r="BJ24" s="212">
        <v>10</v>
      </c>
      <c r="BK24" s="212">
        <v>10</v>
      </c>
      <c r="BL24" s="212">
        <v>12.5</v>
      </c>
      <c r="BM24" s="212">
        <v>12.5</v>
      </c>
      <c r="BN24" s="212">
        <v>12.5</v>
      </c>
      <c r="BO24" s="212">
        <v>12.5</v>
      </c>
      <c r="BP24" s="212">
        <v>12.5</v>
      </c>
      <c r="BQ24" s="212">
        <v>12.5</v>
      </c>
      <c r="BR24" s="212">
        <v>12.5</v>
      </c>
      <c r="BS24" s="212">
        <v>12.5</v>
      </c>
      <c r="BT24" s="212">
        <v>12.5</v>
      </c>
      <c r="BU24" s="212">
        <v>12.5</v>
      </c>
      <c r="BV24" s="212">
        <v>12.5</v>
      </c>
      <c r="BW24" s="212">
        <v>12.5</v>
      </c>
      <c r="BX24" s="212">
        <v>12.5</v>
      </c>
      <c r="BY24" s="212">
        <v>12.5</v>
      </c>
      <c r="BZ24" s="212">
        <v>12.5</v>
      </c>
      <c r="CA24" s="212">
        <v>12.5</v>
      </c>
      <c r="CB24" s="212">
        <v>12.5</v>
      </c>
      <c r="CC24" s="212">
        <v>12.5</v>
      </c>
      <c r="CD24" s="212">
        <v>12.5</v>
      </c>
      <c r="CE24" s="212">
        <v>12.5</v>
      </c>
      <c r="CF24" s="212">
        <v>15</v>
      </c>
      <c r="CG24" s="212">
        <v>15</v>
      </c>
      <c r="CH24" s="212">
        <v>15</v>
      </c>
      <c r="CI24" s="212">
        <v>15</v>
      </c>
      <c r="CJ24" s="212">
        <v>15</v>
      </c>
      <c r="CK24" s="212">
        <v>15</v>
      </c>
      <c r="CL24" s="212">
        <v>15</v>
      </c>
      <c r="CM24" s="212">
        <v>15</v>
      </c>
      <c r="CN24" s="212">
        <v>15</v>
      </c>
      <c r="CO24" s="212">
        <v>15</v>
      </c>
      <c r="CP24" s="212">
        <v>17.5</v>
      </c>
      <c r="CQ24" s="212">
        <v>17.5</v>
      </c>
      <c r="CR24" s="212">
        <v>17.5</v>
      </c>
      <c r="CS24" s="212">
        <v>17.5</v>
      </c>
      <c r="CT24" s="212">
        <v>17.5</v>
      </c>
      <c r="CU24" s="212">
        <v>17.5</v>
      </c>
      <c r="CV24" s="212">
        <v>17.5</v>
      </c>
      <c r="CW24" s="212">
        <v>17.5</v>
      </c>
      <c r="CX24" s="212">
        <v>17.5</v>
      </c>
      <c r="CY24" s="212">
        <v>17.5</v>
      </c>
      <c r="CZ24" s="212">
        <v>17.5</v>
      </c>
      <c r="DA24" s="212">
        <v>20</v>
      </c>
      <c r="DB24" s="212">
        <v>20</v>
      </c>
      <c r="DC24" s="212">
        <v>20</v>
      </c>
      <c r="DD24" s="212">
        <v>20</v>
      </c>
      <c r="DE24" s="212">
        <v>20</v>
      </c>
      <c r="DF24" s="212">
        <v>20</v>
      </c>
      <c r="DG24" s="212">
        <v>20</v>
      </c>
      <c r="DH24" s="212">
        <v>20</v>
      </c>
      <c r="DI24" s="212">
        <v>20</v>
      </c>
      <c r="DJ24" s="212">
        <v>20</v>
      </c>
      <c r="DK24" s="212">
        <v>22.5</v>
      </c>
      <c r="DL24" s="212">
        <v>22.5</v>
      </c>
      <c r="DM24" s="212">
        <v>22.5</v>
      </c>
      <c r="DN24" s="212">
        <v>22.5</v>
      </c>
      <c r="DO24" s="212">
        <v>22.5</v>
      </c>
      <c r="DP24" s="212">
        <v>22.5</v>
      </c>
      <c r="DQ24" s="212">
        <v>22.5</v>
      </c>
      <c r="DR24" s="212">
        <v>22.5</v>
      </c>
    </row>
    <row r="25" spans="1:122" ht="22.5" customHeight="1" x14ac:dyDescent="0.45">
      <c r="A25" s="211">
        <v>77</v>
      </c>
      <c r="B25" s="212">
        <v>-2.5</v>
      </c>
      <c r="C25" s="212">
        <v>-2.5</v>
      </c>
      <c r="D25" s="212">
        <v>-2.5</v>
      </c>
      <c r="E25" s="212">
        <v>-2.5</v>
      </c>
      <c r="F25" s="212">
        <v>-2.5</v>
      </c>
      <c r="G25" s="212">
        <v>-2.5</v>
      </c>
      <c r="H25" s="212">
        <v>-2.5</v>
      </c>
      <c r="I25" s="212">
        <v>-2.5</v>
      </c>
      <c r="J25" s="212">
        <v>-2.5</v>
      </c>
      <c r="K25" s="212">
        <v>-2.5</v>
      </c>
      <c r="L25" s="212">
        <v>-2.5</v>
      </c>
      <c r="M25" s="212">
        <v>-2.5</v>
      </c>
      <c r="N25" s="212">
        <v>-2.5</v>
      </c>
      <c r="O25" s="212">
        <v>-2.5</v>
      </c>
      <c r="P25" s="212">
        <v>-2.5</v>
      </c>
      <c r="Q25" s="212">
        <v>0</v>
      </c>
      <c r="R25" s="212">
        <v>0</v>
      </c>
      <c r="S25" s="212">
        <v>0</v>
      </c>
      <c r="T25" s="212">
        <v>0</v>
      </c>
      <c r="U25" s="212">
        <v>0</v>
      </c>
      <c r="V25" s="212">
        <v>0</v>
      </c>
      <c r="W25" s="212">
        <v>2.5</v>
      </c>
      <c r="X25" s="212">
        <v>2.5</v>
      </c>
      <c r="Y25" s="212">
        <v>2.5</v>
      </c>
      <c r="Z25" s="212">
        <v>2.5</v>
      </c>
      <c r="AA25" s="212">
        <v>2.5</v>
      </c>
      <c r="AB25" s="212">
        <v>2.5</v>
      </c>
      <c r="AC25" s="212">
        <v>2.5</v>
      </c>
      <c r="AD25" s="212">
        <v>5</v>
      </c>
      <c r="AE25" s="212">
        <v>5</v>
      </c>
      <c r="AF25" s="212">
        <v>5</v>
      </c>
      <c r="AG25" s="212">
        <v>5</v>
      </c>
      <c r="AH25" s="212">
        <v>5</v>
      </c>
      <c r="AI25" s="212">
        <v>5</v>
      </c>
      <c r="AJ25" s="212">
        <v>5</v>
      </c>
      <c r="AK25" s="212">
        <v>7.5</v>
      </c>
      <c r="AL25" s="212">
        <v>7.5</v>
      </c>
      <c r="AM25" s="212">
        <v>7.5</v>
      </c>
      <c r="AN25" s="212">
        <v>7.5</v>
      </c>
      <c r="AO25" s="212">
        <v>7.5</v>
      </c>
      <c r="AP25" s="212">
        <v>7.5</v>
      </c>
      <c r="AQ25" s="212">
        <v>7.5</v>
      </c>
      <c r="AR25" s="212">
        <v>7.5</v>
      </c>
      <c r="AS25" s="212">
        <v>10</v>
      </c>
      <c r="AT25" s="212">
        <v>10</v>
      </c>
      <c r="AU25" s="212">
        <v>10</v>
      </c>
      <c r="AV25" s="212">
        <v>10</v>
      </c>
      <c r="AW25" s="212">
        <v>10</v>
      </c>
      <c r="AX25" s="212">
        <v>10</v>
      </c>
      <c r="AY25" s="212">
        <v>10</v>
      </c>
      <c r="AZ25" s="212">
        <v>10</v>
      </c>
      <c r="BA25" s="212">
        <v>10</v>
      </c>
      <c r="BB25" s="212">
        <v>10</v>
      </c>
      <c r="BC25" s="212">
        <v>10</v>
      </c>
      <c r="BD25" s="212">
        <v>10</v>
      </c>
      <c r="BE25" s="212">
        <v>10</v>
      </c>
      <c r="BF25" s="212">
        <v>10</v>
      </c>
      <c r="BG25" s="212">
        <v>10</v>
      </c>
      <c r="BH25" s="212">
        <v>10</v>
      </c>
      <c r="BI25" s="212">
        <v>10</v>
      </c>
      <c r="BJ25" s="212">
        <v>10</v>
      </c>
      <c r="BK25" s="212">
        <v>10</v>
      </c>
      <c r="BL25" s="212">
        <v>10</v>
      </c>
      <c r="BM25" s="212">
        <v>12.5</v>
      </c>
      <c r="BN25" s="212">
        <v>12.5</v>
      </c>
      <c r="BO25" s="212">
        <v>12.5</v>
      </c>
      <c r="BP25" s="212">
        <v>12.5</v>
      </c>
      <c r="BQ25" s="212">
        <v>12.5</v>
      </c>
      <c r="BR25" s="212">
        <v>12.5</v>
      </c>
      <c r="BS25" s="212">
        <v>12.5</v>
      </c>
      <c r="BT25" s="212">
        <v>12.5</v>
      </c>
      <c r="BU25" s="212">
        <v>12.5</v>
      </c>
      <c r="BV25" s="212">
        <v>12.5</v>
      </c>
      <c r="BW25" s="212">
        <v>12.5</v>
      </c>
      <c r="BX25" s="212">
        <v>12.5</v>
      </c>
      <c r="BY25" s="212">
        <v>12.5</v>
      </c>
      <c r="BZ25" s="212">
        <v>12.5</v>
      </c>
      <c r="CA25" s="212">
        <v>12.5</v>
      </c>
      <c r="CB25" s="212">
        <v>12.5</v>
      </c>
      <c r="CC25" s="212">
        <v>12.5</v>
      </c>
      <c r="CD25" s="212">
        <v>12.5</v>
      </c>
      <c r="CE25" s="212">
        <v>12.5</v>
      </c>
      <c r="CF25" s="212">
        <v>15</v>
      </c>
      <c r="CG25" s="212">
        <v>15</v>
      </c>
      <c r="CH25" s="212">
        <v>15</v>
      </c>
      <c r="CI25" s="212">
        <v>15</v>
      </c>
      <c r="CJ25" s="212">
        <v>15</v>
      </c>
      <c r="CK25" s="212">
        <v>15</v>
      </c>
      <c r="CL25" s="212">
        <v>15</v>
      </c>
      <c r="CM25" s="212">
        <v>15</v>
      </c>
      <c r="CN25" s="212">
        <v>15</v>
      </c>
      <c r="CO25" s="212">
        <v>15</v>
      </c>
      <c r="CP25" s="212">
        <v>15</v>
      </c>
      <c r="CQ25" s="212">
        <v>17.5</v>
      </c>
      <c r="CR25" s="212">
        <v>17.5</v>
      </c>
      <c r="CS25" s="212">
        <v>17.5</v>
      </c>
      <c r="CT25" s="212">
        <v>17.5</v>
      </c>
      <c r="CU25" s="212">
        <v>17.5</v>
      </c>
      <c r="CV25" s="212">
        <v>17.5</v>
      </c>
      <c r="CW25" s="212">
        <v>17.5</v>
      </c>
      <c r="CX25" s="212">
        <v>17.5</v>
      </c>
      <c r="CY25" s="212">
        <v>17.5</v>
      </c>
      <c r="CZ25" s="212">
        <v>17.5</v>
      </c>
      <c r="DA25" s="212">
        <v>17.5</v>
      </c>
      <c r="DB25" s="212">
        <v>20</v>
      </c>
      <c r="DC25" s="212">
        <v>20</v>
      </c>
      <c r="DD25" s="212">
        <v>20</v>
      </c>
      <c r="DE25" s="212">
        <v>20</v>
      </c>
      <c r="DF25" s="212">
        <v>20</v>
      </c>
      <c r="DG25" s="212">
        <v>20</v>
      </c>
      <c r="DH25" s="212">
        <v>20</v>
      </c>
      <c r="DI25" s="212">
        <v>20</v>
      </c>
      <c r="DJ25" s="212">
        <v>20</v>
      </c>
      <c r="DK25" s="212">
        <v>20</v>
      </c>
      <c r="DL25" s="212">
        <v>20</v>
      </c>
      <c r="DM25" s="212">
        <v>22.5</v>
      </c>
      <c r="DN25" s="212">
        <v>22.5</v>
      </c>
      <c r="DO25" s="212">
        <v>22.5</v>
      </c>
      <c r="DP25" s="212">
        <v>22.5</v>
      </c>
      <c r="DQ25" s="212">
        <v>22.5</v>
      </c>
      <c r="DR25" s="212">
        <v>22.5</v>
      </c>
    </row>
    <row r="26" spans="1:122" ht="22.5" customHeight="1" x14ac:dyDescent="0.45">
      <c r="A26" s="211">
        <v>76</v>
      </c>
      <c r="B26" s="212">
        <v>-2.5</v>
      </c>
      <c r="C26" s="212">
        <v>-2.5</v>
      </c>
      <c r="D26" s="212">
        <v>-2.5</v>
      </c>
      <c r="E26" s="212">
        <v>-2.5</v>
      </c>
      <c r="F26" s="212">
        <v>-2.5</v>
      </c>
      <c r="G26" s="212">
        <v>-2.5</v>
      </c>
      <c r="H26" s="212">
        <v>-2.5</v>
      </c>
      <c r="I26" s="212">
        <v>-2.5</v>
      </c>
      <c r="J26" s="212">
        <v>-2.5</v>
      </c>
      <c r="K26" s="212">
        <v>-2.5</v>
      </c>
      <c r="L26" s="212">
        <v>-2.5</v>
      </c>
      <c r="M26" s="212">
        <v>-2.5</v>
      </c>
      <c r="N26" s="212">
        <v>-2.5</v>
      </c>
      <c r="O26" s="212">
        <v>-2.5</v>
      </c>
      <c r="P26" s="212">
        <v>-2.5</v>
      </c>
      <c r="Q26" s="212">
        <v>0</v>
      </c>
      <c r="R26" s="212">
        <v>0</v>
      </c>
      <c r="S26" s="212">
        <v>0</v>
      </c>
      <c r="T26" s="212">
        <v>0</v>
      </c>
      <c r="U26" s="212">
        <v>0</v>
      </c>
      <c r="V26" s="212">
        <v>0</v>
      </c>
      <c r="W26" s="212">
        <v>0</v>
      </c>
      <c r="X26" s="212">
        <v>2.5</v>
      </c>
      <c r="Y26" s="212">
        <v>2.5</v>
      </c>
      <c r="Z26" s="212">
        <v>2.5</v>
      </c>
      <c r="AA26" s="212">
        <v>2.5</v>
      </c>
      <c r="AB26" s="212">
        <v>2.5</v>
      </c>
      <c r="AC26" s="212">
        <v>2.5</v>
      </c>
      <c r="AD26" s="212">
        <v>5</v>
      </c>
      <c r="AE26" s="212">
        <v>5</v>
      </c>
      <c r="AF26" s="212">
        <v>5</v>
      </c>
      <c r="AG26" s="212">
        <v>5</v>
      </c>
      <c r="AH26" s="212">
        <v>5</v>
      </c>
      <c r="AI26" s="212">
        <v>5</v>
      </c>
      <c r="AJ26" s="212">
        <v>5</v>
      </c>
      <c r="AK26" s="212">
        <v>7.5</v>
      </c>
      <c r="AL26" s="212">
        <v>7.5</v>
      </c>
      <c r="AM26" s="212">
        <v>7.5</v>
      </c>
      <c r="AN26" s="212">
        <v>7.5</v>
      </c>
      <c r="AO26" s="212">
        <v>7.5</v>
      </c>
      <c r="AP26" s="212">
        <v>7.5</v>
      </c>
      <c r="AQ26" s="212">
        <v>7.5</v>
      </c>
      <c r="AR26" s="212">
        <v>7.5</v>
      </c>
      <c r="AS26" s="212">
        <v>7.5</v>
      </c>
      <c r="AT26" s="212">
        <v>10</v>
      </c>
      <c r="AU26" s="212">
        <v>10</v>
      </c>
      <c r="AV26" s="212">
        <v>10</v>
      </c>
      <c r="AW26" s="212">
        <v>10</v>
      </c>
      <c r="AX26" s="212">
        <v>10</v>
      </c>
      <c r="AY26" s="212">
        <v>10</v>
      </c>
      <c r="AZ26" s="212">
        <v>10</v>
      </c>
      <c r="BA26" s="212">
        <v>10</v>
      </c>
      <c r="BB26" s="212">
        <v>10</v>
      </c>
      <c r="BC26" s="212">
        <v>10</v>
      </c>
      <c r="BD26" s="212">
        <v>10</v>
      </c>
      <c r="BE26" s="212">
        <v>10</v>
      </c>
      <c r="BF26" s="212">
        <v>10</v>
      </c>
      <c r="BG26" s="212">
        <v>10</v>
      </c>
      <c r="BH26" s="212">
        <v>10</v>
      </c>
      <c r="BI26" s="212">
        <v>10</v>
      </c>
      <c r="BJ26" s="212">
        <v>10</v>
      </c>
      <c r="BK26" s="212">
        <v>10</v>
      </c>
      <c r="BL26" s="212">
        <v>10</v>
      </c>
      <c r="BM26" s="212">
        <v>10</v>
      </c>
      <c r="BN26" s="212">
        <v>12.5</v>
      </c>
      <c r="BO26" s="212">
        <v>12.5</v>
      </c>
      <c r="BP26" s="212">
        <v>12.5</v>
      </c>
      <c r="BQ26" s="212">
        <v>12.5</v>
      </c>
      <c r="BR26" s="212">
        <v>12.5</v>
      </c>
      <c r="BS26" s="212">
        <v>12.5</v>
      </c>
      <c r="BT26" s="212">
        <v>12.5</v>
      </c>
      <c r="BU26" s="212">
        <v>12.5</v>
      </c>
      <c r="BV26" s="212">
        <v>12.5</v>
      </c>
      <c r="BW26" s="212">
        <v>12.5</v>
      </c>
      <c r="BX26" s="212">
        <v>12.5</v>
      </c>
      <c r="BY26" s="212">
        <v>12.5</v>
      </c>
      <c r="BZ26" s="212">
        <v>12.5</v>
      </c>
      <c r="CA26" s="212">
        <v>12.5</v>
      </c>
      <c r="CB26" s="212">
        <v>12.5</v>
      </c>
      <c r="CC26" s="212">
        <v>12.5</v>
      </c>
      <c r="CD26" s="212">
        <v>12.5</v>
      </c>
      <c r="CE26" s="212">
        <v>12.5</v>
      </c>
      <c r="CF26" s="212">
        <v>12.5</v>
      </c>
      <c r="CG26" s="212">
        <v>15</v>
      </c>
      <c r="CH26" s="212">
        <v>15</v>
      </c>
      <c r="CI26" s="212">
        <v>15</v>
      </c>
      <c r="CJ26" s="212">
        <v>15</v>
      </c>
      <c r="CK26" s="212">
        <v>15</v>
      </c>
      <c r="CL26" s="212">
        <v>15</v>
      </c>
      <c r="CM26" s="212">
        <v>15</v>
      </c>
      <c r="CN26" s="212">
        <v>15</v>
      </c>
      <c r="CO26" s="212">
        <v>15</v>
      </c>
      <c r="CP26" s="212">
        <v>15</v>
      </c>
      <c r="CQ26" s="212">
        <v>15</v>
      </c>
      <c r="CR26" s="212">
        <v>17.5</v>
      </c>
      <c r="CS26" s="212">
        <v>17.5</v>
      </c>
      <c r="CT26" s="212">
        <v>17.5</v>
      </c>
      <c r="CU26" s="212">
        <v>17.5</v>
      </c>
      <c r="CV26" s="212">
        <v>17.5</v>
      </c>
      <c r="CW26" s="212">
        <v>17.5</v>
      </c>
      <c r="CX26" s="212">
        <v>17.5</v>
      </c>
      <c r="CY26" s="212">
        <v>17.5</v>
      </c>
      <c r="CZ26" s="212">
        <v>17.5</v>
      </c>
      <c r="DA26" s="212">
        <v>17.5</v>
      </c>
      <c r="DB26" s="212">
        <v>17.5</v>
      </c>
      <c r="DC26" s="212">
        <v>20</v>
      </c>
      <c r="DD26" s="212">
        <v>20</v>
      </c>
      <c r="DE26" s="212">
        <v>20</v>
      </c>
      <c r="DF26" s="212">
        <v>20</v>
      </c>
      <c r="DG26" s="212">
        <v>20</v>
      </c>
      <c r="DH26" s="212">
        <v>20</v>
      </c>
      <c r="DI26" s="212">
        <v>20</v>
      </c>
      <c r="DJ26" s="212">
        <v>20</v>
      </c>
      <c r="DK26" s="212">
        <v>20</v>
      </c>
      <c r="DL26" s="212">
        <v>20</v>
      </c>
      <c r="DM26" s="212">
        <v>20</v>
      </c>
      <c r="DN26" s="212">
        <v>22.5</v>
      </c>
      <c r="DO26" s="212">
        <v>22.5</v>
      </c>
      <c r="DP26" s="212">
        <v>22.5</v>
      </c>
      <c r="DQ26" s="212">
        <v>22.5</v>
      </c>
      <c r="DR26" s="212">
        <v>22.5</v>
      </c>
    </row>
    <row r="27" spans="1:122" ht="22.5" customHeight="1" x14ac:dyDescent="0.45">
      <c r="A27" s="211">
        <v>75</v>
      </c>
      <c r="B27" s="212">
        <v>-2.5</v>
      </c>
      <c r="C27" s="212">
        <v>-2.5</v>
      </c>
      <c r="D27" s="212">
        <v>-2.5</v>
      </c>
      <c r="E27" s="212">
        <v>-2.5</v>
      </c>
      <c r="F27" s="212">
        <v>-2.5</v>
      </c>
      <c r="G27" s="212">
        <v>-2.5</v>
      </c>
      <c r="H27" s="212">
        <v>-2.5</v>
      </c>
      <c r="I27" s="212">
        <v>-2.5</v>
      </c>
      <c r="J27" s="212">
        <v>-2.5</v>
      </c>
      <c r="K27" s="212">
        <v>-2.5</v>
      </c>
      <c r="L27" s="212">
        <v>-2.5</v>
      </c>
      <c r="M27" s="212">
        <v>-2.5</v>
      </c>
      <c r="N27" s="212">
        <v>-2.5</v>
      </c>
      <c r="O27" s="212">
        <v>-2.5</v>
      </c>
      <c r="P27" s="212">
        <v>-2.5</v>
      </c>
      <c r="Q27" s="212">
        <v>-2.5</v>
      </c>
      <c r="R27" s="212">
        <v>0</v>
      </c>
      <c r="S27" s="212">
        <v>0</v>
      </c>
      <c r="T27" s="212">
        <v>0</v>
      </c>
      <c r="U27" s="212">
        <v>0</v>
      </c>
      <c r="V27" s="212">
        <v>0</v>
      </c>
      <c r="W27" s="212">
        <v>0</v>
      </c>
      <c r="X27" s="212">
        <v>2.5</v>
      </c>
      <c r="Y27" s="212">
        <v>2.5</v>
      </c>
      <c r="Z27" s="212">
        <v>2.5</v>
      </c>
      <c r="AA27" s="212">
        <v>2.5</v>
      </c>
      <c r="AB27" s="212">
        <v>2.5</v>
      </c>
      <c r="AC27" s="212">
        <v>2.5</v>
      </c>
      <c r="AD27" s="212">
        <v>2.5</v>
      </c>
      <c r="AE27" s="212">
        <v>5</v>
      </c>
      <c r="AF27" s="212">
        <v>5</v>
      </c>
      <c r="AG27" s="212">
        <v>5</v>
      </c>
      <c r="AH27" s="212">
        <v>5</v>
      </c>
      <c r="AI27" s="212">
        <v>5</v>
      </c>
      <c r="AJ27" s="212">
        <v>5</v>
      </c>
      <c r="AK27" s="212">
        <v>7.5</v>
      </c>
      <c r="AL27" s="212">
        <v>7.5</v>
      </c>
      <c r="AM27" s="212">
        <v>7.5</v>
      </c>
      <c r="AN27" s="212">
        <v>7.5</v>
      </c>
      <c r="AO27" s="212">
        <v>7.5</v>
      </c>
      <c r="AP27" s="212">
        <v>7.5</v>
      </c>
      <c r="AQ27" s="212">
        <v>7.5</v>
      </c>
      <c r="AR27" s="212">
        <v>7.5</v>
      </c>
      <c r="AS27" s="212">
        <v>7.5</v>
      </c>
      <c r="AT27" s="212">
        <v>7.5</v>
      </c>
      <c r="AU27" s="212">
        <v>10</v>
      </c>
      <c r="AV27" s="212">
        <v>10</v>
      </c>
      <c r="AW27" s="212">
        <v>10</v>
      </c>
      <c r="AX27" s="212">
        <v>10</v>
      </c>
      <c r="AY27" s="212">
        <v>10</v>
      </c>
      <c r="AZ27" s="212">
        <v>10</v>
      </c>
      <c r="BA27" s="212">
        <v>10</v>
      </c>
      <c r="BB27" s="212">
        <v>10</v>
      </c>
      <c r="BC27" s="212">
        <v>10</v>
      </c>
      <c r="BD27" s="212">
        <v>10</v>
      </c>
      <c r="BE27" s="212">
        <v>10</v>
      </c>
      <c r="BF27" s="212">
        <v>10</v>
      </c>
      <c r="BG27" s="212">
        <v>10</v>
      </c>
      <c r="BH27" s="212">
        <v>10</v>
      </c>
      <c r="BI27" s="212">
        <v>10</v>
      </c>
      <c r="BJ27" s="212">
        <v>10</v>
      </c>
      <c r="BK27" s="212">
        <v>10</v>
      </c>
      <c r="BL27" s="212">
        <v>10</v>
      </c>
      <c r="BM27" s="212">
        <v>10</v>
      </c>
      <c r="BN27" s="212">
        <v>10</v>
      </c>
      <c r="BO27" s="212">
        <v>12.5</v>
      </c>
      <c r="BP27" s="212">
        <v>12.5</v>
      </c>
      <c r="BQ27" s="212">
        <v>12.5</v>
      </c>
      <c r="BR27" s="212">
        <v>12.5</v>
      </c>
      <c r="BS27" s="212">
        <v>12.5</v>
      </c>
      <c r="BT27" s="212">
        <v>12.5</v>
      </c>
      <c r="BU27" s="212">
        <v>12.5</v>
      </c>
      <c r="BV27" s="212">
        <v>12.5</v>
      </c>
      <c r="BW27" s="212">
        <v>12.5</v>
      </c>
      <c r="BX27" s="212">
        <v>12.5</v>
      </c>
      <c r="BY27" s="212">
        <v>12.5</v>
      </c>
      <c r="BZ27" s="212">
        <v>12.5</v>
      </c>
      <c r="CA27" s="212">
        <v>12.5</v>
      </c>
      <c r="CB27" s="212">
        <v>12.5</v>
      </c>
      <c r="CC27" s="212">
        <v>12.5</v>
      </c>
      <c r="CD27" s="212">
        <v>12.5</v>
      </c>
      <c r="CE27" s="212">
        <v>12.5</v>
      </c>
      <c r="CF27" s="212">
        <v>12.5</v>
      </c>
      <c r="CG27" s="212">
        <v>15</v>
      </c>
      <c r="CH27" s="212">
        <v>15</v>
      </c>
      <c r="CI27" s="212">
        <v>15</v>
      </c>
      <c r="CJ27" s="212">
        <v>15</v>
      </c>
      <c r="CK27" s="212">
        <v>15</v>
      </c>
      <c r="CL27" s="212">
        <v>15</v>
      </c>
      <c r="CM27" s="212">
        <v>15</v>
      </c>
      <c r="CN27" s="212">
        <v>15</v>
      </c>
      <c r="CO27" s="212">
        <v>15</v>
      </c>
      <c r="CP27" s="212">
        <v>15</v>
      </c>
      <c r="CQ27" s="212">
        <v>15</v>
      </c>
      <c r="CR27" s="212">
        <v>15</v>
      </c>
      <c r="CS27" s="212">
        <v>17.5</v>
      </c>
      <c r="CT27" s="212">
        <v>17.5</v>
      </c>
      <c r="CU27" s="212">
        <v>17.5</v>
      </c>
      <c r="CV27" s="212">
        <v>17.5</v>
      </c>
      <c r="CW27" s="212">
        <v>17.5</v>
      </c>
      <c r="CX27" s="212">
        <v>17.5</v>
      </c>
      <c r="CY27" s="212">
        <v>17.5</v>
      </c>
      <c r="CZ27" s="212">
        <v>17.5</v>
      </c>
      <c r="DA27" s="212">
        <v>17.5</v>
      </c>
      <c r="DB27" s="212">
        <v>17.5</v>
      </c>
      <c r="DC27" s="212">
        <v>17.5</v>
      </c>
      <c r="DD27" s="212">
        <v>20</v>
      </c>
      <c r="DE27" s="212">
        <v>20</v>
      </c>
      <c r="DF27" s="212">
        <v>20</v>
      </c>
      <c r="DG27" s="212">
        <v>20</v>
      </c>
      <c r="DH27" s="212">
        <v>20</v>
      </c>
      <c r="DI27" s="212">
        <v>20</v>
      </c>
      <c r="DJ27" s="212">
        <v>20</v>
      </c>
      <c r="DK27" s="212">
        <v>20</v>
      </c>
      <c r="DL27" s="212">
        <v>20</v>
      </c>
      <c r="DM27" s="212">
        <v>20</v>
      </c>
      <c r="DN27" s="212">
        <v>20</v>
      </c>
      <c r="DO27" s="212">
        <v>20</v>
      </c>
      <c r="DP27" s="212">
        <v>22.5</v>
      </c>
      <c r="DQ27" s="212">
        <v>22.5</v>
      </c>
      <c r="DR27" s="212">
        <v>22.5</v>
      </c>
    </row>
    <row r="28" spans="1:122" ht="22.5" customHeight="1" x14ac:dyDescent="0.45">
      <c r="A28" s="211">
        <v>74</v>
      </c>
      <c r="B28" s="212">
        <v>-2.5</v>
      </c>
      <c r="C28" s="212">
        <v>-2.5</v>
      </c>
      <c r="D28" s="212">
        <v>-2.5</v>
      </c>
      <c r="E28" s="212">
        <v>-2.5</v>
      </c>
      <c r="F28" s="212">
        <v>-2.5</v>
      </c>
      <c r="G28" s="212">
        <v>-2.5</v>
      </c>
      <c r="H28" s="212">
        <v>-2.5</v>
      </c>
      <c r="I28" s="212">
        <v>-2.5</v>
      </c>
      <c r="J28" s="212">
        <v>-2.5</v>
      </c>
      <c r="K28" s="212">
        <v>-2.5</v>
      </c>
      <c r="L28" s="212">
        <v>-2.5</v>
      </c>
      <c r="M28" s="212">
        <v>-2.5</v>
      </c>
      <c r="N28" s="212">
        <v>-2.5</v>
      </c>
      <c r="O28" s="212">
        <v>-2.5</v>
      </c>
      <c r="P28" s="212">
        <v>-2.5</v>
      </c>
      <c r="Q28" s="212">
        <v>-2.5</v>
      </c>
      <c r="R28" s="212">
        <v>0</v>
      </c>
      <c r="S28" s="212">
        <v>0</v>
      </c>
      <c r="T28" s="212">
        <v>0</v>
      </c>
      <c r="U28" s="212">
        <v>0</v>
      </c>
      <c r="V28" s="212">
        <v>0</v>
      </c>
      <c r="W28" s="212">
        <v>0</v>
      </c>
      <c r="X28" s="212">
        <v>2.5</v>
      </c>
      <c r="Y28" s="212">
        <v>2.5</v>
      </c>
      <c r="Z28" s="212">
        <v>2.5</v>
      </c>
      <c r="AA28" s="212">
        <v>2.5</v>
      </c>
      <c r="AB28" s="212">
        <v>2.5</v>
      </c>
      <c r="AC28" s="212">
        <v>2.5</v>
      </c>
      <c r="AD28" s="212">
        <v>2.5</v>
      </c>
      <c r="AE28" s="212">
        <v>5</v>
      </c>
      <c r="AF28" s="212">
        <v>5</v>
      </c>
      <c r="AG28" s="212">
        <v>5</v>
      </c>
      <c r="AH28" s="212">
        <v>5</v>
      </c>
      <c r="AI28" s="212">
        <v>5</v>
      </c>
      <c r="AJ28" s="212">
        <v>5</v>
      </c>
      <c r="AK28" s="212">
        <v>5</v>
      </c>
      <c r="AL28" s="212">
        <v>7.5</v>
      </c>
      <c r="AM28" s="212">
        <v>7.5</v>
      </c>
      <c r="AN28" s="212">
        <v>7.5</v>
      </c>
      <c r="AO28" s="212">
        <v>7.5</v>
      </c>
      <c r="AP28" s="212">
        <v>7.5</v>
      </c>
      <c r="AQ28" s="212">
        <v>7.5</v>
      </c>
      <c r="AR28" s="212">
        <v>7.5</v>
      </c>
      <c r="AS28" s="212">
        <v>7.5</v>
      </c>
      <c r="AT28" s="212">
        <v>7.5</v>
      </c>
      <c r="AU28" s="212">
        <v>7.5</v>
      </c>
      <c r="AV28" s="212">
        <v>10</v>
      </c>
      <c r="AW28" s="212">
        <v>10</v>
      </c>
      <c r="AX28" s="212">
        <v>10</v>
      </c>
      <c r="AY28" s="212">
        <v>10</v>
      </c>
      <c r="AZ28" s="212">
        <v>10</v>
      </c>
      <c r="BA28" s="212">
        <v>10</v>
      </c>
      <c r="BB28" s="212">
        <v>10</v>
      </c>
      <c r="BC28" s="212">
        <v>10</v>
      </c>
      <c r="BD28" s="212">
        <v>10</v>
      </c>
      <c r="BE28" s="212">
        <v>10</v>
      </c>
      <c r="BF28" s="212">
        <v>10</v>
      </c>
      <c r="BG28" s="212">
        <v>10</v>
      </c>
      <c r="BH28" s="212">
        <v>10</v>
      </c>
      <c r="BI28" s="212">
        <v>10</v>
      </c>
      <c r="BJ28" s="212">
        <v>10</v>
      </c>
      <c r="BK28" s="212">
        <v>10</v>
      </c>
      <c r="BL28" s="212">
        <v>10</v>
      </c>
      <c r="BM28" s="212">
        <v>10</v>
      </c>
      <c r="BN28" s="212">
        <v>10</v>
      </c>
      <c r="BO28" s="212">
        <v>10</v>
      </c>
      <c r="BP28" s="212">
        <v>12.5</v>
      </c>
      <c r="BQ28" s="212">
        <v>12.5</v>
      </c>
      <c r="BR28" s="212">
        <v>12.5</v>
      </c>
      <c r="BS28" s="212">
        <v>12.5</v>
      </c>
      <c r="BT28" s="212">
        <v>12.5</v>
      </c>
      <c r="BU28" s="212">
        <v>12.5</v>
      </c>
      <c r="BV28" s="212">
        <v>12.5</v>
      </c>
      <c r="BW28" s="212">
        <v>12.5</v>
      </c>
      <c r="BX28" s="212">
        <v>12.5</v>
      </c>
      <c r="BY28" s="212">
        <v>12.5</v>
      </c>
      <c r="BZ28" s="212">
        <v>12.5</v>
      </c>
      <c r="CA28" s="212">
        <v>12.5</v>
      </c>
      <c r="CB28" s="212">
        <v>12.5</v>
      </c>
      <c r="CC28" s="212">
        <v>12.5</v>
      </c>
      <c r="CD28" s="212">
        <v>12.5</v>
      </c>
      <c r="CE28" s="212">
        <v>12.5</v>
      </c>
      <c r="CF28" s="212">
        <v>12.5</v>
      </c>
      <c r="CG28" s="212">
        <v>12.5</v>
      </c>
      <c r="CH28" s="212">
        <v>15</v>
      </c>
      <c r="CI28" s="212">
        <v>15</v>
      </c>
      <c r="CJ28" s="212">
        <v>15</v>
      </c>
      <c r="CK28" s="212">
        <v>15</v>
      </c>
      <c r="CL28" s="212">
        <v>15</v>
      </c>
      <c r="CM28" s="212">
        <v>15</v>
      </c>
      <c r="CN28" s="212">
        <v>15</v>
      </c>
      <c r="CO28" s="212">
        <v>15</v>
      </c>
      <c r="CP28" s="212">
        <v>15</v>
      </c>
      <c r="CQ28" s="212">
        <v>15</v>
      </c>
      <c r="CR28" s="212">
        <v>15</v>
      </c>
      <c r="CS28" s="212">
        <v>15</v>
      </c>
      <c r="CT28" s="212">
        <v>17.5</v>
      </c>
      <c r="CU28" s="212">
        <v>17.5</v>
      </c>
      <c r="CV28" s="212">
        <v>17.5</v>
      </c>
      <c r="CW28" s="212">
        <v>17.5</v>
      </c>
      <c r="CX28" s="212">
        <v>17.5</v>
      </c>
      <c r="CY28" s="212">
        <v>17.5</v>
      </c>
      <c r="CZ28" s="212">
        <v>17.5</v>
      </c>
      <c r="DA28" s="212">
        <v>17.5</v>
      </c>
      <c r="DB28" s="212">
        <v>17.5</v>
      </c>
      <c r="DC28" s="212">
        <v>17.5</v>
      </c>
      <c r="DD28" s="212">
        <v>17.5</v>
      </c>
      <c r="DE28" s="212">
        <v>17.5</v>
      </c>
      <c r="DF28" s="212">
        <v>20</v>
      </c>
      <c r="DG28" s="212">
        <v>20</v>
      </c>
      <c r="DH28" s="212">
        <v>20</v>
      </c>
      <c r="DI28" s="212">
        <v>20</v>
      </c>
      <c r="DJ28" s="212">
        <v>20</v>
      </c>
      <c r="DK28" s="212">
        <v>20</v>
      </c>
      <c r="DL28" s="212">
        <v>20</v>
      </c>
      <c r="DM28" s="212">
        <v>20</v>
      </c>
      <c r="DN28" s="212">
        <v>20</v>
      </c>
      <c r="DO28" s="212">
        <v>20</v>
      </c>
      <c r="DP28" s="212">
        <v>20</v>
      </c>
      <c r="DQ28" s="212">
        <v>22.5</v>
      </c>
      <c r="DR28" s="212">
        <v>22.5</v>
      </c>
    </row>
    <row r="29" spans="1:122" ht="22.5" customHeight="1" x14ac:dyDescent="0.45">
      <c r="A29" s="211">
        <v>73</v>
      </c>
      <c r="B29" s="212">
        <v>-2.5</v>
      </c>
      <c r="C29" s="212">
        <v>-2.5</v>
      </c>
      <c r="D29" s="212">
        <v>-2.5</v>
      </c>
      <c r="E29" s="212">
        <v>-2.5</v>
      </c>
      <c r="F29" s="212">
        <v>-2.5</v>
      </c>
      <c r="G29" s="212">
        <v>-2.5</v>
      </c>
      <c r="H29" s="212">
        <v>-2.5</v>
      </c>
      <c r="I29" s="212">
        <v>-2.5</v>
      </c>
      <c r="J29" s="212">
        <v>-2.5</v>
      </c>
      <c r="K29" s="212">
        <v>-2.5</v>
      </c>
      <c r="L29" s="212">
        <v>-2.5</v>
      </c>
      <c r="M29" s="212">
        <v>-2.5</v>
      </c>
      <c r="N29" s="212">
        <v>-2.5</v>
      </c>
      <c r="O29" s="212">
        <v>-2.5</v>
      </c>
      <c r="P29" s="212">
        <v>-2.5</v>
      </c>
      <c r="Q29" s="212">
        <v>-2.5</v>
      </c>
      <c r="R29" s="212">
        <v>0</v>
      </c>
      <c r="S29" s="212">
        <v>0</v>
      </c>
      <c r="T29" s="212">
        <v>0</v>
      </c>
      <c r="U29" s="212">
        <v>0</v>
      </c>
      <c r="V29" s="212">
        <v>0</v>
      </c>
      <c r="W29" s="212">
        <v>0</v>
      </c>
      <c r="X29" s="212">
        <v>0</v>
      </c>
      <c r="Y29" s="212">
        <v>2.5</v>
      </c>
      <c r="Z29" s="212">
        <v>2.5</v>
      </c>
      <c r="AA29" s="212">
        <v>2.5</v>
      </c>
      <c r="AB29" s="212">
        <v>2.5</v>
      </c>
      <c r="AC29" s="212">
        <v>2.5</v>
      </c>
      <c r="AD29" s="212">
        <v>2.5</v>
      </c>
      <c r="AE29" s="212">
        <v>5</v>
      </c>
      <c r="AF29" s="212">
        <v>5</v>
      </c>
      <c r="AG29" s="212">
        <v>5</v>
      </c>
      <c r="AH29" s="212">
        <v>5</v>
      </c>
      <c r="AI29" s="212">
        <v>5</v>
      </c>
      <c r="AJ29" s="212">
        <v>5</v>
      </c>
      <c r="AK29" s="212">
        <v>5</v>
      </c>
      <c r="AL29" s="212">
        <v>7.5</v>
      </c>
      <c r="AM29" s="212">
        <v>7.5</v>
      </c>
      <c r="AN29" s="212">
        <v>7.5</v>
      </c>
      <c r="AO29" s="212">
        <v>7.5</v>
      </c>
      <c r="AP29" s="212">
        <v>7.5</v>
      </c>
      <c r="AQ29" s="212">
        <v>7.5</v>
      </c>
      <c r="AR29" s="212">
        <v>7.5</v>
      </c>
      <c r="AS29" s="212">
        <v>7.5</v>
      </c>
      <c r="AT29" s="212">
        <v>7.5</v>
      </c>
      <c r="AU29" s="212">
        <v>7.5</v>
      </c>
      <c r="AV29" s="212">
        <v>7.5</v>
      </c>
      <c r="AW29" s="212">
        <v>10</v>
      </c>
      <c r="AX29" s="212">
        <v>10</v>
      </c>
      <c r="AY29" s="212">
        <v>10</v>
      </c>
      <c r="AZ29" s="212">
        <v>10</v>
      </c>
      <c r="BA29" s="212">
        <v>10</v>
      </c>
      <c r="BB29" s="212">
        <v>10</v>
      </c>
      <c r="BC29" s="212">
        <v>10</v>
      </c>
      <c r="BD29" s="212">
        <v>10</v>
      </c>
      <c r="BE29" s="212">
        <v>10</v>
      </c>
      <c r="BF29" s="212">
        <v>10</v>
      </c>
      <c r="BG29" s="212">
        <v>10</v>
      </c>
      <c r="BH29" s="212">
        <v>10</v>
      </c>
      <c r="BI29" s="212">
        <v>10</v>
      </c>
      <c r="BJ29" s="212">
        <v>10</v>
      </c>
      <c r="BK29" s="212">
        <v>10</v>
      </c>
      <c r="BL29" s="212">
        <v>10</v>
      </c>
      <c r="BM29" s="212">
        <v>10</v>
      </c>
      <c r="BN29" s="212">
        <v>10</v>
      </c>
      <c r="BO29" s="212">
        <v>10</v>
      </c>
      <c r="BP29" s="212">
        <v>10</v>
      </c>
      <c r="BQ29" s="212">
        <v>12.5</v>
      </c>
      <c r="BR29" s="212">
        <v>12.5</v>
      </c>
      <c r="BS29" s="212">
        <v>12.5</v>
      </c>
      <c r="BT29" s="212">
        <v>12.5</v>
      </c>
      <c r="BU29" s="212">
        <v>12.5</v>
      </c>
      <c r="BV29" s="212">
        <v>12.5</v>
      </c>
      <c r="BW29" s="212">
        <v>12.5</v>
      </c>
      <c r="BX29" s="212">
        <v>12.5</v>
      </c>
      <c r="BY29" s="212">
        <v>12.5</v>
      </c>
      <c r="BZ29" s="212">
        <v>12.5</v>
      </c>
      <c r="CA29" s="212">
        <v>12.5</v>
      </c>
      <c r="CB29" s="212">
        <v>12.5</v>
      </c>
      <c r="CC29" s="212">
        <v>12.5</v>
      </c>
      <c r="CD29" s="212">
        <v>12.5</v>
      </c>
      <c r="CE29" s="212">
        <v>12.5</v>
      </c>
      <c r="CF29" s="212">
        <v>12.5</v>
      </c>
      <c r="CG29" s="212">
        <v>12.5</v>
      </c>
      <c r="CH29" s="212">
        <v>12.5</v>
      </c>
      <c r="CI29" s="212">
        <v>15</v>
      </c>
      <c r="CJ29" s="212">
        <v>15</v>
      </c>
      <c r="CK29" s="212">
        <v>15</v>
      </c>
      <c r="CL29" s="212">
        <v>15</v>
      </c>
      <c r="CM29" s="212">
        <v>15</v>
      </c>
      <c r="CN29" s="212">
        <v>15</v>
      </c>
      <c r="CO29" s="212">
        <v>15</v>
      </c>
      <c r="CP29" s="212">
        <v>15</v>
      </c>
      <c r="CQ29" s="212">
        <v>15</v>
      </c>
      <c r="CR29" s="212">
        <v>15</v>
      </c>
      <c r="CS29" s="212">
        <v>15</v>
      </c>
      <c r="CT29" s="212">
        <v>15</v>
      </c>
      <c r="CU29" s="212">
        <v>17.5</v>
      </c>
      <c r="CV29" s="212">
        <v>17.5</v>
      </c>
      <c r="CW29" s="212">
        <v>17.5</v>
      </c>
      <c r="CX29" s="212">
        <v>17.5</v>
      </c>
      <c r="CY29" s="212">
        <v>17.5</v>
      </c>
      <c r="CZ29" s="212">
        <v>17.5</v>
      </c>
      <c r="DA29" s="212">
        <v>17.5</v>
      </c>
      <c r="DB29" s="212">
        <v>17.5</v>
      </c>
      <c r="DC29" s="212">
        <v>17.5</v>
      </c>
      <c r="DD29" s="212">
        <v>17.5</v>
      </c>
      <c r="DE29" s="212">
        <v>17.5</v>
      </c>
      <c r="DF29" s="212">
        <v>17.5</v>
      </c>
      <c r="DG29" s="212">
        <v>20</v>
      </c>
      <c r="DH29" s="212">
        <v>20</v>
      </c>
      <c r="DI29" s="212">
        <v>20</v>
      </c>
      <c r="DJ29" s="212">
        <v>20</v>
      </c>
      <c r="DK29" s="212">
        <v>20</v>
      </c>
      <c r="DL29" s="212">
        <v>20</v>
      </c>
      <c r="DM29" s="212">
        <v>20</v>
      </c>
      <c r="DN29" s="212">
        <v>20</v>
      </c>
      <c r="DO29" s="212">
        <v>20</v>
      </c>
      <c r="DP29" s="212">
        <v>20</v>
      </c>
      <c r="DQ29" s="212">
        <v>20</v>
      </c>
      <c r="DR29" s="212">
        <v>20</v>
      </c>
    </row>
    <row r="30" spans="1:122" ht="22.5" customHeight="1" x14ac:dyDescent="0.45">
      <c r="A30" s="211">
        <v>72</v>
      </c>
      <c r="B30" s="212">
        <v>-2.5</v>
      </c>
      <c r="C30" s="212">
        <v>-2.5</v>
      </c>
      <c r="D30" s="212">
        <v>-2.5</v>
      </c>
      <c r="E30" s="212">
        <v>-5</v>
      </c>
      <c r="F30" s="212">
        <v>-5</v>
      </c>
      <c r="G30" s="212">
        <v>-5</v>
      </c>
      <c r="H30" s="212">
        <v>-5</v>
      </c>
      <c r="I30" s="212">
        <v>-5</v>
      </c>
      <c r="J30" s="212">
        <v>-5</v>
      </c>
      <c r="K30" s="212">
        <v>-5</v>
      </c>
      <c r="L30" s="212">
        <v>-5</v>
      </c>
      <c r="M30" s="212">
        <v>-2.5</v>
      </c>
      <c r="N30" s="212">
        <v>-2.5</v>
      </c>
      <c r="O30" s="212">
        <v>-2.5</v>
      </c>
      <c r="P30" s="212">
        <v>-2.5</v>
      </c>
      <c r="Q30" s="212">
        <v>-2.5</v>
      </c>
      <c r="R30" s="212">
        <v>-2.5</v>
      </c>
      <c r="S30" s="212">
        <v>0</v>
      </c>
      <c r="T30" s="212">
        <v>0</v>
      </c>
      <c r="U30" s="212">
        <v>0</v>
      </c>
      <c r="V30" s="212">
        <v>0</v>
      </c>
      <c r="W30" s="212">
        <v>0</v>
      </c>
      <c r="X30" s="212">
        <v>0</v>
      </c>
      <c r="Y30" s="212">
        <v>2.5</v>
      </c>
      <c r="Z30" s="212">
        <v>2.5</v>
      </c>
      <c r="AA30" s="212">
        <v>2.5</v>
      </c>
      <c r="AB30" s="212">
        <v>2.5</v>
      </c>
      <c r="AC30" s="212">
        <v>2.5</v>
      </c>
      <c r="AD30" s="212">
        <v>2.5</v>
      </c>
      <c r="AE30" s="212">
        <v>2.5</v>
      </c>
      <c r="AF30" s="212">
        <v>5</v>
      </c>
      <c r="AG30" s="212">
        <v>5</v>
      </c>
      <c r="AH30" s="212">
        <v>5</v>
      </c>
      <c r="AI30" s="212">
        <v>5</v>
      </c>
      <c r="AJ30" s="212">
        <v>5</v>
      </c>
      <c r="AK30" s="212">
        <v>5</v>
      </c>
      <c r="AL30" s="212">
        <v>7.5</v>
      </c>
      <c r="AM30" s="212">
        <v>7.5</v>
      </c>
      <c r="AN30" s="212">
        <v>7.5</v>
      </c>
      <c r="AO30" s="212">
        <v>7.5</v>
      </c>
      <c r="AP30" s="212">
        <v>7.5</v>
      </c>
      <c r="AQ30" s="212">
        <v>7.5</v>
      </c>
      <c r="AR30" s="212">
        <v>7.5</v>
      </c>
      <c r="AS30" s="212">
        <v>7.5</v>
      </c>
      <c r="AT30" s="212">
        <v>7.5</v>
      </c>
      <c r="AU30" s="212">
        <v>7.5</v>
      </c>
      <c r="AV30" s="212">
        <v>7.5</v>
      </c>
      <c r="AW30" s="212">
        <v>7.5</v>
      </c>
      <c r="AX30" s="212">
        <v>10</v>
      </c>
      <c r="AY30" s="212">
        <v>10</v>
      </c>
      <c r="AZ30" s="212">
        <v>10</v>
      </c>
      <c r="BA30" s="212">
        <v>10</v>
      </c>
      <c r="BB30" s="212">
        <v>10</v>
      </c>
      <c r="BC30" s="212">
        <v>10</v>
      </c>
      <c r="BD30" s="212">
        <v>10</v>
      </c>
      <c r="BE30" s="212">
        <v>10</v>
      </c>
      <c r="BF30" s="212">
        <v>10</v>
      </c>
      <c r="BG30" s="212">
        <v>10</v>
      </c>
      <c r="BH30" s="212">
        <v>10</v>
      </c>
      <c r="BI30" s="212">
        <v>10</v>
      </c>
      <c r="BJ30" s="212">
        <v>10</v>
      </c>
      <c r="BK30" s="212">
        <v>10</v>
      </c>
      <c r="BL30" s="212">
        <v>10</v>
      </c>
      <c r="BM30" s="212">
        <v>10</v>
      </c>
      <c r="BN30" s="212">
        <v>10</v>
      </c>
      <c r="BO30" s="212">
        <v>10</v>
      </c>
      <c r="BP30" s="212">
        <v>10</v>
      </c>
      <c r="BQ30" s="212">
        <v>10</v>
      </c>
      <c r="BR30" s="212">
        <v>12.5</v>
      </c>
      <c r="BS30" s="212">
        <v>12.5</v>
      </c>
      <c r="BT30" s="212">
        <v>12.5</v>
      </c>
      <c r="BU30" s="212">
        <v>12.5</v>
      </c>
      <c r="BV30" s="212">
        <v>12.5</v>
      </c>
      <c r="BW30" s="212">
        <v>12.5</v>
      </c>
      <c r="BX30" s="212">
        <v>12.5</v>
      </c>
      <c r="BY30" s="212">
        <v>12.5</v>
      </c>
      <c r="BZ30" s="212">
        <v>12.5</v>
      </c>
      <c r="CA30" s="212">
        <v>12.5</v>
      </c>
      <c r="CB30" s="212">
        <v>12.5</v>
      </c>
      <c r="CC30" s="212">
        <v>12.5</v>
      </c>
      <c r="CD30" s="212">
        <v>12.5</v>
      </c>
      <c r="CE30" s="212">
        <v>12.5</v>
      </c>
      <c r="CF30" s="212">
        <v>12.5</v>
      </c>
      <c r="CG30" s="212">
        <v>12.5</v>
      </c>
      <c r="CH30" s="212">
        <v>12.5</v>
      </c>
      <c r="CI30" s="212">
        <v>15</v>
      </c>
      <c r="CJ30" s="212">
        <v>15</v>
      </c>
      <c r="CK30" s="212">
        <v>15</v>
      </c>
      <c r="CL30" s="212">
        <v>15</v>
      </c>
      <c r="CM30" s="212">
        <v>15</v>
      </c>
      <c r="CN30" s="212">
        <v>15</v>
      </c>
      <c r="CO30" s="212">
        <v>15</v>
      </c>
      <c r="CP30" s="212">
        <v>15</v>
      </c>
      <c r="CQ30" s="212">
        <v>15</v>
      </c>
      <c r="CR30" s="212">
        <v>15</v>
      </c>
      <c r="CS30" s="212">
        <v>15</v>
      </c>
      <c r="CT30" s="212">
        <v>15</v>
      </c>
      <c r="CU30" s="212">
        <v>15</v>
      </c>
      <c r="CV30" s="212">
        <v>17.5</v>
      </c>
      <c r="CW30" s="212">
        <v>17.5</v>
      </c>
      <c r="CX30" s="212">
        <v>17.5</v>
      </c>
      <c r="CY30" s="212">
        <v>17.5</v>
      </c>
      <c r="CZ30" s="212">
        <v>17.5</v>
      </c>
      <c r="DA30" s="212">
        <v>17.5</v>
      </c>
      <c r="DB30" s="212">
        <v>17.5</v>
      </c>
      <c r="DC30" s="212">
        <v>17.5</v>
      </c>
      <c r="DD30" s="212">
        <v>17.5</v>
      </c>
      <c r="DE30" s="212">
        <v>17.5</v>
      </c>
      <c r="DF30" s="212">
        <v>17.5</v>
      </c>
      <c r="DG30" s="212">
        <v>17.5</v>
      </c>
      <c r="DH30" s="212">
        <v>20</v>
      </c>
      <c r="DI30" s="212">
        <v>20</v>
      </c>
      <c r="DJ30" s="212">
        <v>20</v>
      </c>
      <c r="DK30" s="212">
        <v>20</v>
      </c>
      <c r="DL30" s="212">
        <v>20</v>
      </c>
      <c r="DM30" s="212">
        <v>20</v>
      </c>
      <c r="DN30" s="212">
        <v>20</v>
      </c>
      <c r="DO30" s="212">
        <v>20</v>
      </c>
      <c r="DP30" s="212">
        <v>20</v>
      </c>
      <c r="DQ30" s="212">
        <v>20</v>
      </c>
      <c r="DR30" s="212">
        <v>20</v>
      </c>
    </row>
    <row r="31" spans="1:122" ht="22.5" customHeight="1" x14ac:dyDescent="0.45">
      <c r="A31" s="211">
        <v>71</v>
      </c>
      <c r="B31" s="212">
        <v>-5</v>
      </c>
      <c r="C31" s="212">
        <v>-5</v>
      </c>
      <c r="D31" s="212">
        <v>-5</v>
      </c>
      <c r="E31" s="212">
        <v>-5</v>
      </c>
      <c r="F31" s="212">
        <v>-5</v>
      </c>
      <c r="G31" s="212">
        <v>-5</v>
      </c>
      <c r="H31" s="212">
        <v>-5</v>
      </c>
      <c r="I31" s="212">
        <v>-5</v>
      </c>
      <c r="J31" s="212">
        <v>-5</v>
      </c>
      <c r="K31" s="212">
        <v>-5</v>
      </c>
      <c r="L31" s="212">
        <v>-5</v>
      </c>
      <c r="M31" s="212">
        <v>-5</v>
      </c>
      <c r="N31" s="212">
        <v>-5</v>
      </c>
      <c r="O31" s="212">
        <v>-5</v>
      </c>
      <c r="P31" s="212">
        <v>-2.5</v>
      </c>
      <c r="Q31" s="212">
        <v>-2.5</v>
      </c>
      <c r="R31" s="212">
        <v>-2.5</v>
      </c>
      <c r="S31" s="212">
        <v>0</v>
      </c>
      <c r="T31" s="212">
        <v>0</v>
      </c>
      <c r="U31" s="212">
        <v>0</v>
      </c>
      <c r="V31" s="212">
        <v>0</v>
      </c>
      <c r="W31" s="212">
        <v>0</v>
      </c>
      <c r="X31" s="212">
        <v>0</v>
      </c>
      <c r="Y31" s="212">
        <v>2.5</v>
      </c>
      <c r="Z31" s="212">
        <v>2.5</v>
      </c>
      <c r="AA31" s="212">
        <v>2.5</v>
      </c>
      <c r="AB31" s="212">
        <v>2.5</v>
      </c>
      <c r="AC31" s="212">
        <v>2.5</v>
      </c>
      <c r="AD31" s="212">
        <v>2.5</v>
      </c>
      <c r="AE31" s="212">
        <v>2.5</v>
      </c>
      <c r="AF31" s="212">
        <v>5</v>
      </c>
      <c r="AG31" s="212">
        <v>5</v>
      </c>
      <c r="AH31" s="212">
        <v>5</v>
      </c>
      <c r="AI31" s="212">
        <v>5</v>
      </c>
      <c r="AJ31" s="212">
        <v>5</v>
      </c>
      <c r="AK31" s="212">
        <v>5</v>
      </c>
      <c r="AL31" s="212">
        <v>5</v>
      </c>
      <c r="AM31" s="212">
        <v>7.5</v>
      </c>
      <c r="AN31" s="212">
        <v>7.5</v>
      </c>
      <c r="AO31" s="212">
        <v>7.5</v>
      </c>
      <c r="AP31" s="212">
        <v>7.5</v>
      </c>
      <c r="AQ31" s="212">
        <v>7.5</v>
      </c>
      <c r="AR31" s="212">
        <v>7.5</v>
      </c>
      <c r="AS31" s="212">
        <v>7.5</v>
      </c>
      <c r="AT31" s="212">
        <v>7.5</v>
      </c>
      <c r="AU31" s="212">
        <v>7.5</v>
      </c>
      <c r="AV31" s="212">
        <v>7.5</v>
      </c>
      <c r="AW31" s="212">
        <v>7.5</v>
      </c>
      <c r="AX31" s="212">
        <v>7.5</v>
      </c>
      <c r="AY31" s="212">
        <v>10</v>
      </c>
      <c r="AZ31" s="212">
        <v>10</v>
      </c>
      <c r="BA31" s="212">
        <v>10</v>
      </c>
      <c r="BB31" s="212">
        <v>10</v>
      </c>
      <c r="BC31" s="212">
        <v>10</v>
      </c>
      <c r="BD31" s="212">
        <v>10</v>
      </c>
      <c r="BE31" s="212">
        <v>10</v>
      </c>
      <c r="BF31" s="212">
        <v>10</v>
      </c>
      <c r="BG31" s="212">
        <v>10</v>
      </c>
      <c r="BH31" s="212">
        <v>10</v>
      </c>
      <c r="BI31" s="212">
        <v>10</v>
      </c>
      <c r="BJ31" s="212">
        <v>10</v>
      </c>
      <c r="BK31" s="212">
        <v>10</v>
      </c>
      <c r="BL31" s="212">
        <v>10</v>
      </c>
      <c r="BM31" s="212">
        <v>10</v>
      </c>
      <c r="BN31" s="212">
        <v>10</v>
      </c>
      <c r="BO31" s="212">
        <v>10</v>
      </c>
      <c r="BP31" s="212">
        <v>10</v>
      </c>
      <c r="BQ31" s="212">
        <v>10</v>
      </c>
      <c r="BR31" s="212">
        <v>10</v>
      </c>
      <c r="BS31" s="212">
        <v>12.5</v>
      </c>
      <c r="BT31" s="212">
        <v>12.5</v>
      </c>
      <c r="BU31" s="212">
        <v>12.5</v>
      </c>
      <c r="BV31" s="212">
        <v>12.5</v>
      </c>
      <c r="BW31" s="212">
        <v>12.5</v>
      </c>
      <c r="BX31" s="212">
        <v>12.5</v>
      </c>
      <c r="BY31" s="212">
        <v>12.5</v>
      </c>
      <c r="BZ31" s="212">
        <v>12.5</v>
      </c>
      <c r="CA31" s="212">
        <v>12.5</v>
      </c>
      <c r="CB31" s="212">
        <v>12.5</v>
      </c>
      <c r="CC31" s="212">
        <v>12.5</v>
      </c>
      <c r="CD31" s="212">
        <v>12.5</v>
      </c>
      <c r="CE31" s="212">
        <v>12.5</v>
      </c>
      <c r="CF31" s="212">
        <v>12.5</v>
      </c>
      <c r="CG31" s="212">
        <v>12.5</v>
      </c>
      <c r="CH31" s="212">
        <v>12.5</v>
      </c>
      <c r="CI31" s="212">
        <v>12.5</v>
      </c>
      <c r="CJ31" s="212">
        <v>15</v>
      </c>
      <c r="CK31" s="212">
        <v>15</v>
      </c>
      <c r="CL31" s="212">
        <v>15</v>
      </c>
      <c r="CM31" s="212">
        <v>15</v>
      </c>
      <c r="CN31" s="212">
        <v>15</v>
      </c>
      <c r="CO31" s="212">
        <v>15</v>
      </c>
      <c r="CP31" s="212">
        <v>15</v>
      </c>
      <c r="CQ31" s="212">
        <v>15</v>
      </c>
      <c r="CR31" s="212">
        <v>15</v>
      </c>
      <c r="CS31" s="212">
        <v>15</v>
      </c>
      <c r="CT31" s="212">
        <v>15</v>
      </c>
      <c r="CU31" s="212">
        <v>15</v>
      </c>
      <c r="CV31" s="212">
        <v>15</v>
      </c>
      <c r="CW31" s="212">
        <v>17.5</v>
      </c>
      <c r="CX31" s="212">
        <v>17.5</v>
      </c>
      <c r="CY31" s="212">
        <v>17.5</v>
      </c>
      <c r="CZ31" s="212">
        <v>17.5</v>
      </c>
      <c r="DA31" s="212">
        <v>17.5</v>
      </c>
      <c r="DB31" s="212">
        <v>17.5</v>
      </c>
      <c r="DC31" s="212">
        <v>17.5</v>
      </c>
      <c r="DD31" s="212">
        <v>17.5</v>
      </c>
      <c r="DE31" s="212">
        <v>17.5</v>
      </c>
      <c r="DF31" s="212">
        <v>17.5</v>
      </c>
      <c r="DG31" s="212">
        <v>17.5</v>
      </c>
      <c r="DH31" s="212">
        <v>17.5</v>
      </c>
      <c r="DI31" s="212">
        <v>17.5</v>
      </c>
      <c r="DJ31" s="212">
        <v>20</v>
      </c>
      <c r="DK31" s="212">
        <v>20</v>
      </c>
      <c r="DL31" s="212">
        <v>20</v>
      </c>
      <c r="DM31" s="212">
        <v>20</v>
      </c>
      <c r="DN31" s="212">
        <v>20</v>
      </c>
      <c r="DO31" s="212">
        <v>20</v>
      </c>
      <c r="DP31" s="212">
        <v>20</v>
      </c>
      <c r="DQ31" s="212">
        <v>20</v>
      </c>
      <c r="DR31" s="212">
        <v>20</v>
      </c>
    </row>
    <row r="32" spans="1:122" ht="22.5" customHeight="1" x14ac:dyDescent="0.45">
      <c r="A32" s="211">
        <v>70</v>
      </c>
      <c r="B32" s="212">
        <v>-5</v>
      </c>
      <c r="C32" s="212">
        <v>-5</v>
      </c>
      <c r="D32" s="212">
        <v>-5</v>
      </c>
      <c r="E32" s="212">
        <v>-5</v>
      </c>
      <c r="F32" s="212">
        <v>-5</v>
      </c>
      <c r="G32" s="212">
        <v>-5</v>
      </c>
      <c r="H32" s="212">
        <v>-5</v>
      </c>
      <c r="I32" s="212">
        <v>-5</v>
      </c>
      <c r="J32" s="212">
        <v>-5</v>
      </c>
      <c r="K32" s="212">
        <v>-5</v>
      </c>
      <c r="L32" s="212">
        <v>-5</v>
      </c>
      <c r="M32" s="212">
        <v>-5</v>
      </c>
      <c r="N32" s="212">
        <v>-5</v>
      </c>
      <c r="O32" s="212">
        <v>-5</v>
      </c>
      <c r="P32" s="212">
        <v>-2.5</v>
      </c>
      <c r="Q32" s="212">
        <v>-2.5</v>
      </c>
      <c r="R32" s="212">
        <v>-2.5</v>
      </c>
      <c r="S32" s="212">
        <v>-2.5</v>
      </c>
      <c r="T32" s="212">
        <v>0</v>
      </c>
      <c r="U32" s="212">
        <v>0</v>
      </c>
      <c r="V32" s="212">
        <v>0</v>
      </c>
      <c r="W32" s="212">
        <v>0</v>
      </c>
      <c r="X32" s="212">
        <v>0</v>
      </c>
      <c r="Y32" s="212">
        <v>0</v>
      </c>
      <c r="Z32" s="212">
        <v>2.5</v>
      </c>
      <c r="AA32" s="212">
        <v>2.5</v>
      </c>
      <c r="AB32" s="212">
        <v>2.5</v>
      </c>
      <c r="AC32" s="212">
        <v>2.5</v>
      </c>
      <c r="AD32" s="212">
        <v>2.5</v>
      </c>
      <c r="AE32" s="212">
        <v>2.5</v>
      </c>
      <c r="AF32" s="212">
        <v>5</v>
      </c>
      <c r="AG32" s="212">
        <v>5</v>
      </c>
      <c r="AH32" s="212">
        <v>5</v>
      </c>
      <c r="AI32" s="212">
        <v>5</v>
      </c>
      <c r="AJ32" s="212">
        <v>5</v>
      </c>
      <c r="AK32" s="212">
        <v>5</v>
      </c>
      <c r="AL32" s="212">
        <v>5</v>
      </c>
      <c r="AM32" s="212">
        <v>7.5</v>
      </c>
      <c r="AN32" s="212">
        <v>7.5</v>
      </c>
      <c r="AO32" s="212">
        <v>7.5</v>
      </c>
      <c r="AP32" s="212">
        <v>7.5</v>
      </c>
      <c r="AQ32" s="212">
        <v>7.5</v>
      </c>
      <c r="AR32" s="212">
        <v>7.5</v>
      </c>
      <c r="AS32" s="212">
        <v>7.5</v>
      </c>
      <c r="AT32" s="212">
        <v>7.5</v>
      </c>
      <c r="AU32" s="212">
        <v>7.5</v>
      </c>
      <c r="AV32" s="212">
        <v>7.5</v>
      </c>
      <c r="AW32" s="212">
        <v>7.5</v>
      </c>
      <c r="AX32" s="212">
        <v>7.5</v>
      </c>
      <c r="AY32" s="212">
        <v>7.5</v>
      </c>
      <c r="AZ32" s="212">
        <v>10</v>
      </c>
      <c r="BA32" s="212">
        <v>10</v>
      </c>
      <c r="BB32" s="212">
        <v>10</v>
      </c>
      <c r="BC32" s="212">
        <v>10</v>
      </c>
      <c r="BD32" s="212">
        <v>10</v>
      </c>
      <c r="BE32" s="212">
        <v>10</v>
      </c>
      <c r="BF32" s="212">
        <v>10</v>
      </c>
      <c r="BG32" s="212">
        <v>10</v>
      </c>
      <c r="BH32" s="212">
        <v>10</v>
      </c>
      <c r="BI32" s="212">
        <v>10</v>
      </c>
      <c r="BJ32" s="212">
        <v>10</v>
      </c>
      <c r="BK32" s="212">
        <v>10</v>
      </c>
      <c r="BL32" s="212">
        <v>10</v>
      </c>
      <c r="BM32" s="212">
        <v>10</v>
      </c>
      <c r="BN32" s="212">
        <v>10</v>
      </c>
      <c r="BO32" s="212">
        <v>10</v>
      </c>
      <c r="BP32" s="212">
        <v>10</v>
      </c>
      <c r="BQ32" s="212">
        <v>10</v>
      </c>
      <c r="BR32" s="212">
        <v>10</v>
      </c>
      <c r="BS32" s="212">
        <v>10</v>
      </c>
      <c r="BT32" s="212">
        <v>12.5</v>
      </c>
      <c r="BU32" s="212">
        <v>12.5</v>
      </c>
      <c r="BV32" s="212">
        <v>12.5</v>
      </c>
      <c r="BW32" s="212">
        <v>12.5</v>
      </c>
      <c r="BX32" s="212">
        <v>12.5</v>
      </c>
      <c r="BY32" s="212">
        <v>12.5</v>
      </c>
      <c r="BZ32" s="212">
        <v>12.5</v>
      </c>
      <c r="CA32" s="212">
        <v>12.5</v>
      </c>
      <c r="CB32" s="212">
        <v>12.5</v>
      </c>
      <c r="CC32" s="212">
        <v>12.5</v>
      </c>
      <c r="CD32" s="212">
        <v>12.5</v>
      </c>
      <c r="CE32" s="212">
        <v>12.5</v>
      </c>
      <c r="CF32" s="212">
        <v>12.5</v>
      </c>
      <c r="CG32" s="212">
        <v>12.5</v>
      </c>
      <c r="CH32" s="212">
        <v>12.5</v>
      </c>
      <c r="CI32" s="212">
        <v>12.5</v>
      </c>
      <c r="CJ32" s="212">
        <v>12.5</v>
      </c>
      <c r="CK32" s="212">
        <v>15</v>
      </c>
      <c r="CL32" s="212">
        <v>15</v>
      </c>
      <c r="CM32" s="212">
        <v>15</v>
      </c>
      <c r="CN32" s="212">
        <v>15</v>
      </c>
      <c r="CO32" s="212">
        <v>15</v>
      </c>
      <c r="CP32" s="212">
        <v>15</v>
      </c>
      <c r="CQ32" s="212">
        <v>15</v>
      </c>
      <c r="CR32" s="212">
        <v>15</v>
      </c>
      <c r="CS32" s="212">
        <v>15</v>
      </c>
      <c r="CT32" s="212">
        <v>15</v>
      </c>
      <c r="CU32" s="212">
        <v>15</v>
      </c>
      <c r="CV32" s="212">
        <v>15</v>
      </c>
      <c r="CW32" s="212">
        <v>15</v>
      </c>
      <c r="CX32" s="212">
        <v>17.5</v>
      </c>
      <c r="CY32" s="212">
        <v>17.5</v>
      </c>
      <c r="CZ32" s="212">
        <v>17.5</v>
      </c>
      <c r="DA32" s="212">
        <v>17.5</v>
      </c>
      <c r="DB32" s="212">
        <v>17.5</v>
      </c>
      <c r="DC32" s="212">
        <v>17.5</v>
      </c>
      <c r="DD32" s="212">
        <v>17.5</v>
      </c>
      <c r="DE32" s="212">
        <v>17.5</v>
      </c>
      <c r="DF32" s="212">
        <v>17.5</v>
      </c>
      <c r="DG32" s="212">
        <v>17.5</v>
      </c>
      <c r="DH32" s="212">
        <v>17.5</v>
      </c>
      <c r="DI32" s="212">
        <v>17.5</v>
      </c>
      <c r="DJ32" s="212">
        <v>17.5</v>
      </c>
      <c r="DK32" s="212">
        <v>17.5</v>
      </c>
      <c r="DL32" s="212">
        <v>20</v>
      </c>
      <c r="DM32" s="212">
        <v>20</v>
      </c>
      <c r="DN32" s="212">
        <v>20</v>
      </c>
      <c r="DO32" s="212">
        <v>20</v>
      </c>
      <c r="DP32" s="212">
        <v>20</v>
      </c>
      <c r="DQ32" s="212">
        <v>20</v>
      </c>
      <c r="DR32" s="212">
        <v>20</v>
      </c>
    </row>
    <row r="33" spans="1:122" ht="22.5" customHeight="1" x14ac:dyDescent="0.45">
      <c r="A33" s="211">
        <v>69</v>
      </c>
      <c r="B33" s="212">
        <v>-5</v>
      </c>
      <c r="C33" s="212">
        <v>-5</v>
      </c>
      <c r="D33" s="212">
        <v>-5</v>
      </c>
      <c r="E33" s="212">
        <v>-5</v>
      </c>
      <c r="F33" s="212">
        <v>-5</v>
      </c>
      <c r="G33" s="212">
        <v>-5</v>
      </c>
      <c r="H33" s="212">
        <v>-5</v>
      </c>
      <c r="I33" s="212">
        <v>-5</v>
      </c>
      <c r="J33" s="212">
        <v>-5</v>
      </c>
      <c r="K33" s="212">
        <v>-5</v>
      </c>
      <c r="L33" s="212">
        <v>-5</v>
      </c>
      <c r="M33" s="212">
        <v>-5</v>
      </c>
      <c r="N33" s="212">
        <v>-5</v>
      </c>
      <c r="O33" s="212">
        <v>-5</v>
      </c>
      <c r="P33" s="212">
        <v>-2.5</v>
      </c>
      <c r="Q33" s="212">
        <v>-2.5</v>
      </c>
      <c r="R33" s="212">
        <v>-2.5</v>
      </c>
      <c r="S33" s="212">
        <v>-2.5</v>
      </c>
      <c r="T33" s="212">
        <v>0</v>
      </c>
      <c r="U33" s="212">
        <v>0</v>
      </c>
      <c r="V33" s="212">
        <v>0</v>
      </c>
      <c r="W33" s="212">
        <v>0</v>
      </c>
      <c r="X33" s="212">
        <v>0</v>
      </c>
      <c r="Y33" s="212">
        <v>0</v>
      </c>
      <c r="Z33" s="212">
        <v>2.5</v>
      </c>
      <c r="AA33" s="212">
        <v>2.5</v>
      </c>
      <c r="AB33" s="212">
        <v>2.5</v>
      </c>
      <c r="AC33" s="212">
        <v>2.5</v>
      </c>
      <c r="AD33" s="212">
        <v>2.5</v>
      </c>
      <c r="AE33" s="212">
        <v>2.5</v>
      </c>
      <c r="AF33" s="212">
        <v>2.5</v>
      </c>
      <c r="AG33" s="212">
        <v>5</v>
      </c>
      <c r="AH33" s="212">
        <v>5</v>
      </c>
      <c r="AI33" s="212">
        <v>5</v>
      </c>
      <c r="AJ33" s="212">
        <v>5</v>
      </c>
      <c r="AK33" s="212">
        <v>5</v>
      </c>
      <c r="AL33" s="212">
        <v>5</v>
      </c>
      <c r="AM33" s="212">
        <v>7.5</v>
      </c>
      <c r="AN33" s="212">
        <v>7.5</v>
      </c>
      <c r="AO33" s="212">
        <v>7.5</v>
      </c>
      <c r="AP33" s="212">
        <v>7.5</v>
      </c>
      <c r="AQ33" s="212">
        <v>7.5</v>
      </c>
      <c r="AR33" s="212">
        <v>7.5</v>
      </c>
      <c r="AS33" s="212">
        <v>7.5</v>
      </c>
      <c r="AT33" s="212">
        <v>7.5</v>
      </c>
      <c r="AU33" s="212">
        <v>7.5</v>
      </c>
      <c r="AV33" s="212">
        <v>7.5</v>
      </c>
      <c r="AW33" s="212">
        <v>7.5</v>
      </c>
      <c r="AX33" s="212">
        <v>7.5</v>
      </c>
      <c r="AY33" s="212">
        <v>7.5</v>
      </c>
      <c r="AZ33" s="212">
        <v>7.5</v>
      </c>
      <c r="BA33" s="212">
        <v>10</v>
      </c>
      <c r="BB33" s="212">
        <v>10</v>
      </c>
      <c r="BC33" s="212">
        <v>10</v>
      </c>
      <c r="BD33" s="212">
        <v>10</v>
      </c>
      <c r="BE33" s="212">
        <v>10</v>
      </c>
      <c r="BF33" s="212">
        <v>10</v>
      </c>
      <c r="BG33" s="212">
        <v>10</v>
      </c>
      <c r="BH33" s="212">
        <v>10</v>
      </c>
      <c r="BI33" s="212">
        <v>10</v>
      </c>
      <c r="BJ33" s="212">
        <v>10</v>
      </c>
      <c r="BK33" s="212">
        <v>10</v>
      </c>
      <c r="BL33" s="212">
        <v>10</v>
      </c>
      <c r="BM33" s="212">
        <v>10</v>
      </c>
      <c r="BN33" s="212">
        <v>10</v>
      </c>
      <c r="BO33" s="212">
        <v>10</v>
      </c>
      <c r="BP33" s="212">
        <v>10</v>
      </c>
      <c r="BQ33" s="212">
        <v>10</v>
      </c>
      <c r="BR33" s="212">
        <v>10</v>
      </c>
      <c r="BS33" s="212">
        <v>10</v>
      </c>
      <c r="BT33" s="212">
        <v>10</v>
      </c>
      <c r="BU33" s="212">
        <v>12.5</v>
      </c>
      <c r="BV33" s="212">
        <v>12.5</v>
      </c>
      <c r="BW33" s="212">
        <v>12.5</v>
      </c>
      <c r="BX33" s="212">
        <v>12.5</v>
      </c>
      <c r="BY33" s="212">
        <v>12.5</v>
      </c>
      <c r="BZ33" s="212">
        <v>12.5</v>
      </c>
      <c r="CA33" s="212">
        <v>12.5</v>
      </c>
      <c r="CB33" s="212">
        <v>12.5</v>
      </c>
      <c r="CC33" s="212">
        <v>12.5</v>
      </c>
      <c r="CD33" s="212">
        <v>12.5</v>
      </c>
      <c r="CE33" s="212">
        <v>12.5</v>
      </c>
      <c r="CF33" s="212">
        <v>12.5</v>
      </c>
      <c r="CG33" s="212">
        <v>12.5</v>
      </c>
      <c r="CH33" s="212">
        <v>12.5</v>
      </c>
      <c r="CI33" s="212">
        <v>12.5</v>
      </c>
      <c r="CJ33" s="212">
        <v>12.5</v>
      </c>
      <c r="CK33" s="212">
        <v>12.5</v>
      </c>
      <c r="CL33" s="212">
        <v>15</v>
      </c>
      <c r="CM33" s="212">
        <v>15</v>
      </c>
      <c r="CN33" s="212">
        <v>15</v>
      </c>
      <c r="CO33" s="212">
        <v>15</v>
      </c>
      <c r="CP33" s="212">
        <v>15</v>
      </c>
      <c r="CQ33" s="212">
        <v>15</v>
      </c>
      <c r="CR33" s="212">
        <v>15</v>
      </c>
      <c r="CS33" s="212">
        <v>15</v>
      </c>
      <c r="CT33" s="212">
        <v>15</v>
      </c>
      <c r="CU33" s="212">
        <v>15</v>
      </c>
      <c r="CV33" s="212">
        <v>15</v>
      </c>
      <c r="CW33" s="212">
        <v>15</v>
      </c>
      <c r="CX33" s="212">
        <v>15</v>
      </c>
      <c r="CY33" s="212">
        <v>15</v>
      </c>
      <c r="CZ33" s="212">
        <v>17.5</v>
      </c>
      <c r="DA33" s="212">
        <v>17.5</v>
      </c>
      <c r="DB33" s="212">
        <v>17.5</v>
      </c>
      <c r="DC33" s="212">
        <v>17.5</v>
      </c>
      <c r="DD33" s="212">
        <v>17.5</v>
      </c>
      <c r="DE33" s="212">
        <v>17.5</v>
      </c>
      <c r="DF33" s="212">
        <v>17.5</v>
      </c>
      <c r="DG33" s="212">
        <v>17.5</v>
      </c>
      <c r="DH33" s="212">
        <v>17.5</v>
      </c>
      <c r="DI33" s="212">
        <v>17.5</v>
      </c>
      <c r="DJ33" s="212">
        <v>17.5</v>
      </c>
      <c r="DK33" s="212">
        <v>17.5</v>
      </c>
      <c r="DL33" s="212">
        <v>17.5</v>
      </c>
      <c r="DM33" s="212">
        <v>17.5</v>
      </c>
      <c r="DN33" s="212">
        <v>20</v>
      </c>
      <c r="DO33" s="212">
        <v>20</v>
      </c>
      <c r="DP33" s="212">
        <v>20</v>
      </c>
      <c r="DQ33" s="212">
        <v>20</v>
      </c>
      <c r="DR33" s="212">
        <v>20</v>
      </c>
    </row>
    <row r="34" spans="1:122" ht="22.5" customHeight="1" x14ac:dyDescent="0.45">
      <c r="A34" s="211">
        <v>68</v>
      </c>
      <c r="B34" s="212">
        <v>-5</v>
      </c>
      <c r="C34" s="212">
        <v>-5</v>
      </c>
      <c r="D34" s="212">
        <v>-5</v>
      </c>
      <c r="E34" s="212">
        <v>-5</v>
      </c>
      <c r="F34" s="212">
        <v>-5</v>
      </c>
      <c r="G34" s="212">
        <v>-5</v>
      </c>
      <c r="H34" s="212">
        <v>-5</v>
      </c>
      <c r="I34" s="212">
        <v>-5</v>
      </c>
      <c r="J34" s="212">
        <v>-5</v>
      </c>
      <c r="K34" s="212">
        <v>-5</v>
      </c>
      <c r="L34" s="212">
        <v>-5</v>
      </c>
      <c r="M34" s="212">
        <v>-5</v>
      </c>
      <c r="N34" s="212">
        <v>-5</v>
      </c>
      <c r="O34" s="212">
        <v>-5</v>
      </c>
      <c r="P34" s="212">
        <v>-5</v>
      </c>
      <c r="Q34" s="212">
        <v>-2.5</v>
      </c>
      <c r="R34" s="212">
        <v>-2.5</v>
      </c>
      <c r="S34" s="212">
        <v>-2.5</v>
      </c>
      <c r="T34" s="212">
        <v>-2.5</v>
      </c>
      <c r="U34" s="212">
        <v>0</v>
      </c>
      <c r="V34" s="212">
        <v>0</v>
      </c>
      <c r="W34" s="212">
        <v>0</v>
      </c>
      <c r="X34" s="212">
        <v>0</v>
      </c>
      <c r="Y34" s="212">
        <v>0</v>
      </c>
      <c r="Z34" s="212">
        <v>2.5</v>
      </c>
      <c r="AA34" s="212">
        <v>2.5</v>
      </c>
      <c r="AB34" s="212">
        <v>2.5</v>
      </c>
      <c r="AC34" s="212">
        <v>2.5</v>
      </c>
      <c r="AD34" s="212">
        <v>2.5</v>
      </c>
      <c r="AE34" s="212">
        <v>2.5</v>
      </c>
      <c r="AF34" s="212">
        <v>2.5</v>
      </c>
      <c r="AG34" s="212">
        <v>5</v>
      </c>
      <c r="AH34" s="212">
        <v>5</v>
      </c>
      <c r="AI34" s="212">
        <v>5</v>
      </c>
      <c r="AJ34" s="212">
        <v>5</v>
      </c>
      <c r="AK34" s="212">
        <v>5</v>
      </c>
      <c r="AL34" s="212">
        <v>5</v>
      </c>
      <c r="AM34" s="212">
        <v>5</v>
      </c>
      <c r="AN34" s="212">
        <v>7.5</v>
      </c>
      <c r="AO34" s="212">
        <v>7.5</v>
      </c>
      <c r="AP34" s="212">
        <v>7.5</v>
      </c>
      <c r="AQ34" s="212">
        <v>7.5</v>
      </c>
      <c r="AR34" s="212">
        <v>7.5</v>
      </c>
      <c r="AS34" s="212">
        <v>7.5</v>
      </c>
      <c r="AT34" s="212">
        <v>7.5</v>
      </c>
      <c r="AU34" s="212">
        <v>7.5</v>
      </c>
      <c r="AV34" s="212">
        <v>7.5</v>
      </c>
      <c r="AW34" s="212">
        <v>7.5</v>
      </c>
      <c r="AX34" s="212">
        <v>7.5</v>
      </c>
      <c r="AY34" s="212">
        <v>7.5</v>
      </c>
      <c r="AZ34" s="212">
        <v>7.5</v>
      </c>
      <c r="BA34" s="212">
        <v>7.5</v>
      </c>
      <c r="BB34" s="212">
        <v>10</v>
      </c>
      <c r="BC34" s="212">
        <v>10</v>
      </c>
      <c r="BD34" s="212">
        <v>10</v>
      </c>
      <c r="BE34" s="212">
        <v>10</v>
      </c>
      <c r="BF34" s="212">
        <v>10</v>
      </c>
      <c r="BG34" s="212">
        <v>10</v>
      </c>
      <c r="BH34" s="212">
        <v>10</v>
      </c>
      <c r="BI34" s="212">
        <v>10</v>
      </c>
      <c r="BJ34" s="212">
        <v>10</v>
      </c>
      <c r="BK34" s="212">
        <v>10</v>
      </c>
      <c r="BL34" s="212">
        <v>10</v>
      </c>
      <c r="BM34" s="212">
        <v>10</v>
      </c>
      <c r="BN34" s="212">
        <v>10</v>
      </c>
      <c r="BO34" s="212">
        <v>10</v>
      </c>
      <c r="BP34" s="212">
        <v>10</v>
      </c>
      <c r="BQ34" s="212">
        <v>10</v>
      </c>
      <c r="BR34" s="212">
        <v>10</v>
      </c>
      <c r="BS34" s="212">
        <v>10</v>
      </c>
      <c r="BT34" s="212">
        <v>10</v>
      </c>
      <c r="BU34" s="212">
        <v>10</v>
      </c>
      <c r="BV34" s="212">
        <v>12.5</v>
      </c>
      <c r="BW34" s="212">
        <v>12.5</v>
      </c>
      <c r="BX34" s="212">
        <v>12.5</v>
      </c>
      <c r="BY34" s="212">
        <v>12.5</v>
      </c>
      <c r="BZ34" s="212">
        <v>12.5</v>
      </c>
      <c r="CA34" s="212">
        <v>12.5</v>
      </c>
      <c r="CB34" s="212">
        <v>12.5</v>
      </c>
      <c r="CC34" s="212">
        <v>12.5</v>
      </c>
      <c r="CD34" s="212">
        <v>12.5</v>
      </c>
      <c r="CE34" s="212">
        <v>12.5</v>
      </c>
      <c r="CF34" s="212">
        <v>12.5</v>
      </c>
      <c r="CG34" s="212">
        <v>12.5</v>
      </c>
      <c r="CH34" s="212">
        <v>12.5</v>
      </c>
      <c r="CI34" s="212">
        <v>12.5</v>
      </c>
      <c r="CJ34" s="212">
        <v>12.5</v>
      </c>
      <c r="CK34" s="212">
        <v>12.5</v>
      </c>
      <c r="CL34" s="212">
        <v>12.5</v>
      </c>
      <c r="CM34" s="212">
        <v>15</v>
      </c>
      <c r="CN34" s="212">
        <v>15</v>
      </c>
      <c r="CO34" s="212">
        <v>15</v>
      </c>
      <c r="CP34" s="212">
        <v>15</v>
      </c>
      <c r="CQ34" s="212">
        <v>15</v>
      </c>
      <c r="CR34" s="212">
        <v>15</v>
      </c>
      <c r="CS34" s="212">
        <v>15</v>
      </c>
      <c r="CT34" s="212">
        <v>15</v>
      </c>
      <c r="CU34" s="212">
        <v>15</v>
      </c>
      <c r="CV34" s="212">
        <v>15</v>
      </c>
      <c r="CW34" s="212">
        <v>15</v>
      </c>
      <c r="CX34" s="212">
        <v>15</v>
      </c>
      <c r="CY34" s="212">
        <v>15</v>
      </c>
      <c r="CZ34" s="212">
        <v>15</v>
      </c>
      <c r="DA34" s="212">
        <v>17.5</v>
      </c>
      <c r="DB34" s="212">
        <v>17.5</v>
      </c>
      <c r="DC34" s="212">
        <v>17.5</v>
      </c>
      <c r="DD34" s="212">
        <v>17.5</v>
      </c>
      <c r="DE34" s="212">
        <v>17.5</v>
      </c>
      <c r="DF34" s="212">
        <v>17.5</v>
      </c>
      <c r="DG34" s="212">
        <v>17.5</v>
      </c>
      <c r="DH34" s="212">
        <v>17.5</v>
      </c>
      <c r="DI34" s="212">
        <v>17.5</v>
      </c>
      <c r="DJ34" s="212">
        <v>17.5</v>
      </c>
      <c r="DK34" s="212">
        <v>17.5</v>
      </c>
      <c r="DL34" s="212">
        <v>17.5</v>
      </c>
      <c r="DM34" s="212">
        <v>17.5</v>
      </c>
      <c r="DN34" s="212">
        <v>17.5</v>
      </c>
      <c r="DO34" s="212">
        <v>17.5</v>
      </c>
      <c r="DP34" s="212">
        <v>20</v>
      </c>
      <c r="DQ34" s="212">
        <v>20</v>
      </c>
      <c r="DR34" s="212">
        <v>20</v>
      </c>
    </row>
    <row r="35" spans="1:122" ht="22.5" customHeight="1" x14ac:dyDescent="0.45">
      <c r="A35" s="211">
        <v>67</v>
      </c>
      <c r="B35" s="212">
        <v>-5</v>
      </c>
      <c r="C35" s="212">
        <v>-5</v>
      </c>
      <c r="D35" s="212">
        <v>-5</v>
      </c>
      <c r="E35" s="212">
        <v>-5</v>
      </c>
      <c r="F35" s="212">
        <v>-5</v>
      </c>
      <c r="G35" s="212">
        <v>-5</v>
      </c>
      <c r="H35" s="212">
        <v>-5</v>
      </c>
      <c r="I35" s="212">
        <v>-5</v>
      </c>
      <c r="J35" s="212">
        <v>-5</v>
      </c>
      <c r="K35" s="212">
        <v>-5</v>
      </c>
      <c r="L35" s="212">
        <v>-5</v>
      </c>
      <c r="M35" s="212">
        <v>-5</v>
      </c>
      <c r="N35" s="212">
        <v>-5</v>
      </c>
      <c r="O35" s="212">
        <v>-5</v>
      </c>
      <c r="P35" s="212">
        <v>-5</v>
      </c>
      <c r="Q35" s="212">
        <v>-2.5</v>
      </c>
      <c r="R35" s="212">
        <v>-2.5</v>
      </c>
      <c r="S35" s="212">
        <v>-2.5</v>
      </c>
      <c r="T35" s="212">
        <v>-2.5</v>
      </c>
      <c r="U35" s="212">
        <v>0</v>
      </c>
      <c r="V35" s="212">
        <v>0</v>
      </c>
      <c r="W35" s="212">
        <v>0</v>
      </c>
      <c r="X35" s="212">
        <v>0</v>
      </c>
      <c r="Y35" s="212">
        <v>0</v>
      </c>
      <c r="Z35" s="212">
        <v>0</v>
      </c>
      <c r="AA35" s="212">
        <v>2.5</v>
      </c>
      <c r="AB35" s="212">
        <v>2.5</v>
      </c>
      <c r="AC35" s="212">
        <v>2.5</v>
      </c>
      <c r="AD35" s="212">
        <v>2.5</v>
      </c>
      <c r="AE35" s="212">
        <v>2.5</v>
      </c>
      <c r="AF35" s="212">
        <v>2.5</v>
      </c>
      <c r="AG35" s="212">
        <v>5</v>
      </c>
      <c r="AH35" s="212">
        <v>5</v>
      </c>
      <c r="AI35" s="212">
        <v>5</v>
      </c>
      <c r="AJ35" s="212">
        <v>5</v>
      </c>
      <c r="AK35" s="212">
        <v>5</v>
      </c>
      <c r="AL35" s="212">
        <v>5</v>
      </c>
      <c r="AM35" s="212">
        <v>5</v>
      </c>
      <c r="AN35" s="212">
        <v>7.5</v>
      </c>
      <c r="AO35" s="212">
        <v>7.5</v>
      </c>
      <c r="AP35" s="212">
        <v>7.5</v>
      </c>
      <c r="AQ35" s="212">
        <v>7.5</v>
      </c>
      <c r="AR35" s="212">
        <v>7.5</v>
      </c>
      <c r="AS35" s="212">
        <v>7.5</v>
      </c>
      <c r="AT35" s="212">
        <v>7.5</v>
      </c>
      <c r="AU35" s="212">
        <v>7.5</v>
      </c>
      <c r="AV35" s="212">
        <v>7.5</v>
      </c>
      <c r="AW35" s="212">
        <v>7.5</v>
      </c>
      <c r="AX35" s="212">
        <v>7.5</v>
      </c>
      <c r="AY35" s="212">
        <v>7.5</v>
      </c>
      <c r="AZ35" s="212">
        <v>7.5</v>
      </c>
      <c r="BA35" s="212">
        <v>7.5</v>
      </c>
      <c r="BB35" s="212">
        <v>7.5</v>
      </c>
      <c r="BC35" s="212">
        <v>10</v>
      </c>
      <c r="BD35" s="212">
        <v>10</v>
      </c>
      <c r="BE35" s="212">
        <v>10</v>
      </c>
      <c r="BF35" s="212">
        <v>10</v>
      </c>
      <c r="BG35" s="212">
        <v>10</v>
      </c>
      <c r="BH35" s="212">
        <v>10</v>
      </c>
      <c r="BI35" s="212">
        <v>10</v>
      </c>
      <c r="BJ35" s="212">
        <v>10</v>
      </c>
      <c r="BK35" s="212">
        <v>10</v>
      </c>
      <c r="BL35" s="212">
        <v>10</v>
      </c>
      <c r="BM35" s="212">
        <v>10</v>
      </c>
      <c r="BN35" s="212">
        <v>10</v>
      </c>
      <c r="BO35" s="212">
        <v>10</v>
      </c>
      <c r="BP35" s="212">
        <v>10</v>
      </c>
      <c r="BQ35" s="212">
        <v>10</v>
      </c>
      <c r="BR35" s="212">
        <v>10</v>
      </c>
      <c r="BS35" s="212">
        <v>10</v>
      </c>
      <c r="BT35" s="212">
        <v>10</v>
      </c>
      <c r="BU35" s="212">
        <v>10</v>
      </c>
      <c r="BV35" s="212">
        <v>10</v>
      </c>
      <c r="BW35" s="212">
        <v>12.5</v>
      </c>
      <c r="BX35" s="212">
        <v>12.5</v>
      </c>
      <c r="BY35" s="212">
        <v>12.5</v>
      </c>
      <c r="BZ35" s="212">
        <v>12.5</v>
      </c>
      <c r="CA35" s="212">
        <v>12.5</v>
      </c>
      <c r="CB35" s="212">
        <v>12.5</v>
      </c>
      <c r="CC35" s="212">
        <v>12.5</v>
      </c>
      <c r="CD35" s="212">
        <v>12.5</v>
      </c>
      <c r="CE35" s="212">
        <v>12.5</v>
      </c>
      <c r="CF35" s="212">
        <v>12.5</v>
      </c>
      <c r="CG35" s="212">
        <v>12.5</v>
      </c>
      <c r="CH35" s="212">
        <v>12.5</v>
      </c>
      <c r="CI35" s="212">
        <v>12.5</v>
      </c>
      <c r="CJ35" s="212">
        <v>12.5</v>
      </c>
      <c r="CK35" s="212">
        <v>12.5</v>
      </c>
      <c r="CL35" s="212">
        <v>12.5</v>
      </c>
      <c r="CM35" s="212">
        <v>12.5</v>
      </c>
      <c r="CN35" s="212">
        <v>15</v>
      </c>
      <c r="CO35" s="212">
        <v>15</v>
      </c>
      <c r="CP35" s="212">
        <v>15</v>
      </c>
      <c r="CQ35" s="212">
        <v>15</v>
      </c>
      <c r="CR35" s="212">
        <v>15</v>
      </c>
      <c r="CS35" s="212">
        <v>15</v>
      </c>
      <c r="CT35" s="212">
        <v>15</v>
      </c>
      <c r="CU35" s="212">
        <v>15</v>
      </c>
      <c r="CV35" s="212">
        <v>15</v>
      </c>
      <c r="CW35" s="212">
        <v>15</v>
      </c>
      <c r="CX35" s="212">
        <v>15</v>
      </c>
      <c r="CY35" s="212">
        <v>15</v>
      </c>
      <c r="CZ35" s="212">
        <v>15</v>
      </c>
      <c r="DA35" s="212">
        <v>15</v>
      </c>
      <c r="DB35" s="212">
        <v>15</v>
      </c>
      <c r="DC35" s="212">
        <v>17.5</v>
      </c>
      <c r="DD35" s="212">
        <v>17.5</v>
      </c>
      <c r="DE35" s="212">
        <v>17.5</v>
      </c>
      <c r="DF35" s="212">
        <v>17.5</v>
      </c>
      <c r="DG35" s="212">
        <v>17.5</v>
      </c>
      <c r="DH35" s="212">
        <v>17.5</v>
      </c>
      <c r="DI35" s="212">
        <v>17.5</v>
      </c>
      <c r="DJ35" s="212">
        <v>17.5</v>
      </c>
      <c r="DK35" s="212">
        <v>17.5</v>
      </c>
      <c r="DL35" s="212">
        <v>17.5</v>
      </c>
      <c r="DM35" s="212">
        <v>17.5</v>
      </c>
      <c r="DN35" s="212">
        <v>17.5</v>
      </c>
      <c r="DO35" s="212">
        <v>17.5</v>
      </c>
      <c r="DP35" s="212">
        <v>17.5</v>
      </c>
      <c r="DQ35" s="212">
        <v>17.5</v>
      </c>
      <c r="DR35" s="212">
        <v>20</v>
      </c>
    </row>
    <row r="36" spans="1:122" ht="22.5" customHeight="1" x14ac:dyDescent="0.45">
      <c r="A36" s="211">
        <v>66</v>
      </c>
      <c r="B36" s="212">
        <v>-5</v>
      </c>
      <c r="C36" s="212">
        <v>-5</v>
      </c>
      <c r="D36" s="212">
        <v>-5</v>
      </c>
      <c r="E36" s="212">
        <v>-5</v>
      </c>
      <c r="F36" s="212">
        <v>-5</v>
      </c>
      <c r="G36" s="212">
        <v>-5</v>
      </c>
      <c r="H36" s="212">
        <v>-5</v>
      </c>
      <c r="I36" s="212">
        <v>-5</v>
      </c>
      <c r="J36" s="212">
        <v>-5</v>
      </c>
      <c r="K36" s="212">
        <v>-5</v>
      </c>
      <c r="L36" s="212">
        <v>-5</v>
      </c>
      <c r="M36" s="212">
        <v>-5</v>
      </c>
      <c r="N36" s="212">
        <v>-5</v>
      </c>
      <c r="O36" s="212">
        <v>-5</v>
      </c>
      <c r="P36" s="212">
        <v>-5</v>
      </c>
      <c r="Q36" s="212">
        <v>-2.5</v>
      </c>
      <c r="R36" s="212">
        <v>-2.5</v>
      </c>
      <c r="S36" s="212">
        <v>-2.5</v>
      </c>
      <c r="T36" s="212">
        <v>-2.5</v>
      </c>
      <c r="U36" s="212">
        <v>0</v>
      </c>
      <c r="V36" s="212">
        <v>0</v>
      </c>
      <c r="W36" s="212">
        <v>0</v>
      </c>
      <c r="X36" s="212">
        <v>0</v>
      </c>
      <c r="Y36" s="212">
        <v>0</v>
      </c>
      <c r="Z36" s="212">
        <v>0</v>
      </c>
      <c r="AA36" s="212">
        <v>2.5</v>
      </c>
      <c r="AB36" s="212">
        <v>2.5</v>
      </c>
      <c r="AC36" s="212">
        <v>2.5</v>
      </c>
      <c r="AD36" s="212">
        <v>2.5</v>
      </c>
      <c r="AE36" s="212">
        <v>2.5</v>
      </c>
      <c r="AF36" s="212">
        <v>2.5</v>
      </c>
      <c r="AG36" s="212">
        <v>2.5</v>
      </c>
      <c r="AH36" s="212">
        <v>5</v>
      </c>
      <c r="AI36" s="212">
        <v>5</v>
      </c>
      <c r="AJ36" s="212">
        <v>5</v>
      </c>
      <c r="AK36" s="212">
        <v>5</v>
      </c>
      <c r="AL36" s="212">
        <v>5</v>
      </c>
      <c r="AM36" s="212">
        <v>5</v>
      </c>
      <c r="AN36" s="212">
        <v>7.5</v>
      </c>
      <c r="AO36" s="212">
        <v>7.5</v>
      </c>
      <c r="AP36" s="212">
        <v>7.5</v>
      </c>
      <c r="AQ36" s="212">
        <v>7.5</v>
      </c>
      <c r="AR36" s="212">
        <v>7.5</v>
      </c>
      <c r="AS36" s="212">
        <v>7.5</v>
      </c>
      <c r="AT36" s="212">
        <v>7.5</v>
      </c>
      <c r="AU36" s="212">
        <v>7.5</v>
      </c>
      <c r="AV36" s="212">
        <v>7.5</v>
      </c>
      <c r="AW36" s="212">
        <v>7.5</v>
      </c>
      <c r="AX36" s="212">
        <v>7.5</v>
      </c>
      <c r="AY36" s="212">
        <v>7.5</v>
      </c>
      <c r="AZ36" s="212">
        <v>7.5</v>
      </c>
      <c r="BA36" s="212">
        <v>7.5</v>
      </c>
      <c r="BB36" s="212">
        <v>7.5</v>
      </c>
      <c r="BC36" s="212">
        <v>7.5</v>
      </c>
      <c r="BD36" s="212">
        <v>10</v>
      </c>
      <c r="BE36" s="212">
        <v>10</v>
      </c>
      <c r="BF36" s="212">
        <v>10</v>
      </c>
      <c r="BG36" s="212">
        <v>10</v>
      </c>
      <c r="BH36" s="212">
        <v>10</v>
      </c>
      <c r="BI36" s="212">
        <v>10</v>
      </c>
      <c r="BJ36" s="212">
        <v>10</v>
      </c>
      <c r="BK36" s="212">
        <v>10</v>
      </c>
      <c r="BL36" s="212">
        <v>10</v>
      </c>
      <c r="BM36" s="212">
        <v>10</v>
      </c>
      <c r="BN36" s="212">
        <v>10</v>
      </c>
      <c r="BO36" s="212">
        <v>10</v>
      </c>
      <c r="BP36" s="212">
        <v>10</v>
      </c>
      <c r="BQ36" s="212">
        <v>10</v>
      </c>
      <c r="BR36" s="212">
        <v>10</v>
      </c>
      <c r="BS36" s="212">
        <v>10</v>
      </c>
      <c r="BT36" s="212">
        <v>10</v>
      </c>
      <c r="BU36" s="212">
        <v>10</v>
      </c>
      <c r="BV36" s="212">
        <v>10</v>
      </c>
      <c r="BW36" s="212">
        <v>10</v>
      </c>
      <c r="BX36" s="212">
        <v>12.5</v>
      </c>
      <c r="BY36" s="212">
        <v>12.5</v>
      </c>
      <c r="BZ36" s="212">
        <v>12.5</v>
      </c>
      <c r="CA36" s="212">
        <v>12.5</v>
      </c>
      <c r="CB36" s="212">
        <v>12.5</v>
      </c>
      <c r="CC36" s="212">
        <v>12.5</v>
      </c>
      <c r="CD36" s="212">
        <v>12.5</v>
      </c>
      <c r="CE36" s="212">
        <v>12.5</v>
      </c>
      <c r="CF36" s="212">
        <v>12.5</v>
      </c>
      <c r="CG36" s="212">
        <v>12.5</v>
      </c>
      <c r="CH36" s="212">
        <v>12.5</v>
      </c>
      <c r="CI36" s="212">
        <v>12.5</v>
      </c>
      <c r="CJ36" s="212">
        <v>12.5</v>
      </c>
      <c r="CK36" s="212">
        <v>12.5</v>
      </c>
      <c r="CL36" s="212">
        <v>12.5</v>
      </c>
      <c r="CM36" s="212">
        <v>12.5</v>
      </c>
      <c r="CN36" s="212">
        <v>12.5</v>
      </c>
      <c r="CO36" s="212">
        <v>15</v>
      </c>
      <c r="CP36" s="212">
        <v>15</v>
      </c>
      <c r="CQ36" s="212">
        <v>15</v>
      </c>
      <c r="CR36" s="212">
        <v>15</v>
      </c>
      <c r="CS36" s="212">
        <v>15</v>
      </c>
      <c r="CT36" s="212">
        <v>15</v>
      </c>
      <c r="CU36" s="212">
        <v>15</v>
      </c>
      <c r="CV36" s="212">
        <v>15</v>
      </c>
      <c r="CW36" s="212">
        <v>15</v>
      </c>
      <c r="CX36" s="212">
        <v>15</v>
      </c>
      <c r="CY36" s="212">
        <v>15</v>
      </c>
      <c r="CZ36" s="212">
        <v>15</v>
      </c>
      <c r="DA36" s="212">
        <v>15</v>
      </c>
      <c r="DB36" s="212">
        <v>15</v>
      </c>
      <c r="DC36" s="212">
        <v>15</v>
      </c>
      <c r="DD36" s="212">
        <v>15</v>
      </c>
      <c r="DE36" s="212">
        <v>17.5</v>
      </c>
      <c r="DF36" s="212">
        <v>17.5</v>
      </c>
      <c r="DG36" s="212">
        <v>17.5</v>
      </c>
      <c r="DH36" s="212">
        <v>17.5</v>
      </c>
      <c r="DI36" s="212">
        <v>17.5</v>
      </c>
      <c r="DJ36" s="212">
        <v>17.5</v>
      </c>
      <c r="DK36" s="212">
        <v>17.5</v>
      </c>
      <c r="DL36" s="212">
        <v>17.5</v>
      </c>
      <c r="DM36" s="212">
        <v>17.5</v>
      </c>
      <c r="DN36" s="212">
        <v>17.5</v>
      </c>
      <c r="DO36" s="212">
        <v>17.5</v>
      </c>
      <c r="DP36" s="212">
        <v>17.5</v>
      </c>
      <c r="DQ36" s="212">
        <v>17.5</v>
      </c>
      <c r="DR36" s="212">
        <v>17.5</v>
      </c>
    </row>
    <row r="37" spans="1:122" ht="22.5" customHeight="1" x14ac:dyDescent="0.45">
      <c r="A37" s="211">
        <v>65</v>
      </c>
      <c r="B37" s="212">
        <v>-5</v>
      </c>
      <c r="C37" s="212">
        <v>-5</v>
      </c>
      <c r="D37" s="212">
        <v>-5</v>
      </c>
      <c r="E37" s="212">
        <v>-5</v>
      </c>
      <c r="F37" s="212">
        <v>-5</v>
      </c>
      <c r="G37" s="212">
        <v>-5</v>
      </c>
      <c r="H37" s="212">
        <v>-5</v>
      </c>
      <c r="I37" s="212">
        <v>-5</v>
      </c>
      <c r="J37" s="212">
        <v>-5</v>
      </c>
      <c r="K37" s="212">
        <v>-5</v>
      </c>
      <c r="L37" s="212">
        <v>-5</v>
      </c>
      <c r="M37" s="212">
        <v>-5</v>
      </c>
      <c r="N37" s="212">
        <v>-5</v>
      </c>
      <c r="O37" s="212">
        <v>-5</v>
      </c>
      <c r="P37" s="212">
        <v>-5</v>
      </c>
      <c r="Q37" s="212">
        <v>-5</v>
      </c>
      <c r="R37" s="212">
        <v>-2.5</v>
      </c>
      <c r="S37" s="212">
        <v>-2.5</v>
      </c>
      <c r="T37" s="212">
        <v>-2.5</v>
      </c>
      <c r="U37" s="212">
        <v>-2.5</v>
      </c>
      <c r="V37" s="212">
        <v>0</v>
      </c>
      <c r="W37" s="212">
        <v>0</v>
      </c>
      <c r="X37" s="212">
        <v>0</v>
      </c>
      <c r="Y37" s="212">
        <v>0</v>
      </c>
      <c r="Z37" s="212">
        <v>0</v>
      </c>
      <c r="AA37" s="212">
        <v>2.5</v>
      </c>
      <c r="AB37" s="212">
        <v>2.5</v>
      </c>
      <c r="AC37" s="212">
        <v>2.5</v>
      </c>
      <c r="AD37" s="212">
        <v>2.5</v>
      </c>
      <c r="AE37" s="212">
        <v>2.5</v>
      </c>
      <c r="AF37" s="212">
        <v>2.5</v>
      </c>
      <c r="AG37" s="212">
        <v>2.5</v>
      </c>
      <c r="AH37" s="212">
        <v>5</v>
      </c>
      <c r="AI37" s="212">
        <v>5</v>
      </c>
      <c r="AJ37" s="212">
        <v>5</v>
      </c>
      <c r="AK37" s="212">
        <v>5</v>
      </c>
      <c r="AL37" s="212">
        <v>5</v>
      </c>
      <c r="AM37" s="212">
        <v>5</v>
      </c>
      <c r="AN37" s="212">
        <v>5</v>
      </c>
      <c r="AO37" s="212">
        <v>7.5</v>
      </c>
      <c r="AP37" s="212">
        <v>7.5</v>
      </c>
      <c r="AQ37" s="212">
        <v>7.5</v>
      </c>
      <c r="AR37" s="212">
        <v>7.5</v>
      </c>
      <c r="AS37" s="212">
        <v>7.5</v>
      </c>
      <c r="AT37" s="212">
        <v>7.5</v>
      </c>
      <c r="AU37" s="212">
        <v>7.5</v>
      </c>
      <c r="AV37" s="212">
        <v>7.5</v>
      </c>
      <c r="AW37" s="212">
        <v>7.5</v>
      </c>
      <c r="AX37" s="212">
        <v>7.5</v>
      </c>
      <c r="AY37" s="212">
        <v>7.5</v>
      </c>
      <c r="AZ37" s="212">
        <v>7.5</v>
      </c>
      <c r="BA37" s="212">
        <v>7.5</v>
      </c>
      <c r="BB37" s="212">
        <v>7.5</v>
      </c>
      <c r="BC37" s="212">
        <v>7.5</v>
      </c>
      <c r="BD37" s="212">
        <v>7.5</v>
      </c>
      <c r="BE37" s="212">
        <v>10</v>
      </c>
      <c r="BF37" s="212">
        <v>10</v>
      </c>
      <c r="BG37" s="212">
        <v>10</v>
      </c>
      <c r="BH37" s="212">
        <v>10</v>
      </c>
      <c r="BI37" s="212">
        <v>10</v>
      </c>
      <c r="BJ37" s="212">
        <v>10</v>
      </c>
      <c r="BK37" s="212">
        <v>10</v>
      </c>
      <c r="BL37" s="212">
        <v>10</v>
      </c>
      <c r="BM37" s="212">
        <v>10</v>
      </c>
      <c r="BN37" s="212">
        <v>10</v>
      </c>
      <c r="BO37" s="212">
        <v>10</v>
      </c>
      <c r="BP37" s="212">
        <v>10</v>
      </c>
      <c r="BQ37" s="212">
        <v>10</v>
      </c>
      <c r="BR37" s="212">
        <v>10</v>
      </c>
      <c r="BS37" s="212">
        <v>10</v>
      </c>
      <c r="BT37" s="212">
        <v>10</v>
      </c>
      <c r="BU37" s="212">
        <v>10</v>
      </c>
      <c r="BV37" s="212">
        <v>10</v>
      </c>
      <c r="BW37" s="212">
        <v>10</v>
      </c>
      <c r="BX37" s="212">
        <v>10</v>
      </c>
      <c r="BY37" s="212">
        <v>12.5</v>
      </c>
      <c r="BZ37" s="212">
        <v>12.5</v>
      </c>
      <c r="CA37" s="212">
        <v>12.5</v>
      </c>
      <c r="CB37" s="212">
        <v>12.5</v>
      </c>
      <c r="CC37" s="212">
        <v>12.5</v>
      </c>
      <c r="CD37" s="212">
        <v>12.5</v>
      </c>
      <c r="CE37" s="212">
        <v>12.5</v>
      </c>
      <c r="CF37" s="212">
        <v>12.5</v>
      </c>
      <c r="CG37" s="212">
        <v>12.5</v>
      </c>
      <c r="CH37" s="212">
        <v>12.5</v>
      </c>
      <c r="CI37" s="212">
        <v>12.5</v>
      </c>
      <c r="CJ37" s="212">
        <v>12.5</v>
      </c>
      <c r="CK37" s="212">
        <v>12.5</v>
      </c>
      <c r="CL37" s="212">
        <v>12.5</v>
      </c>
      <c r="CM37" s="212">
        <v>12.5</v>
      </c>
      <c r="CN37" s="212">
        <v>12.5</v>
      </c>
      <c r="CO37" s="212">
        <v>12.5</v>
      </c>
      <c r="CP37" s="212">
        <v>15</v>
      </c>
      <c r="CQ37" s="212">
        <v>15</v>
      </c>
      <c r="CR37" s="212">
        <v>15</v>
      </c>
      <c r="CS37" s="212">
        <v>15</v>
      </c>
      <c r="CT37" s="212">
        <v>15</v>
      </c>
      <c r="CU37" s="212">
        <v>15</v>
      </c>
      <c r="CV37" s="212">
        <v>15</v>
      </c>
      <c r="CW37" s="212">
        <v>15</v>
      </c>
      <c r="CX37" s="212">
        <v>15</v>
      </c>
      <c r="CY37" s="212">
        <v>15</v>
      </c>
      <c r="CZ37" s="212">
        <v>15</v>
      </c>
      <c r="DA37" s="212">
        <v>15</v>
      </c>
      <c r="DB37" s="212">
        <v>15</v>
      </c>
      <c r="DC37" s="212">
        <v>15</v>
      </c>
      <c r="DD37" s="212">
        <v>15</v>
      </c>
      <c r="DE37" s="212">
        <v>15</v>
      </c>
      <c r="DF37" s="212">
        <v>17.5</v>
      </c>
      <c r="DG37" s="212">
        <v>17.5</v>
      </c>
      <c r="DH37" s="212">
        <v>17.5</v>
      </c>
      <c r="DI37" s="212">
        <v>17.5</v>
      </c>
      <c r="DJ37" s="212">
        <v>17.5</v>
      </c>
      <c r="DK37" s="212">
        <v>17.5</v>
      </c>
      <c r="DL37" s="212">
        <v>17.5</v>
      </c>
      <c r="DM37" s="212">
        <v>17.5</v>
      </c>
      <c r="DN37" s="212">
        <v>17.5</v>
      </c>
      <c r="DO37" s="212">
        <v>17.5</v>
      </c>
      <c r="DP37" s="212">
        <v>17.5</v>
      </c>
      <c r="DQ37" s="212">
        <v>17.5</v>
      </c>
      <c r="DR37" s="212">
        <v>17.5</v>
      </c>
    </row>
    <row r="38" spans="1:122" ht="22.5" customHeight="1" x14ac:dyDescent="0.45">
      <c r="A38" s="211">
        <v>64</v>
      </c>
      <c r="B38" s="212">
        <v>-5</v>
      </c>
      <c r="C38" s="212">
        <v>-5</v>
      </c>
      <c r="D38" s="212">
        <v>-5</v>
      </c>
      <c r="E38" s="212">
        <v>-5</v>
      </c>
      <c r="F38" s="212">
        <v>-5</v>
      </c>
      <c r="G38" s="212">
        <v>-5</v>
      </c>
      <c r="H38" s="212">
        <v>-5</v>
      </c>
      <c r="I38" s="212">
        <v>-5</v>
      </c>
      <c r="J38" s="212">
        <v>-5</v>
      </c>
      <c r="K38" s="212">
        <v>-5</v>
      </c>
      <c r="L38" s="212">
        <v>-5</v>
      </c>
      <c r="M38" s="212">
        <v>-5</v>
      </c>
      <c r="N38" s="212">
        <v>-5</v>
      </c>
      <c r="O38" s="212">
        <v>-5</v>
      </c>
      <c r="P38" s="212">
        <v>-5</v>
      </c>
      <c r="Q38" s="212">
        <v>-5</v>
      </c>
      <c r="R38" s="212">
        <v>-2.5</v>
      </c>
      <c r="S38" s="212">
        <v>-2.5</v>
      </c>
      <c r="T38" s="212">
        <v>-2.5</v>
      </c>
      <c r="U38" s="212">
        <v>-2.5</v>
      </c>
      <c r="V38" s="212">
        <v>0</v>
      </c>
      <c r="W38" s="212">
        <v>0</v>
      </c>
      <c r="X38" s="212">
        <v>0</v>
      </c>
      <c r="Y38" s="212">
        <v>0</v>
      </c>
      <c r="Z38" s="212">
        <v>0</v>
      </c>
      <c r="AA38" s="212">
        <v>0</v>
      </c>
      <c r="AB38" s="212">
        <v>2.5</v>
      </c>
      <c r="AC38" s="212">
        <v>2.5</v>
      </c>
      <c r="AD38" s="212">
        <v>2.5</v>
      </c>
      <c r="AE38" s="212">
        <v>2.5</v>
      </c>
      <c r="AF38" s="212">
        <v>2.5</v>
      </c>
      <c r="AG38" s="212">
        <v>2.5</v>
      </c>
      <c r="AH38" s="212">
        <v>5</v>
      </c>
      <c r="AI38" s="212">
        <v>5</v>
      </c>
      <c r="AJ38" s="212">
        <v>5</v>
      </c>
      <c r="AK38" s="212">
        <v>5</v>
      </c>
      <c r="AL38" s="212">
        <v>5</v>
      </c>
      <c r="AM38" s="212">
        <v>5</v>
      </c>
      <c r="AN38" s="212">
        <v>5</v>
      </c>
      <c r="AO38" s="212">
        <v>7.5</v>
      </c>
      <c r="AP38" s="212">
        <v>7.5</v>
      </c>
      <c r="AQ38" s="212">
        <v>7.5</v>
      </c>
      <c r="AR38" s="212">
        <v>7.5</v>
      </c>
      <c r="AS38" s="212">
        <v>7.5</v>
      </c>
      <c r="AT38" s="212">
        <v>7.5</v>
      </c>
      <c r="AU38" s="212">
        <v>7.5</v>
      </c>
      <c r="AV38" s="212">
        <v>7.5</v>
      </c>
      <c r="AW38" s="212">
        <v>7.5</v>
      </c>
      <c r="AX38" s="212">
        <v>7.5</v>
      </c>
      <c r="AY38" s="212">
        <v>7.5</v>
      </c>
      <c r="AZ38" s="212">
        <v>7.5</v>
      </c>
      <c r="BA38" s="212">
        <v>7.5</v>
      </c>
      <c r="BB38" s="212">
        <v>7.5</v>
      </c>
      <c r="BC38" s="212">
        <v>7.5</v>
      </c>
      <c r="BD38" s="212">
        <v>7.5</v>
      </c>
      <c r="BE38" s="212">
        <v>7.5</v>
      </c>
      <c r="BF38" s="212">
        <v>10</v>
      </c>
      <c r="BG38" s="212">
        <v>10</v>
      </c>
      <c r="BH38" s="212">
        <v>10</v>
      </c>
      <c r="BI38" s="212">
        <v>10</v>
      </c>
      <c r="BJ38" s="212">
        <v>10</v>
      </c>
      <c r="BK38" s="212">
        <v>10</v>
      </c>
      <c r="BL38" s="212">
        <v>10</v>
      </c>
      <c r="BM38" s="212">
        <v>10</v>
      </c>
      <c r="BN38" s="212">
        <v>10</v>
      </c>
      <c r="BO38" s="212">
        <v>10</v>
      </c>
      <c r="BP38" s="212">
        <v>10</v>
      </c>
      <c r="BQ38" s="212">
        <v>10</v>
      </c>
      <c r="BR38" s="212">
        <v>10</v>
      </c>
      <c r="BS38" s="212">
        <v>10</v>
      </c>
      <c r="BT38" s="212">
        <v>10</v>
      </c>
      <c r="BU38" s="212">
        <v>10</v>
      </c>
      <c r="BV38" s="212">
        <v>10</v>
      </c>
      <c r="BW38" s="212">
        <v>10</v>
      </c>
      <c r="BX38" s="212">
        <v>10</v>
      </c>
      <c r="BY38" s="212">
        <v>10</v>
      </c>
      <c r="BZ38" s="212">
        <v>12.5</v>
      </c>
      <c r="CA38" s="212">
        <v>12.5</v>
      </c>
      <c r="CB38" s="212">
        <v>12.5</v>
      </c>
      <c r="CC38" s="212">
        <v>12.5</v>
      </c>
      <c r="CD38" s="212">
        <v>12.5</v>
      </c>
      <c r="CE38" s="212">
        <v>12.5</v>
      </c>
      <c r="CF38" s="212">
        <v>12.5</v>
      </c>
      <c r="CG38" s="212">
        <v>12.5</v>
      </c>
      <c r="CH38" s="212">
        <v>12.5</v>
      </c>
      <c r="CI38" s="212">
        <v>12.5</v>
      </c>
      <c r="CJ38" s="212">
        <v>12.5</v>
      </c>
      <c r="CK38" s="212">
        <v>12.5</v>
      </c>
      <c r="CL38" s="212">
        <v>12.5</v>
      </c>
      <c r="CM38" s="212">
        <v>12.5</v>
      </c>
      <c r="CN38" s="212">
        <v>12.5</v>
      </c>
      <c r="CO38" s="212">
        <v>12.5</v>
      </c>
      <c r="CP38" s="212">
        <v>12.5</v>
      </c>
      <c r="CQ38" s="212">
        <v>12.5</v>
      </c>
      <c r="CR38" s="212">
        <v>15</v>
      </c>
      <c r="CS38" s="212">
        <v>15</v>
      </c>
      <c r="CT38" s="212">
        <v>15</v>
      </c>
      <c r="CU38" s="212">
        <v>15</v>
      </c>
      <c r="CV38" s="212">
        <v>15</v>
      </c>
      <c r="CW38" s="212">
        <v>15</v>
      </c>
      <c r="CX38" s="212">
        <v>15</v>
      </c>
      <c r="CY38" s="212">
        <v>15</v>
      </c>
      <c r="CZ38" s="212">
        <v>15</v>
      </c>
      <c r="DA38" s="212">
        <v>15</v>
      </c>
      <c r="DB38" s="212">
        <v>15</v>
      </c>
      <c r="DC38" s="212">
        <v>15</v>
      </c>
      <c r="DD38" s="212">
        <v>15</v>
      </c>
      <c r="DE38" s="212">
        <v>15</v>
      </c>
      <c r="DF38" s="212">
        <v>15</v>
      </c>
      <c r="DG38" s="212">
        <v>15</v>
      </c>
      <c r="DH38" s="212">
        <v>17.5</v>
      </c>
      <c r="DI38" s="212">
        <v>17.5</v>
      </c>
      <c r="DJ38" s="212">
        <v>17.5</v>
      </c>
      <c r="DK38" s="212">
        <v>17.5</v>
      </c>
      <c r="DL38" s="212">
        <v>17.5</v>
      </c>
      <c r="DM38" s="212">
        <v>17.5</v>
      </c>
      <c r="DN38" s="212">
        <v>17.5</v>
      </c>
      <c r="DO38" s="212">
        <v>17.5</v>
      </c>
      <c r="DP38" s="212">
        <v>17.5</v>
      </c>
      <c r="DQ38" s="212">
        <v>17.5</v>
      </c>
      <c r="DR38" s="212">
        <v>17.5</v>
      </c>
    </row>
    <row r="39" spans="1:122" ht="22.5" customHeight="1" x14ac:dyDescent="0.45">
      <c r="A39" s="211">
        <v>63</v>
      </c>
      <c r="B39" s="212">
        <v>-5</v>
      </c>
      <c r="C39" s="212">
        <v>-5</v>
      </c>
      <c r="D39" s="212">
        <v>-5</v>
      </c>
      <c r="E39" s="212">
        <v>-5</v>
      </c>
      <c r="F39" s="212">
        <v>-5</v>
      </c>
      <c r="G39" s="212">
        <v>-5</v>
      </c>
      <c r="H39" s="212">
        <v>-5</v>
      </c>
      <c r="I39" s="212">
        <v>-5</v>
      </c>
      <c r="J39" s="212">
        <v>-5</v>
      </c>
      <c r="K39" s="212">
        <v>-5</v>
      </c>
      <c r="L39" s="212">
        <v>-5</v>
      </c>
      <c r="M39" s="212">
        <v>-5</v>
      </c>
      <c r="N39" s="212">
        <v>-5</v>
      </c>
      <c r="O39" s="212">
        <v>-5</v>
      </c>
      <c r="P39" s="212">
        <v>-5</v>
      </c>
      <c r="Q39" s="212">
        <v>-5</v>
      </c>
      <c r="R39" s="212">
        <v>-2.5</v>
      </c>
      <c r="S39" s="212">
        <v>-2.5</v>
      </c>
      <c r="T39" s="212">
        <v>-2.5</v>
      </c>
      <c r="U39" s="212">
        <v>-2.5</v>
      </c>
      <c r="V39" s="212">
        <v>-2.5</v>
      </c>
      <c r="W39" s="212">
        <v>0</v>
      </c>
      <c r="X39" s="212">
        <v>0</v>
      </c>
      <c r="Y39" s="212">
        <v>0</v>
      </c>
      <c r="Z39" s="212">
        <v>0</v>
      </c>
      <c r="AA39" s="212">
        <v>0</v>
      </c>
      <c r="AB39" s="212">
        <v>2.5</v>
      </c>
      <c r="AC39" s="212">
        <v>2.5</v>
      </c>
      <c r="AD39" s="212">
        <v>2.5</v>
      </c>
      <c r="AE39" s="212">
        <v>2.5</v>
      </c>
      <c r="AF39" s="212">
        <v>2.5</v>
      </c>
      <c r="AG39" s="212">
        <v>2.5</v>
      </c>
      <c r="AH39" s="212">
        <v>2.5</v>
      </c>
      <c r="AI39" s="212">
        <v>5</v>
      </c>
      <c r="AJ39" s="212">
        <v>5</v>
      </c>
      <c r="AK39" s="212">
        <v>5</v>
      </c>
      <c r="AL39" s="212">
        <v>5</v>
      </c>
      <c r="AM39" s="212">
        <v>5</v>
      </c>
      <c r="AN39" s="212">
        <v>5</v>
      </c>
      <c r="AO39" s="212">
        <v>7.5</v>
      </c>
      <c r="AP39" s="212">
        <v>7.5</v>
      </c>
      <c r="AQ39" s="212">
        <v>7.5</v>
      </c>
      <c r="AR39" s="212">
        <v>7.5</v>
      </c>
      <c r="AS39" s="212">
        <v>7.5</v>
      </c>
      <c r="AT39" s="212">
        <v>7.5</v>
      </c>
      <c r="AU39" s="212">
        <v>7.5</v>
      </c>
      <c r="AV39" s="212">
        <v>7.5</v>
      </c>
      <c r="AW39" s="212">
        <v>7.5</v>
      </c>
      <c r="AX39" s="212">
        <v>7.5</v>
      </c>
      <c r="AY39" s="212">
        <v>7.5</v>
      </c>
      <c r="AZ39" s="212">
        <v>7.5</v>
      </c>
      <c r="BA39" s="212">
        <v>7.5</v>
      </c>
      <c r="BB39" s="212">
        <v>7.5</v>
      </c>
      <c r="BC39" s="212">
        <v>7.5</v>
      </c>
      <c r="BD39" s="212">
        <v>7.5</v>
      </c>
      <c r="BE39" s="212">
        <v>7.5</v>
      </c>
      <c r="BF39" s="212">
        <v>7.5</v>
      </c>
      <c r="BG39" s="212">
        <v>10</v>
      </c>
      <c r="BH39" s="212">
        <v>10</v>
      </c>
      <c r="BI39" s="212">
        <v>10</v>
      </c>
      <c r="BJ39" s="212">
        <v>10</v>
      </c>
      <c r="BK39" s="212">
        <v>10</v>
      </c>
      <c r="BL39" s="212">
        <v>10</v>
      </c>
      <c r="BM39" s="212">
        <v>10</v>
      </c>
      <c r="BN39" s="212">
        <v>10</v>
      </c>
      <c r="BO39" s="212">
        <v>10</v>
      </c>
      <c r="BP39" s="212">
        <v>10</v>
      </c>
      <c r="BQ39" s="212">
        <v>10</v>
      </c>
      <c r="BR39" s="212">
        <v>10</v>
      </c>
      <c r="BS39" s="212">
        <v>10</v>
      </c>
      <c r="BT39" s="212">
        <v>10</v>
      </c>
      <c r="BU39" s="212">
        <v>10</v>
      </c>
      <c r="BV39" s="212">
        <v>10</v>
      </c>
      <c r="BW39" s="212">
        <v>10</v>
      </c>
      <c r="BX39" s="212">
        <v>10</v>
      </c>
      <c r="BY39" s="212">
        <v>10</v>
      </c>
      <c r="BZ39" s="212">
        <v>10</v>
      </c>
      <c r="CA39" s="212">
        <v>12.5</v>
      </c>
      <c r="CB39" s="212">
        <v>12.5</v>
      </c>
      <c r="CC39" s="212">
        <v>12.5</v>
      </c>
      <c r="CD39" s="212">
        <v>12.5</v>
      </c>
      <c r="CE39" s="212">
        <v>12.5</v>
      </c>
      <c r="CF39" s="212">
        <v>12.5</v>
      </c>
      <c r="CG39" s="212">
        <v>12.5</v>
      </c>
      <c r="CH39" s="212">
        <v>12.5</v>
      </c>
      <c r="CI39" s="212">
        <v>12.5</v>
      </c>
      <c r="CJ39" s="212">
        <v>12.5</v>
      </c>
      <c r="CK39" s="212">
        <v>12.5</v>
      </c>
      <c r="CL39" s="212">
        <v>12.5</v>
      </c>
      <c r="CM39" s="212">
        <v>12.5</v>
      </c>
      <c r="CN39" s="212">
        <v>12.5</v>
      </c>
      <c r="CO39" s="212">
        <v>12.5</v>
      </c>
      <c r="CP39" s="212">
        <v>12.5</v>
      </c>
      <c r="CQ39" s="212">
        <v>12.5</v>
      </c>
      <c r="CR39" s="212">
        <v>12.5</v>
      </c>
      <c r="CS39" s="212">
        <v>15</v>
      </c>
      <c r="CT39" s="212">
        <v>15</v>
      </c>
      <c r="CU39" s="212">
        <v>15</v>
      </c>
      <c r="CV39" s="212">
        <v>15</v>
      </c>
      <c r="CW39" s="212">
        <v>15</v>
      </c>
      <c r="CX39" s="212">
        <v>15</v>
      </c>
      <c r="CY39" s="212">
        <v>15</v>
      </c>
      <c r="CZ39" s="212">
        <v>15</v>
      </c>
      <c r="DA39" s="212">
        <v>15</v>
      </c>
      <c r="DB39" s="212">
        <v>15</v>
      </c>
      <c r="DC39" s="212">
        <v>15</v>
      </c>
      <c r="DD39" s="212">
        <v>15</v>
      </c>
      <c r="DE39" s="212">
        <v>15</v>
      </c>
      <c r="DF39" s="212">
        <v>15</v>
      </c>
      <c r="DG39" s="212">
        <v>15</v>
      </c>
      <c r="DH39" s="212">
        <v>15</v>
      </c>
      <c r="DI39" s="212">
        <v>15</v>
      </c>
      <c r="DJ39" s="212">
        <v>15</v>
      </c>
      <c r="DK39" s="212">
        <v>17.5</v>
      </c>
      <c r="DL39" s="212">
        <v>17.5</v>
      </c>
      <c r="DM39" s="212">
        <v>17.5</v>
      </c>
      <c r="DN39" s="212">
        <v>17.5</v>
      </c>
      <c r="DO39" s="212">
        <v>17.5</v>
      </c>
      <c r="DP39" s="212">
        <v>17.5</v>
      </c>
      <c r="DQ39" s="212">
        <v>17.5</v>
      </c>
      <c r="DR39" s="212">
        <v>17.5</v>
      </c>
    </row>
    <row r="40" spans="1:122" ht="22.5" customHeight="1" x14ac:dyDescent="0.45">
      <c r="A40" s="211">
        <v>62</v>
      </c>
      <c r="B40" s="212">
        <v>-5</v>
      </c>
      <c r="C40" s="212">
        <v>-5</v>
      </c>
      <c r="D40" s="212">
        <v>-5</v>
      </c>
      <c r="E40" s="212">
        <v>-5</v>
      </c>
      <c r="F40" s="212">
        <v>-5</v>
      </c>
      <c r="G40" s="212">
        <v>-5</v>
      </c>
      <c r="H40" s="212">
        <v>-5</v>
      </c>
      <c r="I40" s="212">
        <v>-5</v>
      </c>
      <c r="J40" s="212">
        <v>-5</v>
      </c>
      <c r="K40" s="212">
        <v>-5</v>
      </c>
      <c r="L40" s="212">
        <v>-5</v>
      </c>
      <c r="M40" s="212">
        <v>-5</v>
      </c>
      <c r="N40" s="212">
        <v>-5</v>
      </c>
      <c r="O40" s="212">
        <v>-5</v>
      </c>
      <c r="P40" s="212">
        <v>-5</v>
      </c>
      <c r="Q40" s="212">
        <v>-5</v>
      </c>
      <c r="R40" s="212">
        <v>-2.5</v>
      </c>
      <c r="S40" s="212">
        <v>-2.5</v>
      </c>
      <c r="T40" s="212">
        <v>-2.5</v>
      </c>
      <c r="U40" s="212">
        <v>-2.5</v>
      </c>
      <c r="V40" s="212">
        <v>-2.5</v>
      </c>
      <c r="W40" s="212">
        <v>-2.5</v>
      </c>
      <c r="X40" s="212">
        <v>0</v>
      </c>
      <c r="Y40" s="212">
        <v>0</v>
      </c>
      <c r="Z40" s="212">
        <v>0</v>
      </c>
      <c r="AA40" s="212">
        <v>0</v>
      </c>
      <c r="AB40" s="212">
        <v>2.5</v>
      </c>
      <c r="AC40" s="212">
        <v>2.5</v>
      </c>
      <c r="AD40" s="212">
        <v>2.5</v>
      </c>
      <c r="AE40" s="212">
        <v>2.5</v>
      </c>
      <c r="AF40" s="212">
        <v>2.5</v>
      </c>
      <c r="AG40" s="212">
        <v>2.5</v>
      </c>
      <c r="AH40" s="212">
        <v>2.5</v>
      </c>
      <c r="AI40" s="212">
        <v>5</v>
      </c>
      <c r="AJ40" s="212">
        <v>5</v>
      </c>
      <c r="AK40" s="212">
        <v>5</v>
      </c>
      <c r="AL40" s="212">
        <v>5</v>
      </c>
      <c r="AM40" s="212">
        <v>5</v>
      </c>
      <c r="AN40" s="212">
        <v>5</v>
      </c>
      <c r="AO40" s="212">
        <v>5</v>
      </c>
      <c r="AP40" s="212">
        <v>7.5</v>
      </c>
      <c r="AQ40" s="212">
        <v>7.5</v>
      </c>
      <c r="AR40" s="212">
        <v>7.5</v>
      </c>
      <c r="AS40" s="212">
        <v>7.5</v>
      </c>
      <c r="AT40" s="212">
        <v>7.5</v>
      </c>
      <c r="AU40" s="212">
        <v>7.5</v>
      </c>
      <c r="AV40" s="212">
        <v>7.5</v>
      </c>
      <c r="AW40" s="212">
        <v>7.5</v>
      </c>
      <c r="AX40" s="212">
        <v>7.5</v>
      </c>
      <c r="AY40" s="212">
        <v>7.5</v>
      </c>
      <c r="AZ40" s="212">
        <v>7.5</v>
      </c>
      <c r="BA40" s="212">
        <v>7.5</v>
      </c>
      <c r="BB40" s="212">
        <v>7.5</v>
      </c>
      <c r="BC40" s="212">
        <v>7.5</v>
      </c>
      <c r="BD40" s="212">
        <v>7.5</v>
      </c>
      <c r="BE40" s="212">
        <v>7.5</v>
      </c>
      <c r="BF40" s="212">
        <v>7.5</v>
      </c>
      <c r="BG40" s="212">
        <v>7.5</v>
      </c>
      <c r="BH40" s="212">
        <v>10</v>
      </c>
      <c r="BI40" s="212">
        <v>10</v>
      </c>
      <c r="BJ40" s="212">
        <v>10</v>
      </c>
      <c r="BK40" s="212">
        <v>10</v>
      </c>
      <c r="BL40" s="212">
        <v>10</v>
      </c>
      <c r="BM40" s="212">
        <v>10</v>
      </c>
      <c r="BN40" s="212">
        <v>10</v>
      </c>
      <c r="BO40" s="212">
        <v>10</v>
      </c>
      <c r="BP40" s="212">
        <v>10</v>
      </c>
      <c r="BQ40" s="212">
        <v>10</v>
      </c>
      <c r="BR40" s="212">
        <v>10</v>
      </c>
      <c r="BS40" s="212">
        <v>10</v>
      </c>
      <c r="BT40" s="212">
        <v>10</v>
      </c>
      <c r="BU40" s="212">
        <v>10</v>
      </c>
      <c r="BV40" s="212">
        <v>10</v>
      </c>
      <c r="BW40" s="212">
        <v>10</v>
      </c>
      <c r="BX40" s="212">
        <v>10</v>
      </c>
      <c r="BY40" s="212">
        <v>10</v>
      </c>
      <c r="BZ40" s="212">
        <v>10</v>
      </c>
      <c r="CA40" s="212">
        <v>10</v>
      </c>
      <c r="CB40" s="212">
        <v>12.5</v>
      </c>
      <c r="CC40" s="212">
        <v>12.5</v>
      </c>
      <c r="CD40" s="212">
        <v>12.5</v>
      </c>
      <c r="CE40" s="212">
        <v>12.5</v>
      </c>
      <c r="CF40" s="212">
        <v>12.5</v>
      </c>
      <c r="CG40" s="212">
        <v>12.5</v>
      </c>
      <c r="CH40" s="212">
        <v>12.5</v>
      </c>
      <c r="CI40" s="212">
        <v>12.5</v>
      </c>
      <c r="CJ40" s="212">
        <v>12.5</v>
      </c>
      <c r="CK40" s="212">
        <v>12.5</v>
      </c>
      <c r="CL40" s="212">
        <v>12.5</v>
      </c>
      <c r="CM40" s="212">
        <v>12.5</v>
      </c>
      <c r="CN40" s="212">
        <v>12.5</v>
      </c>
      <c r="CO40" s="212">
        <v>12.5</v>
      </c>
      <c r="CP40" s="212">
        <v>12.5</v>
      </c>
      <c r="CQ40" s="212">
        <v>12.5</v>
      </c>
      <c r="CR40" s="212">
        <v>12.5</v>
      </c>
      <c r="CS40" s="212">
        <v>12.5</v>
      </c>
      <c r="CT40" s="212">
        <v>12.5</v>
      </c>
      <c r="CU40" s="212">
        <v>15</v>
      </c>
      <c r="CV40" s="212">
        <v>15</v>
      </c>
      <c r="CW40" s="212">
        <v>15</v>
      </c>
      <c r="CX40" s="212">
        <v>15</v>
      </c>
      <c r="CY40" s="212">
        <v>15</v>
      </c>
      <c r="CZ40" s="212">
        <v>15</v>
      </c>
      <c r="DA40" s="212">
        <v>15</v>
      </c>
      <c r="DB40" s="212">
        <v>15</v>
      </c>
      <c r="DC40" s="212">
        <v>15</v>
      </c>
      <c r="DD40" s="212">
        <v>15</v>
      </c>
      <c r="DE40" s="212">
        <v>15</v>
      </c>
      <c r="DF40" s="212">
        <v>15</v>
      </c>
      <c r="DG40" s="212">
        <v>15</v>
      </c>
      <c r="DH40" s="212">
        <v>15</v>
      </c>
      <c r="DI40" s="212">
        <v>15</v>
      </c>
      <c r="DJ40" s="212">
        <v>15</v>
      </c>
      <c r="DK40" s="212">
        <v>15</v>
      </c>
      <c r="DL40" s="212">
        <v>15</v>
      </c>
      <c r="DM40" s="212">
        <v>17.5</v>
      </c>
      <c r="DN40" s="212">
        <v>17.5</v>
      </c>
      <c r="DO40" s="212">
        <v>17.5</v>
      </c>
      <c r="DP40" s="212">
        <v>17.5</v>
      </c>
      <c r="DQ40" s="212">
        <v>17.5</v>
      </c>
      <c r="DR40" s="212">
        <v>17.5</v>
      </c>
    </row>
    <row r="41" spans="1:122" ht="22.5" customHeight="1" x14ac:dyDescent="0.45">
      <c r="A41" s="211">
        <v>61</v>
      </c>
      <c r="B41" s="212">
        <v>-5</v>
      </c>
      <c r="C41" s="212">
        <v>-5</v>
      </c>
      <c r="D41" s="212">
        <v>-5</v>
      </c>
      <c r="E41" s="212">
        <v>-5</v>
      </c>
      <c r="F41" s="212">
        <v>-5</v>
      </c>
      <c r="G41" s="212">
        <v>-5</v>
      </c>
      <c r="H41" s="212">
        <v>-5</v>
      </c>
      <c r="I41" s="212">
        <v>-5</v>
      </c>
      <c r="J41" s="212">
        <v>-5</v>
      </c>
      <c r="K41" s="212">
        <v>-5</v>
      </c>
      <c r="L41" s="212">
        <v>-5</v>
      </c>
      <c r="M41" s="212">
        <v>-5</v>
      </c>
      <c r="N41" s="212">
        <v>-5</v>
      </c>
      <c r="O41" s="212">
        <v>-5</v>
      </c>
      <c r="P41" s="212">
        <v>-5</v>
      </c>
      <c r="Q41" s="212">
        <v>-5</v>
      </c>
      <c r="R41" s="212">
        <v>-2.5</v>
      </c>
      <c r="S41" s="212">
        <v>-2.5</v>
      </c>
      <c r="T41" s="212">
        <v>-2.5</v>
      </c>
      <c r="U41" s="212">
        <v>-2.5</v>
      </c>
      <c r="V41" s="212">
        <v>-2.5</v>
      </c>
      <c r="W41" s="212">
        <v>-2.5</v>
      </c>
      <c r="X41" s="212">
        <v>0</v>
      </c>
      <c r="Y41" s="212">
        <v>0</v>
      </c>
      <c r="Z41" s="212">
        <v>0</v>
      </c>
      <c r="AA41" s="212">
        <v>0</v>
      </c>
      <c r="AB41" s="212">
        <v>0</v>
      </c>
      <c r="AC41" s="212">
        <v>2.5</v>
      </c>
      <c r="AD41" s="212">
        <v>2.5</v>
      </c>
      <c r="AE41" s="212">
        <v>2.5</v>
      </c>
      <c r="AF41" s="212">
        <v>2.5</v>
      </c>
      <c r="AG41" s="212">
        <v>2.5</v>
      </c>
      <c r="AH41" s="212">
        <v>2.5</v>
      </c>
      <c r="AI41" s="212">
        <v>5</v>
      </c>
      <c r="AJ41" s="212">
        <v>5</v>
      </c>
      <c r="AK41" s="212">
        <v>5</v>
      </c>
      <c r="AL41" s="212">
        <v>5</v>
      </c>
      <c r="AM41" s="212">
        <v>5</v>
      </c>
      <c r="AN41" s="212">
        <v>5</v>
      </c>
      <c r="AO41" s="212">
        <v>5</v>
      </c>
      <c r="AP41" s="212">
        <v>7.5</v>
      </c>
      <c r="AQ41" s="212">
        <v>7.5</v>
      </c>
      <c r="AR41" s="212">
        <v>7.5</v>
      </c>
      <c r="AS41" s="212">
        <v>7.5</v>
      </c>
      <c r="AT41" s="212">
        <v>7.5</v>
      </c>
      <c r="AU41" s="212">
        <v>7.5</v>
      </c>
      <c r="AV41" s="212">
        <v>7.5</v>
      </c>
      <c r="AW41" s="212">
        <v>7.5</v>
      </c>
      <c r="AX41" s="212">
        <v>7.5</v>
      </c>
      <c r="AY41" s="212">
        <v>7.5</v>
      </c>
      <c r="AZ41" s="212">
        <v>7.5</v>
      </c>
      <c r="BA41" s="212">
        <v>7.5</v>
      </c>
      <c r="BB41" s="212">
        <v>7.5</v>
      </c>
      <c r="BC41" s="212">
        <v>7.5</v>
      </c>
      <c r="BD41" s="212">
        <v>7.5</v>
      </c>
      <c r="BE41" s="212">
        <v>7.5</v>
      </c>
      <c r="BF41" s="212">
        <v>7.5</v>
      </c>
      <c r="BG41" s="212">
        <v>7.5</v>
      </c>
      <c r="BH41" s="212">
        <v>7.5</v>
      </c>
      <c r="BI41" s="212">
        <v>10</v>
      </c>
      <c r="BJ41" s="212">
        <v>10</v>
      </c>
      <c r="BK41" s="212">
        <v>10</v>
      </c>
      <c r="BL41" s="212">
        <v>10</v>
      </c>
      <c r="BM41" s="212">
        <v>10</v>
      </c>
      <c r="BN41" s="212">
        <v>10</v>
      </c>
      <c r="BO41" s="212">
        <v>10</v>
      </c>
      <c r="BP41" s="212">
        <v>10</v>
      </c>
      <c r="BQ41" s="212">
        <v>10</v>
      </c>
      <c r="BR41" s="212">
        <v>10</v>
      </c>
      <c r="BS41" s="212">
        <v>10</v>
      </c>
      <c r="BT41" s="212">
        <v>10</v>
      </c>
      <c r="BU41" s="212">
        <v>10</v>
      </c>
      <c r="BV41" s="212">
        <v>10</v>
      </c>
      <c r="BW41" s="212">
        <v>10</v>
      </c>
      <c r="BX41" s="212">
        <v>10</v>
      </c>
      <c r="BY41" s="212">
        <v>10</v>
      </c>
      <c r="BZ41" s="212">
        <v>10</v>
      </c>
      <c r="CA41" s="212">
        <v>10</v>
      </c>
      <c r="CB41" s="212">
        <v>10</v>
      </c>
      <c r="CC41" s="212">
        <v>12.5</v>
      </c>
      <c r="CD41" s="212">
        <v>12.5</v>
      </c>
      <c r="CE41" s="212">
        <v>12.5</v>
      </c>
      <c r="CF41" s="212">
        <v>12.5</v>
      </c>
      <c r="CG41" s="212">
        <v>12.5</v>
      </c>
      <c r="CH41" s="212">
        <v>12.5</v>
      </c>
      <c r="CI41" s="212">
        <v>12.5</v>
      </c>
      <c r="CJ41" s="212">
        <v>12.5</v>
      </c>
      <c r="CK41" s="212">
        <v>12.5</v>
      </c>
      <c r="CL41" s="212">
        <v>12.5</v>
      </c>
      <c r="CM41" s="212">
        <v>12.5</v>
      </c>
      <c r="CN41" s="212">
        <v>12.5</v>
      </c>
      <c r="CO41" s="212">
        <v>12.5</v>
      </c>
      <c r="CP41" s="212">
        <v>12.5</v>
      </c>
      <c r="CQ41" s="212">
        <v>12.5</v>
      </c>
      <c r="CR41" s="212">
        <v>12.5</v>
      </c>
      <c r="CS41" s="212">
        <v>12.5</v>
      </c>
      <c r="CT41" s="212">
        <v>12.5</v>
      </c>
      <c r="CU41" s="212">
        <v>12.5</v>
      </c>
      <c r="CV41" s="212">
        <v>12.5</v>
      </c>
      <c r="CW41" s="212">
        <v>15</v>
      </c>
      <c r="CX41" s="212">
        <v>15</v>
      </c>
      <c r="CY41" s="212">
        <v>15</v>
      </c>
      <c r="CZ41" s="212">
        <v>15</v>
      </c>
      <c r="DA41" s="212">
        <v>15</v>
      </c>
      <c r="DB41" s="212">
        <v>15</v>
      </c>
      <c r="DC41" s="212">
        <v>15</v>
      </c>
      <c r="DD41" s="212">
        <v>15</v>
      </c>
      <c r="DE41" s="212">
        <v>15</v>
      </c>
      <c r="DF41" s="212">
        <v>15</v>
      </c>
      <c r="DG41" s="212">
        <v>15</v>
      </c>
      <c r="DH41" s="212">
        <v>15</v>
      </c>
      <c r="DI41" s="212">
        <v>15</v>
      </c>
      <c r="DJ41" s="212">
        <v>15</v>
      </c>
      <c r="DK41" s="212">
        <v>15</v>
      </c>
      <c r="DL41" s="212">
        <v>15</v>
      </c>
      <c r="DM41" s="212">
        <v>15</v>
      </c>
      <c r="DN41" s="212">
        <v>15</v>
      </c>
      <c r="DO41" s="212">
        <v>15</v>
      </c>
      <c r="DP41" s="212">
        <v>17.5</v>
      </c>
      <c r="DQ41" s="212">
        <v>17.5</v>
      </c>
      <c r="DR41" s="212">
        <v>17.5</v>
      </c>
    </row>
    <row r="42" spans="1:122" ht="22.5" customHeight="1" x14ac:dyDescent="0.45">
      <c r="A42" s="211">
        <v>60</v>
      </c>
      <c r="B42" s="212">
        <v>-5</v>
      </c>
      <c r="C42" s="212">
        <v>-5</v>
      </c>
      <c r="D42" s="212">
        <v>-5</v>
      </c>
      <c r="E42" s="212">
        <v>-5</v>
      </c>
      <c r="F42" s="212">
        <v>-5</v>
      </c>
      <c r="G42" s="212">
        <v>-5</v>
      </c>
      <c r="H42" s="212">
        <v>-5</v>
      </c>
      <c r="I42" s="212">
        <v>-5</v>
      </c>
      <c r="J42" s="212">
        <v>-5</v>
      </c>
      <c r="K42" s="212">
        <v>-5</v>
      </c>
      <c r="L42" s="212">
        <v>-5</v>
      </c>
      <c r="M42" s="212">
        <v>-5</v>
      </c>
      <c r="N42" s="212">
        <v>-5</v>
      </c>
      <c r="O42" s="212">
        <v>-5</v>
      </c>
      <c r="P42" s="212">
        <v>-5</v>
      </c>
      <c r="Q42" s="212">
        <v>-5</v>
      </c>
      <c r="R42" s="212">
        <v>-2.5</v>
      </c>
      <c r="S42" s="212">
        <v>-2.5</v>
      </c>
      <c r="T42" s="212">
        <v>-2.5</v>
      </c>
      <c r="U42" s="212">
        <v>-2.5</v>
      </c>
      <c r="V42" s="212">
        <v>-2.5</v>
      </c>
      <c r="W42" s="212">
        <v>-2.5</v>
      </c>
      <c r="X42" s="212">
        <v>0</v>
      </c>
      <c r="Y42" s="212">
        <v>0</v>
      </c>
      <c r="Z42" s="212">
        <v>0</v>
      </c>
      <c r="AA42" s="212">
        <v>0</v>
      </c>
      <c r="AB42" s="212">
        <v>0</v>
      </c>
      <c r="AC42" s="212">
        <v>2.5</v>
      </c>
      <c r="AD42" s="212">
        <v>2.5</v>
      </c>
      <c r="AE42" s="212">
        <v>2.5</v>
      </c>
      <c r="AF42" s="212">
        <v>2.5</v>
      </c>
      <c r="AG42" s="212">
        <v>2.5</v>
      </c>
      <c r="AH42" s="212">
        <v>2.5</v>
      </c>
      <c r="AI42" s="212">
        <v>2.5</v>
      </c>
      <c r="AJ42" s="212">
        <v>5</v>
      </c>
      <c r="AK42" s="212">
        <v>5</v>
      </c>
      <c r="AL42" s="212">
        <v>5</v>
      </c>
      <c r="AM42" s="212">
        <v>5</v>
      </c>
      <c r="AN42" s="212">
        <v>5</v>
      </c>
      <c r="AO42" s="212">
        <v>5</v>
      </c>
      <c r="AP42" s="212">
        <v>7.5</v>
      </c>
      <c r="AQ42" s="212">
        <v>7.5</v>
      </c>
      <c r="AR42" s="212">
        <v>7.5</v>
      </c>
      <c r="AS42" s="212">
        <v>7.5</v>
      </c>
      <c r="AT42" s="212">
        <v>7.5</v>
      </c>
      <c r="AU42" s="212">
        <v>7.5</v>
      </c>
      <c r="AV42" s="212">
        <v>7.5</v>
      </c>
      <c r="AW42" s="212">
        <v>7.5</v>
      </c>
      <c r="AX42" s="212">
        <v>7.5</v>
      </c>
      <c r="AY42" s="212">
        <v>7.5</v>
      </c>
      <c r="AZ42" s="212">
        <v>7.5</v>
      </c>
      <c r="BA42" s="212">
        <v>7.5</v>
      </c>
      <c r="BB42" s="212">
        <v>7.5</v>
      </c>
      <c r="BC42" s="212">
        <v>7.5</v>
      </c>
      <c r="BD42" s="212">
        <v>7.5</v>
      </c>
      <c r="BE42" s="212">
        <v>7.5</v>
      </c>
      <c r="BF42" s="212">
        <v>7.5</v>
      </c>
      <c r="BG42" s="212">
        <v>7.5</v>
      </c>
      <c r="BH42" s="212">
        <v>7.5</v>
      </c>
      <c r="BI42" s="212">
        <v>7.5</v>
      </c>
      <c r="BJ42" s="212">
        <v>7.5</v>
      </c>
      <c r="BK42" s="212">
        <v>10</v>
      </c>
      <c r="BL42" s="212">
        <v>10</v>
      </c>
      <c r="BM42" s="212">
        <v>10</v>
      </c>
      <c r="BN42" s="212">
        <v>10</v>
      </c>
      <c r="BO42" s="212">
        <v>10</v>
      </c>
      <c r="BP42" s="212">
        <v>10</v>
      </c>
      <c r="BQ42" s="212">
        <v>10</v>
      </c>
      <c r="BR42" s="212">
        <v>10</v>
      </c>
      <c r="BS42" s="212">
        <v>10</v>
      </c>
      <c r="BT42" s="212">
        <v>10</v>
      </c>
      <c r="BU42" s="212">
        <v>10</v>
      </c>
      <c r="BV42" s="212">
        <v>10</v>
      </c>
      <c r="BW42" s="212">
        <v>10</v>
      </c>
      <c r="BX42" s="212">
        <v>10</v>
      </c>
      <c r="BY42" s="212">
        <v>10</v>
      </c>
      <c r="BZ42" s="212">
        <v>10</v>
      </c>
      <c r="CA42" s="212">
        <v>10</v>
      </c>
      <c r="CB42" s="212">
        <v>10</v>
      </c>
      <c r="CC42" s="212">
        <v>10</v>
      </c>
      <c r="CD42" s="212">
        <v>12.5</v>
      </c>
      <c r="CE42" s="212">
        <v>12.5</v>
      </c>
      <c r="CF42" s="212">
        <v>12.5</v>
      </c>
      <c r="CG42" s="212">
        <v>12.5</v>
      </c>
      <c r="CH42" s="212">
        <v>12.5</v>
      </c>
      <c r="CI42" s="212">
        <v>12.5</v>
      </c>
      <c r="CJ42" s="212">
        <v>12.5</v>
      </c>
      <c r="CK42" s="212">
        <v>12.5</v>
      </c>
      <c r="CL42" s="212">
        <v>12.5</v>
      </c>
      <c r="CM42" s="212">
        <v>12.5</v>
      </c>
      <c r="CN42" s="212">
        <v>12.5</v>
      </c>
      <c r="CO42" s="212">
        <v>12.5</v>
      </c>
      <c r="CP42" s="212">
        <v>12.5</v>
      </c>
      <c r="CQ42" s="212">
        <v>12.5</v>
      </c>
      <c r="CR42" s="212">
        <v>12.5</v>
      </c>
      <c r="CS42" s="212">
        <v>12.5</v>
      </c>
      <c r="CT42" s="212">
        <v>12.5</v>
      </c>
      <c r="CU42" s="212">
        <v>12.5</v>
      </c>
      <c r="CV42" s="212">
        <v>12.5</v>
      </c>
      <c r="CW42" s="212">
        <v>12.5</v>
      </c>
      <c r="CX42" s="212">
        <v>15</v>
      </c>
      <c r="CY42" s="212">
        <v>15</v>
      </c>
      <c r="CZ42" s="212">
        <v>15</v>
      </c>
      <c r="DA42" s="212">
        <v>15</v>
      </c>
      <c r="DB42" s="212">
        <v>15</v>
      </c>
      <c r="DC42" s="212">
        <v>15</v>
      </c>
      <c r="DD42" s="212">
        <v>15</v>
      </c>
      <c r="DE42" s="212">
        <v>15</v>
      </c>
      <c r="DF42" s="212">
        <v>15</v>
      </c>
      <c r="DG42" s="212">
        <v>15</v>
      </c>
      <c r="DH42" s="212">
        <v>15</v>
      </c>
      <c r="DI42" s="212">
        <v>15</v>
      </c>
      <c r="DJ42" s="212">
        <v>15</v>
      </c>
      <c r="DK42" s="212">
        <v>15</v>
      </c>
      <c r="DL42" s="212">
        <v>15</v>
      </c>
      <c r="DM42" s="212">
        <v>15</v>
      </c>
      <c r="DN42" s="212">
        <v>15</v>
      </c>
      <c r="DO42" s="212">
        <v>15</v>
      </c>
      <c r="DP42" s="212">
        <v>15</v>
      </c>
      <c r="DQ42" s="212">
        <v>15</v>
      </c>
      <c r="DR42" s="212">
        <v>17.5</v>
      </c>
    </row>
    <row r="43" spans="1:122" ht="22.5" customHeight="1" x14ac:dyDescent="0.45">
      <c r="A43" s="211">
        <v>59</v>
      </c>
      <c r="B43" s="212">
        <v>-5</v>
      </c>
      <c r="C43" s="212">
        <v>-5</v>
      </c>
      <c r="D43" s="212">
        <v>-5</v>
      </c>
      <c r="E43" s="212">
        <v>-5</v>
      </c>
      <c r="F43" s="212">
        <v>-5</v>
      </c>
      <c r="G43" s="212">
        <v>-5</v>
      </c>
      <c r="H43" s="212">
        <v>-5</v>
      </c>
      <c r="I43" s="212">
        <v>-5</v>
      </c>
      <c r="J43" s="212">
        <v>-5</v>
      </c>
      <c r="K43" s="212">
        <v>-5</v>
      </c>
      <c r="L43" s="212">
        <v>-5</v>
      </c>
      <c r="M43" s="212">
        <v>-5</v>
      </c>
      <c r="N43" s="212">
        <v>-5</v>
      </c>
      <c r="O43" s="212">
        <v>-5</v>
      </c>
      <c r="P43" s="212">
        <v>-5</v>
      </c>
      <c r="Q43" s="212">
        <v>-5</v>
      </c>
      <c r="R43" s="212">
        <v>-2.5</v>
      </c>
      <c r="S43" s="212">
        <v>-2.5</v>
      </c>
      <c r="T43" s="212">
        <v>-2.5</v>
      </c>
      <c r="U43" s="212">
        <v>-2.5</v>
      </c>
      <c r="V43" s="212">
        <v>-2.5</v>
      </c>
      <c r="W43" s="212">
        <v>-2.5</v>
      </c>
      <c r="X43" s="212">
        <v>0</v>
      </c>
      <c r="Y43" s="212">
        <v>0</v>
      </c>
      <c r="Z43" s="212">
        <v>0</v>
      </c>
      <c r="AA43" s="212">
        <v>0</v>
      </c>
      <c r="AB43" s="212">
        <v>0</v>
      </c>
      <c r="AC43" s="212">
        <v>2.5</v>
      </c>
      <c r="AD43" s="212">
        <v>2.5</v>
      </c>
      <c r="AE43" s="212">
        <v>2.5</v>
      </c>
      <c r="AF43" s="212">
        <v>2.5</v>
      </c>
      <c r="AG43" s="212">
        <v>2.5</v>
      </c>
      <c r="AH43" s="212">
        <v>2.5</v>
      </c>
      <c r="AI43" s="212">
        <v>2.5</v>
      </c>
      <c r="AJ43" s="212">
        <v>5</v>
      </c>
      <c r="AK43" s="212">
        <v>5</v>
      </c>
      <c r="AL43" s="212">
        <v>5</v>
      </c>
      <c r="AM43" s="212">
        <v>5</v>
      </c>
      <c r="AN43" s="212">
        <v>5</v>
      </c>
      <c r="AO43" s="212">
        <v>5</v>
      </c>
      <c r="AP43" s="212">
        <v>5</v>
      </c>
      <c r="AQ43" s="212">
        <v>7.5</v>
      </c>
      <c r="AR43" s="212">
        <v>7.5</v>
      </c>
      <c r="AS43" s="212">
        <v>7.5</v>
      </c>
      <c r="AT43" s="212">
        <v>7.5</v>
      </c>
      <c r="AU43" s="212">
        <v>7.5</v>
      </c>
      <c r="AV43" s="212">
        <v>7.5</v>
      </c>
      <c r="AW43" s="212">
        <v>7.5</v>
      </c>
      <c r="AX43" s="212">
        <v>7.5</v>
      </c>
      <c r="AY43" s="212">
        <v>7.5</v>
      </c>
      <c r="AZ43" s="212">
        <v>7.5</v>
      </c>
      <c r="BA43" s="212">
        <v>7.5</v>
      </c>
      <c r="BB43" s="212">
        <v>7.5</v>
      </c>
      <c r="BC43" s="212">
        <v>7.5</v>
      </c>
      <c r="BD43" s="212">
        <v>7.5</v>
      </c>
      <c r="BE43" s="212">
        <v>7.5</v>
      </c>
      <c r="BF43" s="212">
        <v>7.5</v>
      </c>
      <c r="BG43" s="212">
        <v>7.5</v>
      </c>
      <c r="BH43" s="212">
        <v>7.5</v>
      </c>
      <c r="BI43" s="212">
        <v>7.5</v>
      </c>
      <c r="BJ43" s="212">
        <v>7.5</v>
      </c>
      <c r="BK43" s="212">
        <v>7.5</v>
      </c>
      <c r="BL43" s="212">
        <v>7.5</v>
      </c>
      <c r="BM43" s="212">
        <v>7.5</v>
      </c>
      <c r="BN43" s="212">
        <v>7.5</v>
      </c>
      <c r="BO43" s="212">
        <v>7.5</v>
      </c>
      <c r="BP43" s="212">
        <v>7.5</v>
      </c>
      <c r="BQ43" s="212">
        <v>7.5</v>
      </c>
      <c r="BR43" s="212">
        <v>7.5</v>
      </c>
      <c r="BS43" s="212">
        <v>7.5</v>
      </c>
      <c r="BT43" s="212">
        <v>7.5</v>
      </c>
      <c r="BU43" s="212">
        <v>10</v>
      </c>
      <c r="BV43" s="212">
        <v>10</v>
      </c>
      <c r="BW43" s="212">
        <v>10</v>
      </c>
      <c r="BX43" s="212">
        <v>10</v>
      </c>
      <c r="BY43" s="212">
        <v>10</v>
      </c>
      <c r="BZ43" s="212">
        <v>10</v>
      </c>
      <c r="CA43" s="212">
        <v>10</v>
      </c>
      <c r="CB43" s="212">
        <v>10</v>
      </c>
      <c r="CC43" s="212">
        <v>10</v>
      </c>
      <c r="CD43" s="212">
        <v>10</v>
      </c>
      <c r="CE43" s="212">
        <v>12.5</v>
      </c>
      <c r="CF43" s="212">
        <v>12.5</v>
      </c>
      <c r="CG43" s="212">
        <v>12.5</v>
      </c>
      <c r="CH43" s="212">
        <v>12.5</v>
      </c>
      <c r="CI43" s="212">
        <v>12.5</v>
      </c>
      <c r="CJ43" s="212">
        <v>12.5</v>
      </c>
      <c r="CK43" s="212">
        <v>12.5</v>
      </c>
      <c r="CL43" s="212">
        <v>12.5</v>
      </c>
      <c r="CM43" s="212">
        <v>12.5</v>
      </c>
      <c r="CN43" s="212">
        <v>12.5</v>
      </c>
      <c r="CO43" s="212">
        <v>12.5</v>
      </c>
      <c r="CP43" s="212">
        <v>12.5</v>
      </c>
      <c r="CQ43" s="212">
        <v>12.5</v>
      </c>
      <c r="CR43" s="212">
        <v>12.5</v>
      </c>
      <c r="CS43" s="212">
        <v>12.5</v>
      </c>
      <c r="CT43" s="212">
        <v>12.5</v>
      </c>
      <c r="CU43" s="212">
        <v>12.5</v>
      </c>
      <c r="CV43" s="212">
        <v>12.5</v>
      </c>
      <c r="CW43" s="212">
        <v>12.5</v>
      </c>
      <c r="CX43" s="212">
        <v>12.5</v>
      </c>
      <c r="CY43" s="212">
        <v>15</v>
      </c>
      <c r="CZ43" s="212">
        <v>15</v>
      </c>
      <c r="DA43" s="212">
        <v>15</v>
      </c>
      <c r="DB43" s="212">
        <v>15</v>
      </c>
      <c r="DC43" s="212">
        <v>15</v>
      </c>
      <c r="DD43" s="212">
        <v>15</v>
      </c>
      <c r="DE43" s="212">
        <v>15</v>
      </c>
      <c r="DF43" s="212">
        <v>15</v>
      </c>
      <c r="DG43" s="212">
        <v>15</v>
      </c>
      <c r="DH43" s="212">
        <v>15</v>
      </c>
      <c r="DI43" s="212">
        <v>15</v>
      </c>
      <c r="DJ43" s="212">
        <v>15</v>
      </c>
      <c r="DK43" s="212">
        <v>15</v>
      </c>
      <c r="DL43" s="212">
        <v>15</v>
      </c>
      <c r="DM43" s="212">
        <v>15</v>
      </c>
      <c r="DN43" s="212">
        <v>15</v>
      </c>
      <c r="DO43" s="212">
        <v>15</v>
      </c>
      <c r="DP43" s="212">
        <v>15</v>
      </c>
      <c r="DQ43" s="212">
        <v>15</v>
      </c>
      <c r="DR43" s="212">
        <v>15</v>
      </c>
    </row>
    <row r="44" spans="1:122" ht="22.5" customHeight="1" x14ac:dyDescent="0.45">
      <c r="A44" s="211">
        <v>58</v>
      </c>
      <c r="B44" s="212">
        <v>-5</v>
      </c>
      <c r="C44" s="212">
        <v>-5</v>
      </c>
      <c r="D44" s="212">
        <v>-5</v>
      </c>
      <c r="E44" s="212">
        <v>-5</v>
      </c>
      <c r="F44" s="212">
        <v>-5</v>
      </c>
      <c r="G44" s="212">
        <v>-5</v>
      </c>
      <c r="H44" s="212">
        <v>-5</v>
      </c>
      <c r="I44" s="212">
        <v>-5</v>
      </c>
      <c r="J44" s="212">
        <v>-5</v>
      </c>
      <c r="K44" s="212">
        <v>-5</v>
      </c>
      <c r="L44" s="212">
        <v>-5</v>
      </c>
      <c r="M44" s="212">
        <v>-5</v>
      </c>
      <c r="N44" s="212">
        <v>-5</v>
      </c>
      <c r="O44" s="212">
        <v>-5</v>
      </c>
      <c r="P44" s="212">
        <v>-5</v>
      </c>
      <c r="Q44" s="212">
        <v>-5</v>
      </c>
      <c r="R44" s="212">
        <v>-2.5</v>
      </c>
      <c r="S44" s="212">
        <v>-2.5</v>
      </c>
      <c r="T44" s="212">
        <v>-2.5</v>
      </c>
      <c r="U44" s="212">
        <v>-2.5</v>
      </c>
      <c r="V44" s="212">
        <v>-2.5</v>
      </c>
      <c r="W44" s="212">
        <v>-2.5</v>
      </c>
      <c r="X44" s="212">
        <v>-2.5</v>
      </c>
      <c r="Y44" s="212">
        <v>0</v>
      </c>
      <c r="Z44" s="212">
        <v>0</v>
      </c>
      <c r="AA44" s="212">
        <v>0</v>
      </c>
      <c r="AB44" s="212">
        <v>0</v>
      </c>
      <c r="AC44" s="212">
        <v>2.5</v>
      </c>
      <c r="AD44" s="212">
        <v>2.5</v>
      </c>
      <c r="AE44" s="212">
        <v>2.5</v>
      </c>
      <c r="AF44" s="212">
        <v>2.5</v>
      </c>
      <c r="AG44" s="212">
        <v>2.5</v>
      </c>
      <c r="AH44" s="212">
        <v>2.5</v>
      </c>
      <c r="AI44" s="212">
        <v>2.5</v>
      </c>
      <c r="AJ44" s="212">
        <v>5</v>
      </c>
      <c r="AK44" s="212">
        <v>5</v>
      </c>
      <c r="AL44" s="212">
        <v>5</v>
      </c>
      <c r="AM44" s="212">
        <v>5</v>
      </c>
      <c r="AN44" s="212">
        <v>5</v>
      </c>
      <c r="AO44" s="212">
        <v>5</v>
      </c>
      <c r="AP44" s="212">
        <v>5</v>
      </c>
      <c r="AQ44" s="212">
        <v>5</v>
      </c>
      <c r="AR44" s="212">
        <v>7.5</v>
      </c>
      <c r="AS44" s="212">
        <v>7.5</v>
      </c>
      <c r="AT44" s="212">
        <v>7.5</v>
      </c>
      <c r="AU44" s="212">
        <v>7.5</v>
      </c>
      <c r="AV44" s="212">
        <v>7.5</v>
      </c>
      <c r="AW44" s="212">
        <v>7.5</v>
      </c>
      <c r="AX44" s="212">
        <v>7.5</v>
      </c>
      <c r="AY44" s="212">
        <v>7.5</v>
      </c>
      <c r="AZ44" s="212">
        <v>7.5</v>
      </c>
      <c r="BA44" s="212">
        <v>7.5</v>
      </c>
      <c r="BB44" s="212">
        <v>7.5</v>
      </c>
      <c r="BC44" s="212">
        <v>7.5</v>
      </c>
      <c r="BD44" s="212">
        <v>7.5</v>
      </c>
      <c r="BE44" s="212">
        <v>7.5</v>
      </c>
      <c r="BF44" s="212">
        <v>7.5</v>
      </c>
      <c r="BG44" s="212">
        <v>7.5</v>
      </c>
      <c r="BH44" s="212">
        <v>7.5</v>
      </c>
      <c r="BI44" s="212">
        <v>7.5</v>
      </c>
      <c r="BJ44" s="212">
        <v>7.5</v>
      </c>
      <c r="BK44" s="212">
        <v>7.5</v>
      </c>
      <c r="BL44" s="212">
        <v>7.5</v>
      </c>
      <c r="BM44" s="212">
        <v>7.5</v>
      </c>
      <c r="BN44" s="212">
        <v>7.5</v>
      </c>
      <c r="BO44" s="212">
        <v>7.5</v>
      </c>
      <c r="BP44" s="212">
        <v>7.5</v>
      </c>
      <c r="BQ44" s="212">
        <v>7.5</v>
      </c>
      <c r="BR44" s="212">
        <v>7.5</v>
      </c>
      <c r="BS44" s="212">
        <v>7.5</v>
      </c>
      <c r="BT44" s="212">
        <v>7.5</v>
      </c>
      <c r="BU44" s="212">
        <v>7.5</v>
      </c>
      <c r="BV44" s="212">
        <v>7.5</v>
      </c>
      <c r="BW44" s="212">
        <v>7.5</v>
      </c>
      <c r="BX44" s="212">
        <v>7.5</v>
      </c>
      <c r="BY44" s="212">
        <v>10</v>
      </c>
      <c r="BZ44" s="212">
        <v>10</v>
      </c>
      <c r="CA44" s="212">
        <v>10</v>
      </c>
      <c r="CB44" s="212">
        <v>10</v>
      </c>
      <c r="CC44" s="212">
        <v>10</v>
      </c>
      <c r="CD44" s="212">
        <v>10</v>
      </c>
      <c r="CE44" s="212">
        <v>10</v>
      </c>
      <c r="CF44" s="212">
        <v>12.5</v>
      </c>
      <c r="CG44" s="212">
        <v>12.5</v>
      </c>
      <c r="CH44" s="212">
        <v>12.5</v>
      </c>
      <c r="CI44" s="212">
        <v>12.5</v>
      </c>
      <c r="CJ44" s="212">
        <v>12.5</v>
      </c>
      <c r="CK44" s="212">
        <v>12.5</v>
      </c>
      <c r="CL44" s="212">
        <v>12.5</v>
      </c>
      <c r="CM44" s="212">
        <v>12.5</v>
      </c>
      <c r="CN44" s="212">
        <v>12.5</v>
      </c>
      <c r="CO44" s="212">
        <v>12.5</v>
      </c>
      <c r="CP44" s="212">
        <v>12.5</v>
      </c>
      <c r="CQ44" s="212">
        <v>12.5</v>
      </c>
      <c r="CR44" s="212">
        <v>12.5</v>
      </c>
      <c r="CS44" s="212">
        <v>12.5</v>
      </c>
      <c r="CT44" s="212">
        <v>12.5</v>
      </c>
      <c r="CU44" s="212">
        <v>12.5</v>
      </c>
      <c r="CV44" s="212">
        <v>12.5</v>
      </c>
      <c r="CW44" s="212">
        <v>12.5</v>
      </c>
      <c r="CX44" s="212">
        <v>12.5</v>
      </c>
      <c r="CY44" s="212">
        <v>12.5</v>
      </c>
      <c r="CZ44" s="212">
        <v>15</v>
      </c>
      <c r="DA44" s="212">
        <v>15</v>
      </c>
      <c r="DB44" s="212">
        <v>15</v>
      </c>
      <c r="DC44" s="212">
        <v>15</v>
      </c>
      <c r="DD44" s="212">
        <v>15</v>
      </c>
      <c r="DE44" s="212">
        <v>15</v>
      </c>
      <c r="DF44" s="212">
        <v>15</v>
      </c>
      <c r="DG44" s="212">
        <v>15</v>
      </c>
      <c r="DH44" s="212">
        <v>15</v>
      </c>
      <c r="DI44" s="212">
        <v>15</v>
      </c>
      <c r="DJ44" s="212">
        <v>15</v>
      </c>
      <c r="DK44" s="212">
        <v>15</v>
      </c>
      <c r="DL44" s="212">
        <v>15</v>
      </c>
      <c r="DM44" s="212">
        <v>15</v>
      </c>
      <c r="DN44" s="212">
        <v>15</v>
      </c>
      <c r="DO44" s="212">
        <v>15</v>
      </c>
      <c r="DP44" s="212">
        <v>15</v>
      </c>
      <c r="DQ44" s="212">
        <v>15</v>
      </c>
      <c r="DR44" s="212">
        <v>15</v>
      </c>
    </row>
    <row r="45" spans="1:122" ht="22.5" customHeight="1" x14ac:dyDescent="0.45">
      <c r="A45" s="211">
        <v>57</v>
      </c>
      <c r="B45" s="212">
        <v>-5</v>
      </c>
      <c r="C45" s="212">
        <v>-5</v>
      </c>
      <c r="D45" s="212">
        <v>-5</v>
      </c>
      <c r="E45" s="212">
        <v>-5</v>
      </c>
      <c r="F45" s="212">
        <v>-5</v>
      </c>
      <c r="G45" s="212">
        <v>-5</v>
      </c>
      <c r="H45" s="212">
        <v>-5</v>
      </c>
      <c r="I45" s="212">
        <v>-5</v>
      </c>
      <c r="J45" s="212">
        <v>-5</v>
      </c>
      <c r="K45" s="212">
        <v>-5</v>
      </c>
      <c r="L45" s="212">
        <v>-5</v>
      </c>
      <c r="M45" s="212">
        <v>-5</v>
      </c>
      <c r="N45" s="212">
        <v>-5</v>
      </c>
      <c r="O45" s="212">
        <v>-5</v>
      </c>
      <c r="P45" s="212">
        <v>-5</v>
      </c>
      <c r="Q45" s="212">
        <v>-5</v>
      </c>
      <c r="R45" s="212">
        <v>-2.5</v>
      </c>
      <c r="S45" s="212">
        <v>-2.5</v>
      </c>
      <c r="T45" s="212">
        <v>-2.5</v>
      </c>
      <c r="U45" s="212">
        <v>-2.5</v>
      </c>
      <c r="V45" s="212">
        <v>-2.5</v>
      </c>
      <c r="W45" s="212">
        <v>-2.5</v>
      </c>
      <c r="X45" s="212">
        <v>-2.5</v>
      </c>
      <c r="Y45" s="212">
        <v>0</v>
      </c>
      <c r="Z45" s="212">
        <v>0</v>
      </c>
      <c r="AA45" s="212">
        <v>0</v>
      </c>
      <c r="AB45" s="212">
        <v>0</v>
      </c>
      <c r="AC45" s="212">
        <v>0</v>
      </c>
      <c r="AD45" s="212">
        <v>2.5</v>
      </c>
      <c r="AE45" s="212">
        <v>2.5</v>
      </c>
      <c r="AF45" s="212">
        <v>2.5</v>
      </c>
      <c r="AG45" s="212">
        <v>2.5</v>
      </c>
      <c r="AH45" s="212">
        <v>2.5</v>
      </c>
      <c r="AI45" s="212">
        <v>2.5</v>
      </c>
      <c r="AJ45" s="212">
        <v>2.5</v>
      </c>
      <c r="AK45" s="212">
        <v>5</v>
      </c>
      <c r="AL45" s="212">
        <v>5</v>
      </c>
      <c r="AM45" s="212">
        <v>5</v>
      </c>
      <c r="AN45" s="212">
        <v>5</v>
      </c>
      <c r="AO45" s="212">
        <v>5</v>
      </c>
      <c r="AP45" s="212">
        <v>5</v>
      </c>
      <c r="AQ45" s="212">
        <v>5</v>
      </c>
      <c r="AR45" s="212">
        <v>5</v>
      </c>
      <c r="AS45" s="212">
        <v>7.5</v>
      </c>
      <c r="AT45" s="212">
        <v>7.5</v>
      </c>
      <c r="AU45" s="212">
        <v>7.5</v>
      </c>
      <c r="AV45" s="212">
        <v>7.5</v>
      </c>
      <c r="AW45" s="212">
        <v>7.5</v>
      </c>
      <c r="AX45" s="212">
        <v>7.5</v>
      </c>
      <c r="AY45" s="212">
        <v>7.5</v>
      </c>
      <c r="AZ45" s="212">
        <v>7.5</v>
      </c>
      <c r="BA45" s="212">
        <v>7.5</v>
      </c>
      <c r="BB45" s="212">
        <v>7.5</v>
      </c>
      <c r="BC45" s="212">
        <v>7.5</v>
      </c>
      <c r="BD45" s="212">
        <v>7.5</v>
      </c>
      <c r="BE45" s="212">
        <v>7.5</v>
      </c>
      <c r="BF45" s="212">
        <v>7.5</v>
      </c>
      <c r="BG45" s="212">
        <v>7.5</v>
      </c>
      <c r="BH45" s="212">
        <v>7.5</v>
      </c>
      <c r="BI45" s="212">
        <v>7.5</v>
      </c>
      <c r="BJ45" s="212">
        <v>7.5</v>
      </c>
      <c r="BK45" s="212">
        <v>7.5</v>
      </c>
      <c r="BL45" s="212">
        <v>7.5</v>
      </c>
      <c r="BM45" s="212">
        <v>7.5</v>
      </c>
      <c r="BN45" s="212">
        <v>7.5</v>
      </c>
      <c r="BO45" s="212">
        <v>7.5</v>
      </c>
      <c r="BP45" s="212">
        <v>7.5</v>
      </c>
      <c r="BQ45" s="212">
        <v>7.5</v>
      </c>
      <c r="BR45" s="212">
        <v>7.5</v>
      </c>
      <c r="BS45" s="212">
        <v>7.5</v>
      </c>
      <c r="BT45" s="212">
        <v>7.5</v>
      </c>
      <c r="BU45" s="212">
        <v>7.5</v>
      </c>
      <c r="BV45" s="212">
        <v>7.5</v>
      </c>
      <c r="BW45" s="212">
        <v>7.5</v>
      </c>
      <c r="BX45" s="212">
        <v>7.5</v>
      </c>
      <c r="BY45" s="212">
        <v>7.5</v>
      </c>
      <c r="BZ45" s="212">
        <v>10</v>
      </c>
      <c r="CA45" s="212">
        <v>10</v>
      </c>
      <c r="CB45" s="212">
        <v>10</v>
      </c>
      <c r="CC45" s="212">
        <v>10</v>
      </c>
      <c r="CD45" s="212">
        <v>10</v>
      </c>
      <c r="CE45" s="212">
        <v>10</v>
      </c>
      <c r="CF45" s="212">
        <v>10</v>
      </c>
      <c r="CG45" s="212">
        <v>12.5</v>
      </c>
      <c r="CH45" s="212">
        <v>12.5</v>
      </c>
      <c r="CI45" s="212">
        <v>12.5</v>
      </c>
      <c r="CJ45" s="212">
        <v>12.5</v>
      </c>
      <c r="CK45" s="212">
        <v>12.5</v>
      </c>
      <c r="CL45" s="212">
        <v>12.5</v>
      </c>
      <c r="CM45" s="212">
        <v>12.5</v>
      </c>
      <c r="CN45" s="212">
        <v>12.5</v>
      </c>
      <c r="CO45" s="212">
        <v>12.5</v>
      </c>
      <c r="CP45" s="212">
        <v>12.5</v>
      </c>
      <c r="CQ45" s="212">
        <v>12.5</v>
      </c>
      <c r="CR45" s="212">
        <v>12.5</v>
      </c>
      <c r="CS45" s="212">
        <v>12.5</v>
      </c>
      <c r="CT45" s="212">
        <v>12.5</v>
      </c>
      <c r="CU45" s="212">
        <v>12.5</v>
      </c>
      <c r="CV45" s="212">
        <v>12.5</v>
      </c>
      <c r="CW45" s="212">
        <v>12.5</v>
      </c>
      <c r="CX45" s="212">
        <v>12.5</v>
      </c>
      <c r="CY45" s="212">
        <v>12.5</v>
      </c>
      <c r="CZ45" s="212">
        <v>12.5</v>
      </c>
      <c r="DA45" s="212">
        <v>15</v>
      </c>
      <c r="DB45" s="212">
        <v>15</v>
      </c>
      <c r="DC45" s="212">
        <v>15</v>
      </c>
      <c r="DD45" s="212">
        <v>15</v>
      </c>
      <c r="DE45" s="212">
        <v>15</v>
      </c>
      <c r="DF45" s="212">
        <v>15</v>
      </c>
      <c r="DG45" s="212">
        <v>15</v>
      </c>
      <c r="DH45" s="212">
        <v>15</v>
      </c>
      <c r="DI45" s="212">
        <v>15</v>
      </c>
      <c r="DJ45" s="212">
        <v>15</v>
      </c>
      <c r="DK45" s="212">
        <v>15</v>
      </c>
      <c r="DL45" s="212">
        <v>15</v>
      </c>
      <c r="DM45" s="212">
        <v>15</v>
      </c>
      <c r="DN45" s="212">
        <v>15</v>
      </c>
      <c r="DO45" s="212">
        <v>15</v>
      </c>
      <c r="DP45" s="212">
        <v>15</v>
      </c>
      <c r="DQ45" s="212">
        <v>15</v>
      </c>
      <c r="DR45" s="212">
        <v>15</v>
      </c>
    </row>
    <row r="46" spans="1:122" ht="22.5" customHeight="1" x14ac:dyDescent="0.45">
      <c r="A46" s="211">
        <v>56</v>
      </c>
      <c r="B46" s="212">
        <v>-5</v>
      </c>
      <c r="C46" s="212">
        <v>-5</v>
      </c>
      <c r="D46" s="212">
        <v>-5</v>
      </c>
      <c r="E46" s="212">
        <v>-5</v>
      </c>
      <c r="F46" s="212">
        <v>-5</v>
      </c>
      <c r="G46" s="212">
        <v>-5</v>
      </c>
      <c r="H46" s="212">
        <v>-5</v>
      </c>
      <c r="I46" s="212">
        <v>-5</v>
      </c>
      <c r="J46" s="212">
        <v>-5</v>
      </c>
      <c r="K46" s="212">
        <v>-5</v>
      </c>
      <c r="L46" s="212">
        <v>-5</v>
      </c>
      <c r="M46" s="212">
        <v>-5</v>
      </c>
      <c r="N46" s="212">
        <v>-5</v>
      </c>
      <c r="O46" s="212">
        <v>-5</v>
      </c>
      <c r="P46" s="212">
        <v>-5</v>
      </c>
      <c r="Q46" s="212">
        <v>-2.5</v>
      </c>
      <c r="R46" s="212">
        <v>-2.5</v>
      </c>
      <c r="S46" s="212">
        <v>-2.5</v>
      </c>
      <c r="T46" s="212">
        <v>-2.5</v>
      </c>
      <c r="U46" s="212">
        <v>-2.5</v>
      </c>
      <c r="V46" s="212">
        <v>-2.5</v>
      </c>
      <c r="W46" s="212">
        <v>-2.5</v>
      </c>
      <c r="X46" s="212">
        <v>-2.5</v>
      </c>
      <c r="Y46" s="212">
        <v>0</v>
      </c>
      <c r="Z46" s="212">
        <v>0</v>
      </c>
      <c r="AA46" s="212">
        <v>0</v>
      </c>
      <c r="AB46" s="212">
        <v>0</v>
      </c>
      <c r="AC46" s="212">
        <v>0</v>
      </c>
      <c r="AD46" s="212">
        <v>2.5</v>
      </c>
      <c r="AE46" s="212">
        <v>2.5</v>
      </c>
      <c r="AF46" s="212">
        <v>2.5</v>
      </c>
      <c r="AG46" s="212">
        <v>2.5</v>
      </c>
      <c r="AH46" s="212">
        <v>2.5</v>
      </c>
      <c r="AI46" s="212">
        <v>2.5</v>
      </c>
      <c r="AJ46" s="212">
        <v>2.5</v>
      </c>
      <c r="AK46" s="212">
        <v>5</v>
      </c>
      <c r="AL46" s="212">
        <v>5</v>
      </c>
      <c r="AM46" s="212">
        <v>5</v>
      </c>
      <c r="AN46" s="212">
        <v>5</v>
      </c>
      <c r="AO46" s="212">
        <v>5</v>
      </c>
      <c r="AP46" s="212">
        <v>5</v>
      </c>
      <c r="AQ46" s="212">
        <v>5</v>
      </c>
      <c r="AR46" s="212">
        <v>5</v>
      </c>
      <c r="AS46" s="212">
        <v>5</v>
      </c>
      <c r="AT46" s="212">
        <v>7.5</v>
      </c>
      <c r="AU46" s="212">
        <v>7.5</v>
      </c>
      <c r="AV46" s="212">
        <v>7.5</v>
      </c>
      <c r="AW46" s="212">
        <v>7.5</v>
      </c>
      <c r="AX46" s="212">
        <v>7.5</v>
      </c>
      <c r="AY46" s="212">
        <v>7.5</v>
      </c>
      <c r="AZ46" s="212">
        <v>7.5</v>
      </c>
      <c r="BA46" s="212">
        <v>7.5</v>
      </c>
      <c r="BB46" s="212">
        <v>7.5</v>
      </c>
      <c r="BC46" s="212">
        <v>7.5</v>
      </c>
      <c r="BD46" s="212">
        <v>7.5</v>
      </c>
      <c r="BE46" s="212">
        <v>7.5</v>
      </c>
      <c r="BF46" s="212">
        <v>7.5</v>
      </c>
      <c r="BG46" s="212">
        <v>7.5</v>
      </c>
      <c r="BH46" s="212">
        <v>7.5</v>
      </c>
      <c r="BI46" s="212">
        <v>7.5</v>
      </c>
      <c r="BJ46" s="212">
        <v>7.5</v>
      </c>
      <c r="BK46" s="212">
        <v>7.5</v>
      </c>
      <c r="BL46" s="212">
        <v>7.5</v>
      </c>
      <c r="BM46" s="212">
        <v>7.5</v>
      </c>
      <c r="BN46" s="212">
        <v>7.5</v>
      </c>
      <c r="BO46" s="212">
        <v>7.5</v>
      </c>
      <c r="BP46" s="212">
        <v>7.5</v>
      </c>
      <c r="BQ46" s="212">
        <v>7.5</v>
      </c>
      <c r="BR46" s="212">
        <v>7.5</v>
      </c>
      <c r="BS46" s="212">
        <v>7.5</v>
      </c>
      <c r="BT46" s="212">
        <v>7.5</v>
      </c>
      <c r="BU46" s="212">
        <v>7.5</v>
      </c>
      <c r="BV46" s="212">
        <v>7.5</v>
      </c>
      <c r="BW46" s="212">
        <v>7.5</v>
      </c>
      <c r="BX46" s="212">
        <v>7.5</v>
      </c>
      <c r="BY46" s="212">
        <v>7.5</v>
      </c>
      <c r="BZ46" s="212">
        <v>10</v>
      </c>
      <c r="CA46" s="212">
        <v>10</v>
      </c>
      <c r="CB46" s="212">
        <v>10</v>
      </c>
      <c r="CC46" s="212">
        <v>10</v>
      </c>
      <c r="CD46" s="212">
        <v>10</v>
      </c>
      <c r="CE46" s="212">
        <v>10</v>
      </c>
      <c r="CF46" s="212">
        <v>10</v>
      </c>
      <c r="CG46" s="212">
        <v>10</v>
      </c>
      <c r="CH46" s="212">
        <v>12.5</v>
      </c>
      <c r="CI46" s="212">
        <v>12.5</v>
      </c>
      <c r="CJ46" s="212">
        <v>12.5</v>
      </c>
      <c r="CK46" s="212">
        <v>12.5</v>
      </c>
      <c r="CL46" s="212">
        <v>12.5</v>
      </c>
      <c r="CM46" s="212">
        <v>12.5</v>
      </c>
      <c r="CN46" s="212">
        <v>12.5</v>
      </c>
      <c r="CO46" s="212">
        <v>12.5</v>
      </c>
      <c r="CP46" s="212">
        <v>12.5</v>
      </c>
      <c r="CQ46" s="212">
        <v>12.5</v>
      </c>
      <c r="CR46" s="212">
        <v>12.5</v>
      </c>
      <c r="CS46" s="212">
        <v>12.5</v>
      </c>
      <c r="CT46" s="212">
        <v>12.5</v>
      </c>
      <c r="CU46" s="212">
        <v>12.5</v>
      </c>
      <c r="CV46" s="212">
        <v>12.5</v>
      </c>
      <c r="CW46" s="212">
        <v>12.5</v>
      </c>
      <c r="CX46" s="212">
        <v>12.5</v>
      </c>
      <c r="CY46" s="212">
        <v>12.5</v>
      </c>
      <c r="CZ46" s="212">
        <v>12.5</v>
      </c>
      <c r="DA46" s="212">
        <v>12.5</v>
      </c>
      <c r="DB46" s="212">
        <v>15</v>
      </c>
      <c r="DC46" s="212">
        <v>15</v>
      </c>
      <c r="DD46" s="212">
        <v>15</v>
      </c>
      <c r="DE46" s="212">
        <v>15</v>
      </c>
      <c r="DF46" s="212">
        <v>15</v>
      </c>
      <c r="DG46" s="212">
        <v>15</v>
      </c>
      <c r="DH46" s="212">
        <v>15</v>
      </c>
      <c r="DI46" s="212">
        <v>15</v>
      </c>
      <c r="DJ46" s="212">
        <v>15</v>
      </c>
      <c r="DK46" s="212">
        <v>15</v>
      </c>
      <c r="DL46" s="212">
        <v>15</v>
      </c>
      <c r="DM46" s="212">
        <v>15</v>
      </c>
      <c r="DN46" s="212">
        <v>15</v>
      </c>
      <c r="DO46" s="212">
        <v>15</v>
      </c>
      <c r="DP46" s="212">
        <v>15</v>
      </c>
      <c r="DQ46" s="212">
        <v>15</v>
      </c>
      <c r="DR46" s="212">
        <v>15</v>
      </c>
    </row>
    <row r="47" spans="1:122" ht="22.5" customHeight="1" x14ac:dyDescent="0.45">
      <c r="A47" s="211">
        <v>55</v>
      </c>
      <c r="B47" s="212">
        <v>-5</v>
      </c>
      <c r="C47" s="212">
        <v>-5</v>
      </c>
      <c r="D47" s="212">
        <v>-5</v>
      </c>
      <c r="E47" s="212">
        <v>-5</v>
      </c>
      <c r="F47" s="212">
        <v>-5</v>
      </c>
      <c r="G47" s="212">
        <v>-5</v>
      </c>
      <c r="H47" s="212">
        <v>-5</v>
      </c>
      <c r="I47" s="212">
        <v>-5</v>
      </c>
      <c r="J47" s="212">
        <v>-5</v>
      </c>
      <c r="K47" s="212">
        <v>-5</v>
      </c>
      <c r="L47" s="212">
        <v>-5</v>
      </c>
      <c r="M47" s="212">
        <v>-5</v>
      </c>
      <c r="N47" s="212">
        <v>-5</v>
      </c>
      <c r="O47" s="212">
        <v>-5</v>
      </c>
      <c r="P47" s="212">
        <v>-5</v>
      </c>
      <c r="Q47" s="212">
        <v>-2.5</v>
      </c>
      <c r="R47" s="212">
        <v>-2.5</v>
      </c>
      <c r="S47" s="212">
        <v>-2.5</v>
      </c>
      <c r="T47" s="212">
        <v>-2.5</v>
      </c>
      <c r="U47" s="212">
        <v>-2.5</v>
      </c>
      <c r="V47" s="212">
        <v>-2.5</v>
      </c>
      <c r="W47" s="212">
        <v>-2.5</v>
      </c>
      <c r="X47" s="212">
        <v>-2.5</v>
      </c>
      <c r="Y47" s="212">
        <v>-2.5</v>
      </c>
      <c r="Z47" s="212">
        <v>0</v>
      </c>
      <c r="AA47" s="212">
        <v>0</v>
      </c>
      <c r="AB47" s="212">
        <v>0</v>
      </c>
      <c r="AC47" s="212">
        <v>0</v>
      </c>
      <c r="AD47" s="212">
        <v>2.5</v>
      </c>
      <c r="AE47" s="212">
        <v>2.5</v>
      </c>
      <c r="AF47" s="212">
        <v>2.5</v>
      </c>
      <c r="AG47" s="212">
        <v>2.5</v>
      </c>
      <c r="AH47" s="212">
        <v>2.5</v>
      </c>
      <c r="AI47" s="212">
        <v>2.5</v>
      </c>
      <c r="AJ47" s="212">
        <v>2.5</v>
      </c>
      <c r="AK47" s="212">
        <v>5</v>
      </c>
      <c r="AL47" s="212">
        <v>5</v>
      </c>
      <c r="AM47" s="212">
        <v>5</v>
      </c>
      <c r="AN47" s="212">
        <v>5</v>
      </c>
      <c r="AO47" s="212">
        <v>5</v>
      </c>
      <c r="AP47" s="212">
        <v>5</v>
      </c>
      <c r="AQ47" s="212">
        <v>5</v>
      </c>
      <c r="AR47" s="212">
        <v>5</v>
      </c>
      <c r="AS47" s="212">
        <v>5</v>
      </c>
      <c r="AT47" s="212">
        <v>5</v>
      </c>
      <c r="AU47" s="212">
        <v>7.5</v>
      </c>
      <c r="AV47" s="212">
        <v>7.5</v>
      </c>
      <c r="AW47" s="212">
        <v>7.5</v>
      </c>
      <c r="AX47" s="212">
        <v>7.5</v>
      </c>
      <c r="AY47" s="212">
        <v>7.5</v>
      </c>
      <c r="AZ47" s="212">
        <v>7.5</v>
      </c>
      <c r="BA47" s="212">
        <v>7.5</v>
      </c>
      <c r="BB47" s="212">
        <v>7.5</v>
      </c>
      <c r="BC47" s="212">
        <v>7.5</v>
      </c>
      <c r="BD47" s="212">
        <v>7.5</v>
      </c>
      <c r="BE47" s="212">
        <v>7.5</v>
      </c>
      <c r="BF47" s="212">
        <v>7.5</v>
      </c>
      <c r="BG47" s="212">
        <v>7.5</v>
      </c>
      <c r="BH47" s="212">
        <v>7.5</v>
      </c>
      <c r="BI47" s="212">
        <v>7.5</v>
      </c>
      <c r="BJ47" s="212">
        <v>7.5</v>
      </c>
      <c r="BK47" s="212">
        <v>7.5</v>
      </c>
      <c r="BL47" s="212">
        <v>7.5</v>
      </c>
      <c r="BM47" s="212">
        <v>7.5</v>
      </c>
      <c r="BN47" s="212">
        <v>7.5</v>
      </c>
      <c r="BO47" s="212">
        <v>7.5</v>
      </c>
      <c r="BP47" s="212">
        <v>7.5</v>
      </c>
      <c r="BQ47" s="212">
        <v>7.5</v>
      </c>
      <c r="BR47" s="212">
        <v>7.5</v>
      </c>
      <c r="BS47" s="212">
        <v>7.5</v>
      </c>
      <c r="BT47" s="212">
        <v>7.5</v>
      </c>
      <c r="BU47" s="212">
        <v>7.5</v>
      </c>
      <c r="BV47" s="212">
        <v>7.5</v>
      </c>
      <c r="BW47" s="212">
        <v>7.5</v>
      </c>
      <c r="BX47" s="212">
        <v>7.5</v>
      </c>
      <c r="BY47" s="212">
        <v>7.5</v>
      </c>
      <c r="BZ47" s="212">
        <v>10</v>
      </c>
      <c r="CA47" s="212">
        <v>10</v>
      </c>
      <c r="CB47" s="212">
        <v>10</v>
      </c>
      <c r="CC47" s="212">
        <v>10</v>
      </c>
      <c r="CD47" s="212">
        <v>10</v>
      </c>
      <c r="CE47" s="212">
        <v>10</v>
      </c>
      <c r="CF47" s="212">
        <v>10</v>
      </c>
      <c r="CG47" s="212">
        <v>10</v>
      </c>
      <c r="CH47" s="212">
        <v>10</v>
      </c>
      <c r="CI47" s="212">
        <v>12.5</v>
      </c>
      <c r="CJ47" s="212">
        <v>12.5</v>
      </c>
      <c r="CK47" s="212">
        <v>12.5</v>
      </c>
      <c r="CL47" s="212">
        <v>12.5</v>
      </c>
      <c r="CM47" s="212">
        <v>12.5</v>
      </c>
      <c r="CN47" s="212">
        <v>12.5</v>
      </c>
      <c r="CO47" s="212">
        <v>12.5</v>
      </c>
      <c r="CP47" s="212">
        <v>12.5</v>
      </c>
      <c r="CQ47" s="212">
        <v>12.5</v>
      </c>
      <c r="CR47" s="212">
        <v>12.5</v>
      </c>
      <c r="CS47" s="212">
        <v>12.5</v>
      </c>
      <c r="CT47" s="212">
        <v>12.5</v>
      </c>
      <c r="CU47" s="212">
        <v>12.5</v>
      </c>
      <c r="CV47" s="212">
        <v>12.5</v>
      </c>
      <c r="CW47" s="212">
        <v>12.5</v>
      </c>
      <c r="CX47" s="212">
        <v>12.5</v>
      </c>
      <c r="CY47" s="212">
        <v>12.5</v>
      </c>
      <c r="CZ47" s="212">
        <v>12.5</v>
      </c>
      <c r="DA47" s="212">
        <v>12.5</v>
      </c>
      <c r="DB47" s="212">
        <v>12.5</v>
      </c>
      <c r="DC47" s="212">
        <v>15</v>
      </c>
      <c r="DD47" s="212">
        <v>15</v>
      </c>
      <c r="DE47" s="212">
        <v>15</v>
      </c>
      <c r="DF47" s="212">
        <v>15</v>
      </c>
      <c r="DG47" s="212">
        <v>15</v>
      </c>
      <c r="DH47" s="212">
        <v>15</v>
      </c>
      <c r="DI47" s="212">
        <v>15</v>
      </c>
      <c r="DJ47" s="212">
        <v>15</v>
      </c>
      <c r="DK47" s="212">
        <v>15</v>
      </c>
      <c r="DL47" s="212">
        <v>15</v>
      </c>
      <c r="DM47" s="212">
        <v>15</v>
      </c>
      <c r="DN47" s="212">
        <v>15</v>
      </c>
      <c r="DO47" s="212">
        <v>15</v>
      </c>
      <c r="DP47" s="212">
        <v>15</v>
      </c>
      <c r="DQ47" s="212">
        <v>15</v>
      </c>
      <c r="DR47" s="212">
        <v>15</v>
      </c>
    </row>
    <row r="48" spans="1:122" ht="22.5" customHeight="1" x14ac:dyDescent="0.45">
      <c r="A48" s="211">
        <v>54</v>
      </c>
      <c r="B48" s="212">
        <v>-5</v>
      </c>
      <c r="C48" s="212">
        <v>-5</v>
      </c>
      <c r="D48" s="212">
        <v>-5</v>
      </c>
      <c r="E48" s="212">
        <v>-5</v>
      </c>
      <c r="F48" s="212">
        <v>-5</v>
      </c>
      <c r="G48" s="212">
        <v>-5</v>
      </c>
      <c r="H48" s="212">
        <v>-5</v>
      </c>
      <c r="I48" s="212">
        <v>-5</v>
      </c>
      <c r="J48" s="212">
        <v>-5</v>
      </c>
      <c r="K48" s="212">
        <v>-5</v>
      </c>
      <c r="L48" s="212">
        <v>-5</v>
      </c>
      <c r="M48" s="212">
        <v>-5</v>
      </c>
      <c r="N48" s="212">
        <v>-5</v>
      </c>
      <c r="O48" s="212">
        <v>-5</v>
      </c>
      <c r="P48" s="212">
        <v>-5</v>
      </c>
      <c r="Q48" s="212">
        <v>-2.5</v>
      </c>
      <c r="R48" s="212">
        <v>-2.5</v>
      </c>
      <c r="S48" s="212">
        <v>-2.5</v>
      </c>
      <c r="T48" s="212">
        <v>-2.5</v>
      </c>
      <c r="U48" s="212">
        <v>-2.5</v>
      </c>
      <c r="V48" s="212">
        <v>-2.5</v>
      </c>
      <c r="W48" s="212">
        <v>-2.5</v>
      </c>
      <c r="X48" s="212">
        <v>-2.5</v>
      </c>
      <c r="Y48" s="212">
        <v>-2.5</v>
      </c>
      <c r="Z48" s="212">
        <v>0</v>
      </c>
      <c r="AA48" s="212">
        <v>0</v>
      </c>
      <c r="AB48" s="212">
        <v>0</v>
      </c>
      <c r="AC48" s="212">
        <v>0</v>
      </c>
      <c r="AD48" s="212">
        <v>2.5</v>
      </c>
      <c r="AE48" s="212">
        <v>2.5</v>
      </c>
      <c r="AF48" s="212">
        <v>2.5</v>
      </c>
      <c r="AG48" s="212">
        <v>2.5</v>
      </c>
      <c r="AH48" s="212">
        <v>2.5</v>
      </c>
      <c r="AI48" s="212">
        <v>2.5</v>
      </c>
      <c r="AJ48" s="212">
        <v>2.5</v>
      </c>
      <c r="AK48" s="212">
        <v>5</v>
      </c>
      <c r="AL48" s="212">
        <v>5</v>
      </c>
      <c r="AM48" s="212">
        <v>5</v>
      </c>
      <c r="AN48" s="212">
        <v>5</v>
      </c>
      <c r="AO48" s="212">
        <v>5</v>
      </c>
      <c r="AP48" s="212">
        <v>5</v>
      </c>
      <c r="AQ48" s="212">
        <v>5</v>
      </c>
      <c r="AR48" s="212">
        <v>5</v>
      </c>
      <c r="AS48" s="212">
        <v>5</v>
      </c>
      <c r="AT48" s="212">
        <v>5</v>
      </c>
      <c r="AU48" s="212">
        <v>5</v>
      </c>
      <c r="AV48" s="212">
        <v>7.5</v>
      </c>
      <c r="AW48" s="212">
        <v>7.5</v>
      </c>
      <c r="AX48" s="212">
        <v>7.5</v>
      </c>
      <c r="AY48" s="212">
        <v>7.5</v>
      </c>
      <c r="AZ48" s="212">
        <v>7.5</v>
      </c>
      <c r="BA48" s="212">
        <v>7.5</v>
      </c>
      <c r="BB48" s="212">
        <v>7.5</v>
      </c>
      <c r="BC48" s="212">
        <v>7.5</v>
      </c>
      <c r="BD48" s="212">
        <v>7.5</v>
      </c>
      <c r="BE48" s="212">
        <v>7.5</v>
      </c>
      <c r="BF48" s="212">
        <v>7.5</v>
      </c>
      <c r="BG48" s="212">
        <v>7.5</v>
      </c>
      <c r="BH48" s="212">
        <v>7.5</v>
      </c>
      <c r="BI48" s="212">
        <v>7.5</v>
      </c>
      <c r="BJ48" s="212">
        <v>7.5</v>
      </c>
      <c r="BK48" s="212">
        <v>7.5</v>
      </c>
      <c r="BL48" s="212">
        <v>7.5</v>
      </c>
      <c r="BM48" s="212">
        <v>7.5</v>
      </c>
      <c r="BN48" s="212">
        <v>7.5</v>
      </c>
      <c r="BO48" s="212">
        <v>7.5</v>
      </c>
      <c r="BP48" s="212">
        <v>7.5</v>
      </c>
      <c r="BQ48" s="212">
        <v>7.5</v>
      </c>
      <c r="BR48" s="212">
        <v>7.5</v>
      </c>
      <c r="BS48" s="212">
        <v>7.5</v>
      </c>
      <c r="BT48" s="212">
        <v>7.5</v>
      </c>
      <c r="BU48" s="212">
        <v>7.5</v>
      </c>
      <c r="BV48" s="212">
        <v>7.5</v>
      </c>
      <c r="BW48" s="212">
        <v>7.5</v>
      </c>
      <c r="BX48" s="212">
        <v>7.5</v>
      </c>
      <c r="BY48" s="212">
        <v>10</v>
      </c>
      <c r="BZ48" s="212">
        <v>10</v>
      </c>
      <c r="CA48" s="212">
        <v>10</v>
      </c>
      <c r="CB48" s="212">
        <v>10</v>
      </c>
      <c r="CC48" s="212">
        <v>10</v>
      </c>
      <c r="CD48" s="212">
        <v>10</v>
      </c>
      <c r="CE48" s="212">
        <v>10</v>
      </c>
      <c r="CF48" s="212">
        <v>10</v>
      </c>
      <c r="CG48" s="212">
        <v>10</v>
      </c>
      <c r="CH48" s="212">
        <v>10</v>
      </c>
      <c r="CI48" s="212">
        <v>10</v>
      </c>
      <c r="CJ48" s="212">
        <v>12.5</v>
      </c>
      <c r="CK48" s="212">
        <v>12.5</v>
      </c>
      <c r="CL48" s="212">
        <v>12.5</v>
      </c>
      <c r="CM48" s="212">
        <v>12.5</v>
      </c>
      <c r="CN48" s="212">
        <v>12.5</v>
      </c>
      <c r="CO48" s="212">
        <v>12.5</v>
      </c>
      <c r="CP48" s="212">
        <v>12.5</v>
      </c>
      <c r="CQ48" s="212">
        <v>12.5</v>
      </c>
      <c r="CR48" s="212">
        <v>12.5</v>
      </c>
      <c r="CS48" s="212">
        <v>12.5</v>
      </c>
      <c r="CT48" s="212">
        <v>12.5</v>
      </c>
      <c r="CU48" s="212">
        <v>12.5</v>
      </c>
      <c r="CV48" s="212">
        <v>12.5</v>
      </c>
      <c r="CW48" s="212">
        <v>12.5</v>
      </c>
      <c r="CX48" s="212">
        <v>12.5</v>
      </c>
      <c r="CY48" s="212">
        <v>12.5</v>
      </c>
      <c r="CZ48" s="212">
        <v>12.5</v>
      </c>
      <c r="DA48" s="212">
        <v>12.5</v>
      </c>
      <c r="DB48" s="212">
        <v>12.5</v>
      </c>
      <c r="DC48" s="212">
        <v>12.5</v>
      </c>
      <c r="DD48" s="212">
        <v>15</v>
      </c>
      <c r="DE48" s="212">
        <v>15</v>
      </c>
      <c r="DF48" s="212">
        <v>15</v>
      </c>
      <c r="DG48" s="212">
        <v>15</v>
      </c>
      <c r="DH48" s="212">
        <v>15</v>
      </c>
      <c r="DI48" s="212">
        <v>15</v>
      </c>
      <c r="DJ48" s="212">
        <v>15</v>
      </c>
      <c r="DK48" s="212">
        <v>15</v>
      </c>
      <c r="DL48" s="212">
        <v>15</v>
      </c>
      <c r="DM48" s="212">
        <v>15</v>
      </c>
      <c r="DN48" s="212">
        <v>15</v>
      </c>
      <c r="DO48" s="212">
        <v>15</v>
      </c>
      <c r="DP48" s="212">
        <v>15</v>
      </c>
      <c r="DQ48" s="212">
        <v>15</v>
      </c>
      <c r="DR48" s="212">
        <v>15</v>
      </c>
    </row>
    <row r="49" spans="1:122" ht="22.5" customHeight="1" x14ac:dyDescent="0.45">
      <c r="A49" s="211">
        <v>53</v>
      </c>
      <c r="B49" s="212">
        <v>-5</v>
      </c>
      <c r="C49" s="212">
        <v>-5</v>
      </c>
      <c r="D49" s="212">
        <v>-5</v>
      </c>
      <c r="E49" s="212">
        <v>-5</v>
      </c>
      <c r="F49" s="212">
        <v>-5</v>
      </c>
      <c r="G49" s="212">
        <v>-5</v>
      </c>
      <c r="H49" s="212">
        <v>-5</v>
      </c>
      <c r="I49" s="212">
        <v>-5</v>
      </c>
      <c r="J49" s="212">
        <v>-5</v>
      </c>
      <c r="K49" s="212">
        <v>-5</v>
      </c>
      <c r="L49" s="212">
        <v>-5</v>
      </c>
      <c r="M49" s="212">
        <v>-5</v>
      </c>
      <c r="N49" s="212">
        <v>-5</v>
      </c>
      <c r="O49" s="212">
        <v>-5</v>
      </c>
      <c r="P49" s="212">
        <v>-2.5</v>
      </c>
      <c r="Q49" s="212">
        <v>-2.5</v>
      </c>
      <c r="R49" s="212">
        <v>-2.5</v>
      </c>
      <c r="S49" s="212">
        <v>-2.5</v>
      </c>
      <c r="T49" s="212">
        <v>-2.5</v>
      </c>
      <c r="U49" s="212">
        <v>-2.5</v>
      </c>
      <c r="V49" s="212">
        <v>-2.5</v>
      </c>
      <c r="W49" s="212">
        <v>-2.5</v>
      </c>
      <c r="X49" s="212">
        <v>-2.5</v>
      </c>
      <c r="Y49" s="212">
        <v>-2.5</v>
      </c>
      <c r="Z49" s="212">
        <v>0</v>
      </c>
      <c r="AA49" s="212">
        <v>0</v>
      </c>
      <c r="AB49" s="212">
        <v>0</v>
      </c>
      <c r="AC49" s="212">
        <v>0</v>
      </c>
      <c r="AD49" s="212">
        <v>2.5</v>
      </c>
      <c r="AE49" s="212">
        <v>2.5</v>
      </c>
      <c r="AF49" s="212">
        <v>2.5</v>
      </c>
      <c r="AG49" s="212">
        <v>2.5</v>
      </c>
      <c r="AH49" s="212">
        <v>2.5</v>
      </c>
      <c r="AI49" s="212">
        <v>2.5</v>
      </c>
      <c r="AJ49" s="212">
        <v>2.5</v>
      </c>
      <c r="AK49" s="212">
        <v>2.5</v>
      </c>
      <c r="AL49" s="212">
        <v>5</v>
      </c>
      <c r="AM49" s="212">
        <v>5</v>
      </c>
      <c r="AN49" s="212">
        <v>5</v>
      </c>
      <c r="AO49" s="212">
        <v>5</v>
      </c>
      <c r="AP49" s="212">
        <v>5</v>
      </c>
      <c r="AQ49" s="212">
        <v>5</v>
      </c>
      <c r="AR49" s="212">
        <v>5</v>
      </c>
      <c r="AS49" s="212">
        <v>5</v>
      </c>
      <c r="AT49" s="212">
        <v>5</v>
      </c>
      <c r="AU49" s="212">
        <v>5</v>
      </c>
      <c r="AV49" s="212">
        <v>5</v>
      </c>
      <c r="AW49" s="212">
        <v>7.5</v>
      </c>
      <c r="AX49" s="212">
        <v>7.5</v>
      </c>
      <c r="AY49" s="212">
        <v>7.5</v>
      </c>
      <c r="AZ49" s="212">
        <v>7.5</v>
      </c>
      <c r="BA49" s="212">
        <v>7.5</v>
      </c>
      <c r="BB49" s="212">
        <v>7.5</v>
      </c>
      <c r="BC49" s="212">
        <v>7.5</v>
      </c>
      <c r="BD49" s="212">
        <v>7.5</v>
      </c>
      <c r="BE49" s="212">
        <v>7.5</v>
      </c>
      <c r="BF49" s="212">
        <v>7.5</v>
      </c>
      <c r="BG49" s="212">
        <v>7.5</v>
      </c>
      <c r="BH49" s="212">
        <v>7.5</v>
      </c>
      <c r="BI49" s="212">
        <v>7.5</v>
      </c>
      <c r="BJ49" s="212">
        <v>7.5</v>
      </c>
      <c r="BK49" s="212">
        <v>7.5</v>
      </c>
      <c r="BL49" s="212">
        <v>7.5</v>
      </c>
      <c r="BM49" s="212">
        <v>7.5</v>
      </c>
      <c r="BN49" s="212">
        <v>7.5</v>
      </c>
      <c r="BO49" s="212">
        <v>7.5</v>
      </c>
      <c r="BP49" s="212">
        <v>7.5</v>
      </c>
      <c r="BQ49" s="212">
        <v>7.5</v>
      </c>
      <c r="BR49" s="212">
        <v>7.5</v>
      </c>
      <c r="BS49" s="212">
        <v>7.5</v>
      </c>
      <c r="BT49" s="212">
        <v>7.5</v>
      </c>
      <c r="BU49" s="212">
        <v>7.5</v>
      </c>
      <c r="BV49" s="212">
        <v>7.5</v>
      </c>
      <c r="BW49" s="212">
        <v>7.5</v>
      </c>
      <c r="BX49" s="212">
        <v>10</v>
      </c>
      <c r="BY49" s="212">
        <v>10</v>
      </c>
      <c r="BZ49" s="212">
        <v>10</v>
      </c>
      <c r="CA49" s="212">
        <v>10</v>
      </c>
      <c r="CB49" s="212">
        <v>10</v>
      </c>
      <c r="CC49" s="212">
        <v>10</v>
      </c>
      <c r="CD49" s="212">
        <v>10</v>
      </c>
      <c r="CE49" s="212">
        <v>10</v>
      </c>
      <c r="CF49" s="212">
        <v>10</v>
      </c>
      <c r="CG49" s="212">
        <v>10</v>
      </c>
      <c r="CH49" s="212">
        <v>10</v>
      </c>
      <c r="CI49" s="212">
        <v>10</v>
      </c>
      <c r="CJ49" s="212">
        <v>10</v>
      </c>
      <c r="CK49" s="212">
        <v>12.5</v>
      </c>
      <c r="CL49" s="212">
        <v>12.5</v>
      </c>
      <c r="CM49" s="212">
        <v>12.5</v>
      </c>
      <c r="CN49" s="212">
        <v>12.5</v>
      </c>
      <c r="CO49" s="212">
        <v>12.5</v>
      </c>
      <c r="CP49" s="212">
        <v>12.5</v>
      </c>
      <c r="CQ49" s="212">
        <v>12.5</v>
      </c>
      <c r="CR49" s="212">
        <v>12.5</v>
      </c>
      <c r="CS49" s="212">
        <v>12.5</v>
      </c>
      <c r="CT49" s="212">
        <v>12.5</v>
      </c>
      <c r="CU49" s="212">
        <v>12.5</v>
      </c>
      <c r="CV49" s="212">
        <v>12.5</v>
      </c>
      <c r="CW49" s="212">
        <v>12.5</v>
      </c>
      <c r="CX49" s="212">
        <v>12.5</v>
      </c>
      <c r="CY49" s="212">
        <v>12.5</v>
      </c>
      <c r="CZ49" s="212">
        <v>12.5</v>
      </c>
      <c r="DA49" s="212">
        <v>12.5</v>
      </c>
      <c r="DB49" s="212">
        <v>12.5</v>
      </c>
      <c r="DC49" s="212">
        <v>12.5</v>
      </c>
      <c r="DD49" s="212">
        <v>12.5</v>
      </c>
      <c r="DE49" s="212">
        <v>15</v>
      </c>
      <c r="DF49" s="212">
        <v>15</v>
      </c>
      <c r="DG49" s="212">
        <v>15</v>
      </c>
      <c r="DH49" s="212">
        <v>15</v>
      </c>
      <c r="DI49" s="212">
        <v>15</v>
      </c>
      <c r="DJ49" s="212">
        <v>15</v>
      </c>
      <c r="DK49" s="212">
        <v>15</v>
      </c>
      <c r="DL49" s="212">
        <v>15</v>
      </c>
      <c r="DM49" s="212">
        <v>15</v>
      </c>
      <c r="DN49" s="212">
        <v>15</v>
      </c>
      <c r="DO49" s="212">
        <v>15</v>
      </c>
      <c r="DP49" s="212">
        <v>15</v>
      </c>
      <c r="DQ49" s="212">
        <v>15</v>
      </c>
      <c r="DR49" s="212">
        <v>15</v>
      </c>
    </row>
    <row r="50" spans="1:122" ht="22.5" customHeight="1" x14ac:dyDescent="0.45">
      <c r="A50" s="211">
        <v>52</v>
      </c>
      <c r="B50" s="212">
        <v>-5</v>
      </c>
      <c r="C50" s="212">
        <v>-5</v>
      </c>
      <c r="D50" s="212">
        <v>-5</v>
      </c>
      <c r="E50" s="212">
        <v>-5</v>
      </c>
      <c r="F50" s="212">
        <v>-5</v>
      </c>
      <c r="G50" s="212">
        <v>-5</v>
      </c>
      <c r="H50" s="212">
        <v>-5</v>
      </c>
      <c r="I50" s="212">
        <v>-5</v>
      </c>
      <c r="J50" s="212">
        <v>-5</v>
      </c>
      <c r="K50" s="212">
        <v>-5</v>
      </c>
      <c r="L50" s="212">
        <v>-5</v>
      </c>
      <c r="M50" s="212">
        <v>-5</v>
      </c>
      <c r="N50" s="212">
        <v>-5</v>
      </c>
      <c r="O50" s="212">
        <v>-5</v>
      </c>
      <c r="P50" s="212">
        <v>-2.5</v>
      </c>
      <c r="Q50" s="212">
        <v>-2.5</v>
      </c>
      <c r="R50" s="212">
        <v>-2.5</v>
      </c>
      <c r="S50" s="212">
        <v>-2.5</v>
      </c>
      <c r="T50" s="212">
        <v>-2.5</v>
      </c>
      <c r="U50" s="212">
        <v>-2.5</v>
      </c>
      <c r="V50" s="212">
        <v>-2.5</v>
      </c>
      <c r="W50" s="212">
        <v>-2.5</v>
      </c>
      <c r="X50" s="212">
        <v>-2.5</v>
      </c>
      <c r="Y50" s="212">
        <v>-2.5</v>
      </c>
      <c r="Z50" s="212">
        <v>0</v>
      </c>
      <c r="AA50" s="212">
        <v>0</v>
      </c>
      <c r="AB50" s="212">
        <v>0</v>
      </c>
      <c r="AC50" s="212">
        <v>0</v>
      </c>
      <c r="AD50" s="212">
        <v>2.5</v>
      </c>
      <c r="AE50" s="212">
        <v>2.5</v>
      </c>
      <c r="AF50" s="212">
        <v>2.5</v>
      </c>
      <c r="AG50" s="212">
        <v>2.5</v>
      </c>
      <c r="AH50" s="212">
        <v>2.5</v>
      </c>
      <c r="AI50" s="212">
        <v>2.5</v>
      </c>
      <c r="AJ50" s="212">
        <v>2.5</v>
      </c>
      <c r="AK50" s="212">
        <v>2.5</v>
      </c>
      <c r="AL50" s="212">
        <v>5</v>
      </c>
      <c r="AM50" s="212">
        <v>5</v>
      </c>
      <c r="AN50" s="212">
        <v>5</v>
      </c>
      <c r="AO50" s="212">
        <v>5</v>
      </c>
      <c r="AP50" s="212">
        <v>5</v>
      </c>
      <c r="AQ50" s="212">
        <v>5</v>
      </c>
      <c r="AR50" s="212">
        <v>5</v>
      </c>
      <c r="AS50" s="212">
        <v>5</v>
      </c>
      <c r="AT50" s="212">
        <v>5</v>
      </c>
      <c r="AU50" s="212">
        <v>5</v>
      </c>
      <c r="AV50" s="212">
        <v>5</v>
      </c>
      <c r="AW50" s="212">
        <v>5</v>
      </c>
      <c r="AX50" s="212">
        <v>7.5</v>
      </c>
      <c r="AY50" s="212">
        <v>7.5</v>
      </c>
      <c r="AZ50" s="212">
        <v>7.5</v>
      </c>
      <c r="BA50" s="212">
        <v>7.5</v>
      </c>
      <c r="BB50" s="212">
        <v>7.5</v>
      </c>
      <c r="BC50" s="212">
        <v>7.5</v>
      </c>
      <c r="BD50" s="212">
        <v>7.5</v>
      </c>
      <c r="BE50" s="212">
        <v>7.5</v>
      </c>
      <c r="BF50" s="212">
        <v>7.5</v>
      </c>
      <c r="BG50" s="212">
        <v>7.5</v>
      </c>
      <c r="BH50" s="212">
        <v>7.5</v>
      </c>
      <c r="BI50" s="212">
        <v>7.5</v>
      </c>
      <c r="BJ50" s="212">
        <v>7.5</v>
      </c>
      <c r="BK50" s="212">
        <v>7.5</v>
      </c>
      <c r="BL50" s="212">
        <v>7.5</v>
      </c>
      <c r="BM50" s="212">
        <v>7.5</v>
      </c>
      <c r="BN50" s="212">
        <v>7.5</v>
      </c>
      <c r="BO50" s="212">
        <v>7.5</v>
      </c>
      <c r="BP50" s="212">
        <v>7.5</v>
      </c>
      <c r="BQ50" s="212">
        <v>7.5</v>
      </c>
      <c r="BR50" s="212">
        <v>7.5</v>
      </c>
      <c r="BS50" s="212">
        <v>7.5</v>
      </c>
      <c r="BT50" s="212">
        <v>7.5</v>
      </c>
      <c r="BU50" s="212">
        <v>7.5</v>
      </c>
      <c r="BV50" s="212">
        <v>7.5</v>
      </c>
      <c r="BW50" s="212">
        <v>7.5</v>
      </c>
      <c r="BX50" s="212">
        <v>10</v>
      </c>
      <c r="BY50" s="212">
        <v>10</v>
      </c>
      <c r="BZ50" s="212">
        <v>10</v>
      </c>
      <c r="CA50" s="212">
        <v>10</v>
      </c>
      <c r="CB50" s="212">
        <v>10</v>
      </c>
      <c r="CC50" s="212">
        <v>10</v>
      </c>
      <c r="CD50" s="212">
        <v>10</v>
      </c>
      <c r="CE50" s="212">
        <v>10</v>
      </c>
      <c r="CF50" s="212">
        <v>10</v>
      </c>
      <c r="CG50" s="212">
        <v>10</v>
      </c>
      <c r="CH50" s="212">
        <v>10</v>
      </c>
      <c r="CI50" s="212">
        <v>10</v>
      </c>
      <c r="CJ50" s="212">
        <v>10</v>
      </c>
      <c r="CK50" s="212">
        <v>10</v>
      </c>
      <c r="CL50" s="212">
        <v>12.5</v>
      </c>
      <c r="CM50" s="212">
        <v>12.5</v>
      </c>
      <c r="CN50" s="212">
        <v>12.5</v>
      </c>
      <c r="CO50" s="212">
        <v>12.5</v>
      </c>
      <c r="CP50" s="212">
        <v>12.5</v>
      </c>
      <c r="CQ50" s="212">
        <v>12.5</v>
      </c>
      <c r="CR50" s="212">
        <v>12.5</v>
      </c>
      <c r="CS50" s="212">
        <v>12.5</v>
      </c>
      <c r="CT50" s="212">
        <v>12.5</v>
      </c>
      <c r="CU50" s="212">
        <v>12.5</v>
      </c>
      <c r="CV50" s="212">
        <v>12.5</v>
      </c>
      <c r="CW50" s="212">
        <v>12.5</v>
      </c>
      <c r="CX50" s="212">
        <v>12.5</v>
      </c>
      <c r="CY50" s="212">
        <v>12.5</v>
      </c>
      <c r="CZ50" s="212">
        <v>12.5</v>
      </c>
      <c r="DA50" s="212">
        <v>12.5</v>
      </c>
      <c r="DB50" s="212">
        <v>12.5</v>
      </c>
      <c r="DC50" s="212">
        <v>12.5</v>
      </c>
      <c r="DD50" s="212">
        <v>12.5</v>
      </c>
      <c r="DE50" s="212">
        <v>12.5</v>
      </c>
      <c r="DF50" s="212">
        <v>15</v>
      </c>
      <c r="DG50" s="212">
        <v>15</v>
      </c>
      <c r="DH50" s="212">
        <v>15</v>
      </c>
      <c r="DI50" s="212">
        <v>15</v>
      </c>
      <c r="DJ50" s="212">
        <v>15</v>
      </c>
      <c r="DK50" s="212">
        <v>15</v>
      </c>
      <c r="DL50" s="212">
        <v>15</v>
      </c>
      <c r="DM50" s="212">
        <v>15</v>
      </c>
      <c r="DN50" s="212">
        <v>15</v>
      </c>
      <c r="DO50" s="212">
        <v>15</v>
      </c>
      <c r="DP50" s="212">
        <v>15</v>
      </c>
      <c r="DQ50" s="212">
        <v>15</v>
      </c>
      <c r="DR50" s="212">
        <v>15</v>
      </c>
    </row>
    <row r="51" spans="1:122" ht="22.5" customHeight="1" x14ac:dyDescent="0.45">
      <c r="A51" s="211">
        <v>51</v>
      </c>
      <c r="B51" s="212">
        <v>-5</v>
      </c>
      <c r="C51" s="212">
        <v>-5</v>
      </c>
      <c r="D51" s="212">
        <v>-5</v>
      </c>
      <c r="E51" s="212">
        <v>-5</v>
      </c>
      <c r="F51" s="212">
        <v>-5</v>
      </c>
      <c r="G51" s="212">
        <v>-5</v>
      </c>
      <c r="H51" s="212">
        <v>-5</v>
      </c>
      <c r="I51" s="212">
        <v>-5</v>
      </c>
      <c r="J51" s="212">
        <v>-5</v>
      </c>
      <c r="K51" s="212">
        <v>-5</v>
      </c>
      <c r="L51" s="212">
        <v>-5</v>
      </c>
      <c r="M51" s="212">
        <v>-5</v>
      </c>
      <c r="N51" s="212">
        <v>-5</v>
      </c>
      <c r="O51" s="212">
        <v>-5</v>
      </c>
      <c r="P51" s="212">
        <v>-2.5</v>
      </c>
      <c r="Q51" s="212">
        <v>-2.5</v>
      </c>
      <c r="R51" s="212">
        <v>-2.5</v>
      </c>
      <c r="S51" s="212">
        <v>-2.5</v>
      </c>
      <c r="T51" s="212">
        <v>-2.5</v>
      </c>
      <c r="U51" s="212">
        <v>-2.5</v>
      </c>
      <c r="V51" s="212">
        <v>-2.5</v>
      </c>
      <c r="W51" s="212">
        <v>-2.5</v>
      </c>
      <c r="X51" s="212">
        <v>-2.5</v>
      </c>
      <c r="Y51" s="212">
        <v>-2.5</v>
      </c>
      <c r="Z51" s="212">
        <v>0</v>
      </c>
      <c r="AA51" s="212">
        <v>0</v>
      </c>
      <c r="AB51" s="212">
        <v>0</v>
      </c>
      <c r="AC51" s="212">
        <v>0</v>
      </c>
      <c r="AD51" s="212">
        <v>2.5</v>
      </c>
      <c r="AE51" s="212">
        <v>2.5</v>
      </c>
      <c r="AF51" s="212">
        <v>2.5</v>
      </c>
      <c r="AG51" s="212">
        <v>2.5</v>
      </c>
      <c r="AH51" s="212">
        <v>2.5</v>
      </c>
      <c r="AI51" s="212">
        <v>2.5</v>
      </c>
      <c r="AJ51" s="212">
        <v>2.5</v>
      </c>
      <c r="AK51" s="212">
        <v>2.5</v>
      </c>
      <c r="AL51" s="212">
        <v>5</v>
      </c>
      <c r="AM51" s="212">
        <v>5</v>
      </c>
      <c r="AN51" s="212">
        <v>5</v>
      </c>
      <c r="AO51" s="212">
        <v>5</v>
      </c>
      <c r="AP51" s="212">
        <v>5</v>
      </c>
      <c r="AQ51" s="212">
        <v>5</v>
      </c>
      <c r="AR51" s="212">
        <v>5</v>
      </c>
      <c r="AS51" s="212">
        <v>5</v>
      </c>
      <c r="AT51" s="212">
        <v>5</v>
      </c>
      <c r="AU51" s="212">
        <v>5</v>
      </c>
      <c r="AV51" s="212">
        <v>5</v>
      </c>
      <c r="AW51" s="212">
        <v>5</v>
      </c>
      <c r="AX51" s="212">
        <v>5</v>
      </c>
      <c r="AY51" s="212">
        <v>7.5</v>
      </c>
      <c r="AZ51" s="212">
        <v>7.5</v>
      </c>
      <c r="BA51" s="212">
        <v>7.5</v>
      </c>
      <c r="BB51" s="212">
        <v>7.5</v>
      </c>
      <c r="BC51" s="212">
        <v>7.5</v>
      </c>
      <c r="BD51" s="212">
        <v>7.5</v>
      </c>
      <c r="BE51" s="212">
        <v>7.5</v>
      </c>
      <c r="BF51" s="212">
        <v>7.5</v>
      </c>
      <c r="BG51" s="212">
        <v>7.5</v>
      </c>
      <c r="BH51" s="212">
        <v>7.5</v>
      </c>
      <c r="BI51" s="212">
        <v>7.5</v>
      </c>
      <c r="BJ51" s="212">
        <v>7.5</v>
      </c>
      <c r="BK51" s="212">
        <v>7.5</v>
      </c>
      <c r="BL51" s="212">
        <v>7.5</v>
      </c>
      <c r="BM51" s="212">
        <v>7.5</v>
      </c>
      <c r="BN51" s="212">
        <v>7.5</v>
      </c>
      <c r="BO51" s="212">
        <v>7.5</v>
      </c>
      <c r="BP51" s="212">
        <v>7.5</v>
      </c>
      <c r="BQ51" s="212">
        <v>7.5</v>
      </c>
      <c r="BR51" s="212">
        <v>7.5</v>
      </c>
      <c r="BS51" s="212">
        <v>7.5</v>
      </c>
      <c r="BT51" s="212">
        <v>7.5</v>
      </c>
      <c r="BU51" s="212">
        <v>7.5</v>
      </c>
      <c r="BV51" s="212">
        <v>7.5</v>
      </c>
      <c r="BW51" s="212">
        <v>7.5</v>
      </c>
      <c r="BX51" s="212">
        <v>10</v>
      </c>
      <c r="BY51" s="212">
        <v>10</v>
      </c>
      <c r="BZ51" s="212">
        <v>10</v>
      </c>
      <c r="CA51" s="212">
        <v>10</v>
      </c>
      <c r="CB51" s="212">
        <v>10</v>
      </c>
      <c r="CC51" s="212">
        <v>10</v>
      </c>
      <c r="CD51" s="212">
        <v>10</v>
      </c>
      <c r="CE51" s="212">
        <v>10</v>
      </c>
      <c r="CF51" s="212">
        <v>10</v>
      </c>
      <c r="CG51" s="212">
        <v>10</v>
      </c>
      <c r="CH51" s="212">
        <v>10</v>
      </c>
      <c r="CI51" s="212">
        <v>10</v>
      </c>
      <c r="CJ51" s="212">
        <v>10</v>
      </c>
      <c r="CK51" s="212">
        <v>10</v>
      </c>
      <c r="CL51" s="212">
        <v>10</v>
      </c>
      <c r="CM51" s="212">
        <v>12.5</v>
      </c>
      <c r="CN51" s="212">
        <v>12.5</v>
      </c>
      <c r="CO51" s="212">
        <v>12.5</v>
      </c>
      <c r="CP51" s="212">
        <v>12.5</v>
      </c>
      <c r="CQ51" s="212">
        <v>12.5</v>
      </c>
      <c r="CR51" s="212">
        <v>12.5</v>
      </c>
      <c r="CS51" s="212">
        <v>12.5</v>
      </c>
      <c r="CT51" s="212">
        <v>12.5</v>
      </c>
      <c r="CU51" s="212">
        <v>12.5</v>
      </c>
      <c r="CV51" s="212">
        <v>12.5</v>
      </c>
      <c r="CW51" s="212">
        <v>12.5</v>
      </c>
      <c r="CX51" s="212">
        <v>12.5</v>
      </c>
      <c r="CY51" s="212">
        <v>12.5</v>
      </c>
      <c r="CZ51" s="212">
        <v>12.5</v>
      </c>
      <c r="DA51" s="212">
        <v>12.5</v>
      </c>
      <c r="DB51" s="212">
        <v>12.5</v>
      </c>
      <c r="DC51" s="212">
        <v>12.5</v>
      </c>
      <c r="DD51" s="212">
        <v>12.5</v>
      </c>
      <c r="DE51" s="212">
        <v>12.5</v>
      </c>
      <c r="DF51" s="212">
        <v>12.5</v>
      </c>
      <c r="DG51" s="212">
        <v>15</v>
      </c>
      <c r="DH51" s="212">
        <v>15</v>
      </c>
      <c r="DI51" s="212">
        <v>15</v>
      </c>
      <c r="DJ51" s="212">
        <v>15</v>
      </c>
      <c r="DK51" s="212">
        <v>15</v>
      </c>
      <c r="DL51" s="212">
        <v>15</v>
      </c>
      <c r="DM51" s="212">
        <v>15</v>
      </c>
      <c r="DN51" s="212">
        <v>15</v>
      </c>
      <c r="DO51" s="212">
        <v>15</v>
      </c>
      <c r="DP51" s="212">
        <v>15</v>
      </c>
      <c r="DQ51" s="212">
        <v>15</v>
      </c>
      <c r="DR51" s="212">
        <v>15</v>
      </c>
    </row>
    <row r="52" spans="1:122" ht="22.5" customHeight="1" x14ac:dyDescent="0.45">
      <c r="A52" s="211">
        <v>50</v>
      </c>
      <c r="B52" s="212">
        <v>-5</v>
      </c>
      <c r="C52" s="212">
        <v>-5</v>
      </c>
      <c r="D52" s="212">
        <v>-5</v>
      </c>
      <c r="E52" s="212">
        <v>-5</v>
      </c>
      <c r="F52" s="212">
        <v>-5</v>
      </c>
      <c r="G52" s="212">
        <v>-5</v>
      </c>
      <c r="H52" s="212">
        <v>-5</v>
      </c>
      <c r="I52" s="212">
        <v>-5</v>
      </c>
      <c r="J52" s="212">
        <v>-5</v>
      </c>
      <c r="K52" s="212">
        <v>-5</v>
      </c>
      <c r="L52" s="212">
        <v>-5</v>
      </c>
      <c r="M52" s="212">
        <v>-5</v>
      </c>
      <c r="N52" s="212">
        <v>-5</v>
      </c>
      <c r="O52" s="212">
        <v>-2.5</v>
      </c>
      <c r="P52" s="212">
        <v>-2.5</v>
      </c>
      <c r="Q52" s="212">
        <v>-2.5</v>
      </c>
      <c r="R52" s="212">
        <v>-2.5</v>
      </c>
      <c r="S52" s="212">
        <v>-2.5</v>
      </c>
      <c r="T52" s="212">
        <v>-2.5</v>
      </c>
      <c r="U52" s="212">
        <v>-2.5</v>
      </c>
      <c r="V52" s="212">
        <v>-2.5</v>
      </c>
      <c r="W52" s="212">
        <v>-2.5</v>
      </c>
      <c r="X52" s="212">
        <v>-2.5</v>
      </c>
      <c r="Y52" s="212">
        <v>-2.5</v>
      </c>
      <c r="Z52" s="212">
        <v>0</v>
      </c>
      <c r="AA52" s="212">
        <v>0</v>
      </c>
      <c r="AB52" s="212">
        <v>0</v>
      </c>
      <c r="AC52" s="212">
        <v>0</v>
      </c>
      <c r="AD52" s="212">
        <v>2.5</v>
      </c>
      <c r="AE52" s="212">
        <v>2.5</v>
      </c>
      <c r="AF52" s="212">
        <v>2.5</v>
      </c>
      <c r="AG52" s="212">
        <v>2.5</v>
      </c>
      <c r="AH52" s="212">
        <v>2.5</v>
      </c>
      <c r="AI52" s="212">
        <v>2.5</v>
      </c>
      <c r="AJ52" s="212">
        <v>2.5</v>
      </c>
      <c r="AK52" s="212">
        <v>2.5</v>
      </c>
      <c r="AL52" s="212">
        <v>5</v>
      </c>
      <c r="AM52" s="212">
        <v>5</v>
      </c>
      <c r="AN52" s="212">
        <v>5</v>
      </c>
      <c r="AO52" s="212">
        <v>5</v>
      </c>
      <c r="AP52" s="212">
        <v>5</v>
      </c>
      <c r="AQ52" s="212">
        <v>5</v>
      </c>
      <c r="AR52" s="212">
        <v>5</v>
      </c>
      <c r="AS52" s="212">
        <v>5</v>
      </c>
      <c r="AT52" s="212">
        <v>5</v>
      </c>
      <c r="AU52" s="212">
        <v>5</v>
      </c>
      <c r="AV52" s="212">
        <v>5</v>
      </c>
      <c r="AW52" s="212">
        <v>5</v>
      </c>
      <c r="AX52" s="212">
        <v>5</v>
      </c>
      <c r="AY52" s="212">
        <v>5</v>
      </c>
      <c r="AZ52" s="212">
        <v>7.5</v>
      </c>
      <c r="BA52" s="212">
        <v>7.5</v>
      </c>
      <c r="BB52" s="212">
        <v>7.5</v>
      </c>
      <c r="BC52" s="212">
        <v>7.5</v>
      </c>
      <c r="BD52" s="212">
        <v>7.5</v>
      </c>
      <c r="BE52" s="212">
        <v>7.5</v>
      </c>
      <c r="BF52" s="212">
        <v>7.5</v>
      </c>
      <c r="BG52" s="212">
        <v>7.5</v>
      </c>
      <c r="BH52" s="212">
        <v>7.5</v>
      </c>
      <c r="BI52" s="212">
        <v>7.5</v>
      </c>
      <c r="BJ52" s="212">
        <v>7.5</v>
      </c>
      <c r="BK52" s="212">
        <v>7.5</v>
      </c>
      <c r="BL52" s="212">
        <v>7.5</v>
      </c>
      <c r="BM52" s="212">
        <v>7.5</v>
      </c>
      <c r="BN52" s="212">
        <v>7.5</v>
      </c>
      <c r="BO52" s="212">
        <v>7.5</v>
      </c>
      <c r="BP52" s="212">
        <v>7.5</v>
      </c>
      <c r="BQ52" s="212">
        <v>7.5</v>
      </c>
      <c r="BR52" s="212">
        <v>7.5</v>
      </c>
      <c r="BS52" s="212">
        <v>7.5</v>
      </c>
      <c r="BT52" s="212">
        <v>7.5</v>
      </c>
      <c r="BU52" s="212">
        <v>7.5</v>
      </c>
      <c r="BV52" s="212">
        <v>7.5</v>
      </c>
      <c r="BW52" s="212">
        <v>7.5</v>
      </c>
      <c r="BX52" s="212">
        <v>10</v>
      </c>
      <c r="BY52" s="212">
        <v>10</v>
      </c>
      <c r="BZ52" s="212">
        <v>10</v>
      </c>
      <c r="CA52" s="212">
        <v>10</v>
      </c>
      <c r="CB52" s="212">
        <v>10</v>
      </c>
      <c r="CC52" s="212">
        <v>10</v>
      </c>
      <c r="CD52" s="212">
        <v>10</v>
      </c>
      <c r="CE52" s="212">
        <v>10</v>
      </c>
      <c r="CF52" s="212">
        <v>10</v>
      </c>
      <c r="CG52" s="212">
        <v>10</v>
      </c>
      <c r="CH52" s="212">
        <v>10</v>
      </c>
      <c r="CI52" s="212">
        <v>10</v>
      </c>
      <c r="CJ52" s="212">
        <v>10</v>
      </c>
      <c r="CK52" s="212">
        <v>10</v>
      </c>
      <c r="CL52" s="212">
        <v>10</v>
      </c>
      <c r="CM52" s="212">
        <v>10</v>
      </c>
      <c r="CN52" s="212">
        <v>12.5</v>
      </c>
      <c r="CO52" s="212">
        <v>12.5</v>
      </c>
      <c r="CP52" s="212">
        <v>12.5</v>
      </c>
      <c r="CQ52" s="212">
        <v>12.5</v>
      </c>
      <c r="CR52" s="212">
        <v>12.5</v>
      </c>
      <c r="CS52" s="212">
        <v>12.5</v>
      </c>
      <c r="CT52" s="212">
        <v>12.5</v>
      </c>
      <c r="CU52" s="212">
        <v>12.5</v>
      </c>
      <c r="CV52" s="212">
        <v>12.5</v>
      </c>
      <c r="CW52" s="212">
        <v>12.5</v>
      </c>
      <c r="CX52" s="212">
        <v>12.5</v>
      </c>
      <c r="CY52" s="212">
        <v>12.5</v>
      </c>
      <c r="CZ52" s="212">
        <v>12.5</v>
      </c>
      <c r="DA52" s="212">
        <v>12.5</v>
      </c>
      <c r="DB52" s="212">
        <v>12.5</v>
      </c>
      <c r="DC52" s="212">
        <v>12.5</v>
      </c>
      <c r="DD52" s="212">
        <v>12.5</v>
      </c>
      <c r="DE52" s="212">
        <v>12.5</v>
      </c>
      <c r="DF52" s="212">
        <v>12.5</v>
      </c>
      <c r="DG52" s="212">
        <v>12.5</v>
      </c>
      <c r="DH52" s="212">
        <v>15</v>
      </c>
      <c r="DI52" s="212">
        <v>15</v>
      </c>
      <c r="DJ52" s="212">
        <v>15</v>
      </c>
      <c r="DK52" s="212">
        <v>15</v>
      </c>
      <c r="DL52" s="212">
        <v>15</v>
      </c>
      <c r="DM52" s="212">
        <v>15</v>
      </c>
      <c r="DN52" s="212">
        <v>15</v>
      </c>
      <c r="DO52" s="212">
        <v>15</v>
      </c>
      <c r="DP52" s="212">
        <v>15</v>
      </c>
      <c r="DQ52" s="212">
        <v>15</v>
      </c>
      <c r="DR52" s="212">
        <v>15</v>
      </c>
    </row>
    <row r="53" spans="1:122" ht="22.5" customHeight="1" x14ac:dyDescent="0.45">
      <c r="A53" s="211">
        <v>49</v>
      </c>
      <c r="B53" s="212">
        <v>-5</v>
      </c>
      <c r="C53" s="212">
        <v>-5</v>
      </c>
      <c r="D53" s="212">
        <v>-5</v>
      </c>
      <c r="E53" s="212">
        <v>-5</v>
      </c>
      <c r="F53" s="212">
        <v>-5</v>
      </c>
      <c r="G53" s="212">
        <v>-5</v>
      </c>
      <c r="H53" s="212">
        <v>-5</v>
      </c>
      <c r="I53" s="212">
        <v>-5</v>
      </c>
      <c r="J53" s="212">
        <v>-5</v>
      </c>
      <c r="K53" s="212">
        <v>-5</v>
      </c>
      <c r="L53" s="212">
        <v>-5</v>
      </c>
      <c r="M53" s="212">
        <v>-5</v>
      </c>
      <c r="N53" s="212">
        <v>-2.5</v>
      </c>
      <c r="O53" s="212">
        <v>-2.5</v>
      </c>
      <c r="P53" s="212">
        <v>-2.5</v>
      </c>
      <c r="Q53" s="212">
        <v>-2.5</v>
      </c>
      <c r="R53" s="212">
        <v>-2.5</v>
      </c>
      <c r="S53" s="212">
        <v>-2.5</v>
      </c>
      <c r="T53" s="212">
        <v>-2.5</v>
      </c>
      <c r="U53" s="212">
        <v>-2.5</v>
      </c>
      <c r="V53" s="212">
        <v>-2.5</v>
      </c>
      <c r="W53" s="212">
        <v>-2.5</v>
      </c>
      <c r="X53" s="212">
        <v>-2.5</v>
      </c>
      <c r="Y53" s="212">
        <v>-2.5</v>
      </c>
      <c r="Z53" s="212">
        <v>0</v>
      </c>
      <c r="AA53" s="212">
        <v>0</v>
      </c>
      <c r="AB53" s="212">
        <v>0</v>
      </c>
      <c r="AC53" s="212">
        <v>0</v>
      </c>
      <c r="AD53" s="212">
        <v>0</v>
      </c>
      <c r="AE53" s="212">
        <v>2.5</v>
      </c>
      <c r="AF53" s="212">
        <v>2.5</v>
      </c>
      <c r="AG53" s="212">
        <v>2.5</v>
      </c>
      <c r="AH53" s="212">
        <v>2.5</v>
      </c>
      <c r="AI53" s="212">
        <v>2.5</v>
      </c>
      <c r="AJ53" s="212">
        <v>2.5</v>
      </c>
      <c r="AK53" s="212">
        <v>2.5</v>
      </c>
      <c r="AL53" s="212">
        <v>2.5</v>
      </c>
      <c r="AM53" s="212">
        <v>5</v>
      </c>
      <c r="AN53" s="212">
        <v>5</v>
      </c>
      <c r="AO53" s="212">
        <v>5</v>
      </c>
      <c r="AP53" s="212">
        <v>5</v>
      </c>
      <c r="AQ53" s="212">
        <v>5</v>
      </c>
      <c r="AR53" s="212">
        <v>5</v>
      </c>
      <c r="AS53" s="212">
        <v>5</v>
      </c>
      <c r="AT53" s="212">
        <v>5</v>
      </c>
      <c r="AU53" s="212">
        <v>5</v>
      </c>
      <c r="AV53" s="212">
        <v>5</v>
      </c>
      <c r="AW53" s="212">
        <v>5</v>
      </c>
      <c r="AX53" s="212">
        <v>5</v>
      </c>
      <c r="AY53" s="212">
        <v>5</v>
      </c>
      <c r="AZ53" s="212">
        <v>5</v>
      </c>
      <c r="BA53" s="212">
        <v>7.5</v>
      </c>
      <c r="BB53" s="212">
        <v>7.5</v>
      </c>
      <c r="BC53" s="212">
        <v>7.5</v>
      </c>
      <c r="BD53" s="212">
        <v>7.5</v>
      </c>
      <c r="BE53" s="212">
        <v>7.5</v>
      </c>
      <c r="BF53" s="212">
        <v>7.5</v>
      </c>
      <c r="BG53" s="212">
        <v>7.5</v>
      </c>
      <c r="BH53" s="212">
        <v>7.5</v>
      </c>
      <c r="BI53" s="212">
        <v>7.5</v>
      </c>
      <c r="BJ53" s="212">
        <v>7.5</v>
      </c>
      <c r="BK53" s="212">
        <v>7.5</v>
      </c>
      <c r="BL53" s="212">
        <v>7.5</v>
      </c>
      <c r="BM53" s="212">
        <v>7.5</v>
      </c>
      <c r="BN53" s="212">
        <v>7.5</v>
      </c>
      <c r="BO53" s="212">
        <v>7.5</v>
      </c>
      <c r="BP53" s="212">
        <v>7.5</v>
      </c>
      <c r="BQ53" s="212">
        <v>7.5</v>
      </c>
      <c r="BR53" s="212">
        <v>7.5</v>
      </c>
      <c r="BS53" s="212">
        <v>7.5</v>
      </c>
      <c r="BT53" s="212">
        <v>7.5</v>
      </c>
      <c r="BU53" s="212">
        <v>7.5</v>
      </c>
      <c r="BV53" s="212">
        <v>7.5</v>
      </c>
      <c r="BW53" s="212">
        <v>10</v>
      </c>
      <c r="BX53" s="212">
        <v>10</v>
      </c>
      <c r="BY53" s="212">
        <v>10</v>
      </c>
      <c r="BZ53" s="212">
        <v>10</v>
      </c>
      <c r="CA53" s="212">
        <v>10</v>
      </c>
      <c r="CB53" s="212">
        <v>10</v>
      </c>
      <c r="CC53" s="212">
        <v>10</v>
      </c>
      <c r="CD53" s="212">
        <v>10</v>
      </c>
      <c r="CE53" s="212">
        <v>10</v>
      </c>
      <c r="CF53" s="212">
        <v>10</v>
      </c>
      <c r="CG53" s="212">
        <v>10</v>
      </c>
      <c r="CH53" s="212">
        <v>10</v>
      </c>
      <c r="CI53" s="212">
        <v>10</v>
      </c>
      <c r="CJ53" s="212">
        <v>10</v>
      </c>
      <c r="CK53" s="212">
        <v>10</v>
      </c>
      <c r="CL53" s="212">
        <v>10</v>
      </c>
      <c r="CM53" s="212">
        <v>10</v>
      </c>
      <c r="CN53" s="212">
        <v>10</v>
      </c>
      <c r="CO53" s="212">
        <v>12.5</v>
      </c>
      <c r="CP53" s="212">
        <v>12.5</v>
      </c>
      <c r="CQ53" s="212">
        <v>12.5</v>
      </c>
      <c r="CR53" s="212">
        <v>12.5</v>
      </c>
      <c r="CS53" s="212">
        <v>12.5</v>
      </c>
      <c r="CT53" s="212">
        <v>12.5</v>
      </c>
      <c r="CU53" s="212">
        <v>12.5</v>
      </c>
      <c r="CV53" s="212">
        <v>12.5</v>
      </c>
      <c r="CW53" s="212">
        <v>12.5</v>
      </c>
      <c r="CX53" s="212">
        <v>12.5</v>
      </c>
      <c r="CY53" s="212">
        <v>12.5</v>
      </c>
      <c r="CZ53" s="212">
        <v>12.5</v>
      </c>
      <c r="DA53" s="212">
        <v>12.5</v>
      </c>
      <c r="DB53" s="212">
        <v>12.5</v>
      </c>
      <c r="DC53" s="212">
        <v>12.5</v>
      </c>
      <c r="DD53" s="212">
        <v>12.5</v>
      </c>
      <c r="DE53" s="212">
        <v>12.5</v>
      </c>
      <c r="DF53" s="212">
        <v>12.5</v>
      </c>
      <c r="DG53" s="212">
        <v>12.5</v>
      </c>
      <c r="DH53" s="212">
        <v>12.5</v>
      </c>
      <c r="DI53" s="212">
        <v>15</v>
      </c>
      <c r="DJ53" s="212">
        <v>15</v>
      </c>
      <c r="DK53" s="212">
        <v>15</v>
      </c>
      <c r="DL53" s="212">
        <v>15</v>
      </c>
      <c r="DM53" s="212">
        <v>15</v>
      </c>
      <c r="DN53" s="212">
        <v>15</v>
      </c>
      <c r="DO53" s="212">
        <v>15</v>
      </c>
      <c r="DP53" s="212">
        <v>15</v>
      </c>
      <c r="DQ53" s="212">
        <v>15</v>
      </c>
      <c r="DR53" s="212">
        <v>15</v>
      </c>
    </row>
    <row r="54" spans="1:122" ht="22.5" customHeight="1" x14ac:dyDescent="0.45">
      <c r="A54" s="211">
        <v>48</v>
      </c>
      <c r="B54" s="212">
        <v>-2.5</v>
      </c>
      <c r="C54" s="212">
        <v>-2.5</v>
      </c>
      <c r="D54" s="212">
        <v>-2.5</v>
      </c>
      <c r="E54" s="212">
        <v>-5</v>
      </c>
      <c r="F54" s="212">
        <v>-5</v>
      </c>
      <c r="G54" s="212">
        <v>-5</v>
      </c>
      <c r="H54" s="212">
        <v>-5</v>
      </c>
      <c r="I54" s="212">
        <v>-5</v>
      </c>
      <c r="J54" s="212">
        <v>-5</v>
      </c>
      <c r="K54" s="212">
        <v>-5</v>
      </c>
      <c r="L54" s="212">
        <v>-5</v>
      </c>
      <c r="M54" s="212">
        <v>-2.5</v>
      </c>
      <c r="N54" s="212">
        <v>-2.5</v>
      </c>
      <c r="O54" s="212">
        <v>-2.5</v>
      </c>
      <c r="P54" s="212">
        <v>-2.5</v>
      </c>
      <c r="Q54" s="212">
        <v>-2.5</v>
      </c>
      <c r="R54" s="212">
        <v>-2.5</v>
      </c>
      <c r="S54" s="212">
        <v>-2.5</v>
      </c>
      <c r="T54" s="212">
        <v>-2.5</v>
      </c>
      <c r="U54" s="212">
        <v>-2.5</v>
      </c>
      <c r="V54" s="212">
        <v>-2.5</v>
      </c>
      <c r="W54" s="212">
        <v>-2.5</v>
      </c>
      <c r="X54" s="212">
        <v>-2.5</v>
      </c>
      <c r="Y54" s="212">
        <v>0</v>
      </c>
      <c r="Z54" s="212">
        <v>0</v>
      </c>
      <c r="AA54" s="212">
        <v>0</v>
      </c>
      <c r="AB54" s="212">
        <v>0</v>
      </c>
      <c r="AC54" s="212">
        <v>0</v>
      </c>
      <c r="AD54" s="212">
        <v>0</v>
      </c>
      <c r="AE54" s="212">
        <v>2.5</v>
      </c>
      <c r="AF54" s="212">
        <v>2.5</v>
      </c>
      <c r="AG54" s="212">
        <v>2.5</v>
      </c>
      <c r="AH54" s="212">
        <v>2.5</v>
      </c>
      <c r="AI54" s="212">
        <v>2.5</v>
      </c>
      <c r="AJ54" s="212">
        <v>2.5</v>
      </c>
      <c r="AK54" s="212">
        <v>2.5</v>
      </c>
      <c r="AL54" s="212">
        <v>2.5</v>
      </c>
      <c r="AM54" s="212">
        <v>5</v>
      </c>
      <c r="AN54" s="212">
        <v>5</v>
      </c>
      <c r="AO54" s="212">
        <v>5</v>
      </c>
      <c r="AP54" s="212">
        <v>5</v>
      </c>
      <c r="AQ54" s="212">
        <v>5</v>
      </c>
      <c r="AR54" s="212">
        <v>5</v>
      </c>
      <c r="AS54" s="212">
        <v>5</v>
      </c>
      <c r="AT54" s="212">
        <v>5</v>
      </c>
      <c r="AU54" s="212">
        <v>5</v>
      </c>
      <c r="AV54" s="212">
        <v>5</v>
      </c>
      <c r="AW54" s="212">
        <v>5</v>
      </c>
      <c r="AX54" s="212">
        <v>5</v>
      </c>
      <c r="AY54" s="212">
        <v>5</v>
      </c>
      <c r="AZ54" s="212">
        <v>5</v>
      </c>
      <c r="BA54" s="212">
        <v>5</v>
      </c>
      <c r="BB54" s="212">
        <v>7.5</v>
      </c>
      <c r="BC54" s="212">
        <v>7.5</v>
      </c>
      <c r="BD54" s="212">
        <v>7.5</v>
      </c>
      <c r="BE54" s="212">
        <v>7.5</v>
      </c>
      <c r="BF54" s="212">
        <v>7.5</v>
      </c>
      <c r="BG54" s="212">
        <v>7.5</v>
      </c>
      <c r="BH54" s="212">
        <v>7.5</v>
      </c>
      <c r="BI54" s="212">
        <v>7.5</v>
      </c>
      <c r="BJ54" s="212">
        <v>7.5</v>
      </c>
      <c r="BK54" s="212">
        <v>7.5</v>
      </c>
      <c r="BL54" s="212">
        <v>7.5</v>
      </c>
      <c r="BM54" s="212">
        <v>7.5</v>
      </c>
      <c r="BN54" s="212">
        <v>7.5</v>
      </c>
      <c r="BO54" s="212">
        <v>7.5</v>
      </c>
      <c r="BP54" s="212">
        <v>7.5</v>
      </c>
      <c r="BQ54" s="212">
        <v>7.5</v>
      </c>
      <c r="BR54" s="212">
        <v>7.5</v>
      </c>
      <c r="BS54" s="212">
        <v>7.5</v>
      </c>
      <c r="BT54" s="212">
        <v>7.5</v>
      </c>
      <c r="BU54" s="212">
        <v>7.5</v>
      </c>
      <c r="BV54" s="212">
        <v>7.5</v>
      </c>
      <c r="BW54" s="212">
        <v>10</v>
      </c>
      <c r="BX54" s="212">
        <v>10</v>
      </c>
      <c r="BY54" s="212">
        <v>10</v>
      </c>
      <c r="BZ54" s="212">
        <v>10</v>
      </c>
      <c r="CA54" s="212">
        <v>10</v>
      </c>
      <c r="CB54" s="212">
        <v>10</v>
      </c>
      <c r="CC54" s="212">
        <v>10</v>
      </c>
      <c r="CD54" s="212">
        <v>10</v>
      </c>
      <c r="CE54" s="212">
        <v>10</v>
      </c>
      <c r="CF54" s="212">
        <v>10</v>
      </c>
      <c r="CG54" s="212">
        <v>10</v>
      </c>
      <c r="CH54" s="212">
        <v>10</v>
      </c>
      <c r="CI54" s="212">
        <v>10</v>
      </c>
      <c r="CJ54" s="212">
        <v>10</v>
      </c>
      <c r="CK54" s="212">
        <v>10</v>
      </c>
      <c r="CL54" s="212">
        <v>10</v>
      </c>
      <c r="CM54" s="212">
        <v>10</v>
      </c>
      <c r="CN54" s="212">
        <v>10</v>
      </c>
      <c r="CO54" s="212">
        <v>10</v>
      </c>
      <c r="CP54" s="212">
        <v>12.5</v>
      </c>
      <c r="CQ54" s="212">
        <v>12.5</v>
      </c>
      <c r="CR54" s="212">
        <v>12.5</v>
      </c>
      <c r="CS54" s="212">
        <v>12.5</v>
      </c>
      <c r="CT54" s="212">
        <v>12.5</v>
      </c>
      <c r="CU54" s="212">
        <v>12.5</v>
      </c>
      <c r="CV54" s="212">
        <v>12.5</v>
      </c>
      <c r="CW54" s="212">
        <v>12.5</v>
      </c>
      <c r="CX54" s="212">
        <v>12.5</v>
      </c>
      <c r="CY54" s="212">
        <v>12.5</v>
      </c>
      <c r="CZ54" s="212">
        <v>12.5</v>
      </c>
      <c r="DA54" s="212">
        <v>12.5</v>
      </c>
      <c r="DB54" s="212">
        <v>12.5</v>
      </c>
      <c r="DC54" s="212">
        <v>12.5</v>
      </c>
      <c r="DD54" s="212">
        <v>12.5</v>
      </c>
      <c r="DE54" s="212">
        <v>12.5</v>
      </c>
      <c r="DF54" s="212">
        <v>12.5</v>
      </c>
      <c r="DG54" s="212">
        <v>12.5</v>
      </c>
      <c r="DH54" s="212">
        <v>12.5</v>
      </c>
      <c r="DI54" s="212">
        <v>12.5</v>
      </c>
      <c r="DJ54" s="212">
        <v>15</v>
      </c>
      <c r="DK54" s="212">
        <v>15</v>
      </c>
      <c r="DL54" s="212">
        <v>15</v>
      </c>
      <c r="DM54" s="212">
        <v>15</v>
      </c>
      <c r="DN54" s="212">
        <v>15</v>
      </c>
      <c r="DO54" s="212">
        <v>15</v>
      </c>
      <c r="DP54" s="212">
        <v>15</v>
      </c>
      <c r="DQ54" s="212">
        <v>15</v>
      </c>
      <c r="DR54" s="212">
        <v>15</v>
      </c>
    </row>
    <row r="55" spans="1:122" ht="22.5" customHeight="1" x14ac:dyDescent="0.45">
      <c r="A55" s="211">
        <v>47</v>
      </c>
      <c r="B55" s="212">
        <v>-2.5</v>
      </c>
      <c r="C55" s="212">
        <v>-2.5</v>
      </c>
      <c r="D55" s="212">
        <v>-2.5</v>
      </c>
      <c r="E55" s="212">
        <v>-2.5</v>
      </c>
      <c r="F55" s="212">
        <v>-2.5</v>
      </c>
      <c r="G55" s="212">
        <v>-2.5</v>
      </c>
      <c r="H55" s="212">
        <v>-2.5</v>
      </c>
      <c r="I55" s="212">
        <v>-2.5</v>
      </c>
      <c r="J55" s="212">
        <v>-2.5</v>
      </c>
      <c r="K55" s="212">
        <v>-2.5</v>
      </c>
      <c r="L55" s="212">
        <v>-2.5</v>
      </c>
      <c r="M55" s="212">
        <v>-2.5</v>
      </c>
      <c r="N55" s="212">
        <v>-2.5</v>
      </c>
      <c r="O55" s="212">
        <v>-2.5</v>
      </c>
      <c r="P55" s="212">
        <v>-2.5</v>
      </c>
      <c r="Q55" s="212">
        <v>-2.5</v>
      </c>
      <c r="R55" s="212">
        <v>-2.5</v>
      </c>
      <c r="S55" s="212">
        <v>-2.5</v>
      </c>
      <c r="T55" s="212">
        <v>-2.5</v>
      </c>
      <c r="U55" s="212">
        <v>-2.5</v>
      </c>
      <c r="V55" s="212">
        <v>-2.5</v>
      </c>
      <c r="W55" s="212">
        <v>-2.5</v>
      </c>
      <c r="X55" s="212">
        <v>-2.5</v>
      </c>
      <c r="Y55" s="212">
        <v>0</v>
      </c>
      <c r="Z55" s="212">
        <v>0</v>
      </c>
      <c r="AA55" s="212">
        <v>0</v>
      </c>
      <c r="AB55" s="212">
        <v>0</v>
      </c>
      <c r="AC55" s="212">
        <v>0</v>
      </c>
      <c r="AD55" s="212">
        <v>0</v>
      </c>
      <c r="AE55" s="212">
        <v>2.5</v>
      </c>
      <c r="AF55" s="212">
        <v>2.5</v>
      </c>
      <c r="AG55" s="212">
        <v>2.5</v>
      </c>
      <c r="AH55" s="212">
        <v>2.5</v>
      </c>
      <c r="AI55" s="212">
        <v>2.5</v>
      </c>
      <c r="AJ55" s="212">
        <v>2.5</v>
      </c>
      <c r="AK55" s="212">
        <v>2.5</v>
      </c>
      <c r="AL55" s="212">
        <v>2.5</v>
      </c>
      <c r="AM55" s="212">
        <v>2.5</v>
      </c>
      <c r="AN55" s="212">
        <v>5</v>
      </c>
      <c r="AO55" s="212">
        <v>5</v>
      </c>
      <c r="AP55" s="212">
        <v>5</v>
      </c>
      <c r="AQ55" s="212">
        <v>5</v>
      </c>
      <c r="AR55" s="212">
        <v>5</v>
      </c>
      <c r="AS55" s="212">
        <v>5</v>
      </c>
      <c r="AT55" s="212">
        <v>5</v>
      </c>
      <c r="AU55" s="212">
        <v>5</v>
      </c>
      <c r="AV55" s="212">
        <v>5</v>
      </c>
      <c r="AW55" s="212">
        <v>5</v>
      </c>
      <c r="AX55" s="212">
        <v>5</v>
      </c>
      <c r="AY55" s="212">
        <v>5</v>
      </c>
      <c r="AZ55" s="212">
        <v>5</v>
      </c>
      <c r="BA55" s="212">
        <v>5</v>
      </c>
      <c r="BB55" s="212">
        <v>7.5</v>
      </c>
      <c r="BC55" s="212">
        <v>7.5</v>
      </c>
      <c r="BD55" s="212">
        <v>7.5</v>
      </c>
      <c r="BE55" s="212">
        <v>7.5</v>
      </c>
      <c r="BF55" s="212">
        <v>7.5</v>
      </c>
      <c r="BG55" s="212">
        <v>7.5</v>
      </c>
      <c r="BH55" s="212">
        <v>7.5</v>
      </c>
      <c r="BI55" s="212">
        <v>7.5</v>
      </c>
      <c r="BJ55" s="212">
        <v>7.5</v>
      </c>
      <c r="BK55" s="212">
        <v>7.5</v>
      </c>
      <c r="BL55" s="212">
        <v>7.5</v>
      </c>
      <c r="BM55" s="212">
        <v>7.5</v>
      </c>
      <c r="BN55" s="212">
        <v>7.5</v>
      </c>
      <c r="BO55" s="212">
        <v>7.5</v>
      </c>
      <c r="BP55" s="212">
        <v>7.5</v>
      </c>
      <c r="BQ55" s="212">
        <v>7.5</v>
      </c>
      <c r="BR55" s="212">
        <v>7.5</v>
      </c>
      <c r="BS55" s="212">
        <v>7.5</v>
      </c>
      <c r="BT55" s="212">
        <v>7.5</v>
      </c>
      <c r="BU55" s="212">
        <v>7.5</v>
      </c>
      <c r="BV55" s="212">
        <v>7.5</v>
      </c>
      <c r="BW55" s="212">
        <v>10</v>
      </c>
      <c r="BX55" s="212">
        <v>10</v>
      </c>
      <c r="BY55" s="212">
        <v>10</v>
      </c>
      <c r="BZ55" s="212">
        <v>10</v>
      </c>
      <c r="CA55" s="212">
        <v>10</v>
      </c>
      <c r="CB55" s="212">
        <v>10</v>
      </c>
      <c r="CC55" s="212">
        <v>10</v>
      </c>
      <c r="CD55" s="212">
        <v>10</v>
      </c>
      <c r="CE55" s="212">
        <v>10</v>
      </c>
      <c r="CF55" s="212">
        <v>10</v>
      </c>
      <c r="CG55" s="212">
        <v>10</v>
      </c>
      <c r="CH55" s="212">
        <v>10</v>
      </c>
      <c r="CI55" s="212">
        <v>10</v>
      </c>
      <c r="CJ55" s="212">
        <v>10</v>
      </c>
      <c r="CK55" s="212">
        <v>10</v>
      </c>
      <c r="CL55" s="212">
        <v>10</v>
      </c>
      <c r="CM55" s="212">
        <v>10</v>
      </c>
      <c r="CN55" s="212">
        <v>10</v>
      </c>
      <c r="CO55" s="212">
        <v>10</v>
      </c>
      <c r="CP55" s="212">
        <v>10</v>
      </c>
      <c r="CQ55" s="212">
        <v>12.5</v>
      </c>
      <c r="CR55" s="212">
        <v>12.5</v>
      </c>
      <c r="CS55" s="212">
        <v>12.5</v>
      </c>
      <c r="CT55" s="212">
        <v>12.5</v>
      </c>
      <c r="CU55" s="212">
        <v>12.5</v>
      </c>
      <c r="CV55" s="212">
        <v>12.5</v>
      </c>
      <c r="CW55" s="212">
        <v>12.5</v>
      </c>
      <c r="CX55" s="212">
        <v>12.5</v>
      </c>
      <c r="CY55" s="212">
        <v>12.5</v>
      </c>
      <c r="CZ55" s="212">
        <v>12.5</v>
      </c>
      <c r="DA55" s="212">
        <v>12.5</v>
      </c>
      <c r="DB55" s="212">
        <v>12.5</v>
      </c>
      <c r="DC55" s="212">
        <v>12.5</v>
      </c>
      <c r="DD55" s="212">
        <v>12.5</v>
      </c>
      <c r="DE55" s="212">
        <v>12.5</v>
      </c>
      <c r="DF55" s="212">
        <v>12.5</v>
      </c>
      <c r="DG55" s="212">
        <v>12.5</v>
      </c>
      <c r="DH55" s="212">
        <v>12.5</v>
      </c>
      <c r="DI55" s="212">
        <v>12.5</v>
      </c>
      <c r="DJ55" s="212">
        <v>12.5</v>
      </c>
      <c r="DK55" s="212">
        <v>15</v>
      </c>
      <c r="DL55" s="212">
        <v>15</v>
      </c>
      <c r="DM55" s="212">
        <v>15</v>
      </c>
      <c r="DN55" s="212">
        <v>15</v>
      </c>
      <c r="DO55" s="212">
        <v>15</v>
      </c>
      <c r="DP55" s="212">
        <v>15</v>
      </c>
      <c r="DQ55" s="212">
        <v>15</v>
      </c>
      <c r="DR55" s="212">
        <v>15</v>
      </c>
    </row>
    <row r="56" spans="1:122" ht="22.5" customHeight="1" x14ac:dyDescent="0.45">
      <c r="A56" s="211">
        <v>46</v>
      </c>
      <c r="B56" s="212">
        <v>-2.5</v>
      </c>
      <c r="C56" s="212">
        <v>-2.5</v>
      </c>
      <c r="D56" s="212">
        <v>-2.5</v>
      </c>
      <c r="E56" s="212">
        <v>-2.5</v>
      </c>
      <c r="F56" s="212">
        <v>-2.5</v>
      </c>
      <c r="G56" s="212">
        <v>-2.5</v>
      </c>
      <c r="H56" s="212">
        <v>-2.5</v>
      </c>
      <c r="I56" s="212">
        <v>-2.5</v>
      </c>
      <c r="J56" s="212">
        <v>-2.5</v>
      </c>
      <c r="K56" s="212">
        <v>-2.5</v>
      </c>
      <c r="L56" s="212">
        <v>-2.5</v>
      </c>
      <c r="M56" s="212">
        <v>-2.5</v>
      </c>
      <c r="N56" s="212">
        <v>-2.5</v>
      </c>
      <c r="O56" s="212">
        <v>-2.5</v>
      </c>
      <c r="P56" s="212">
        <v>-2.5</v>
      </c>
      <c r="Q56" s="212">
        <v>-2.5</v>
      </c>
      <c r="R56" s="212">
        <v>-2.5</v>
      </c>
      <c r="S56" s="212">
        <v>-2.5</v>
      </c>
      <c r="T56" s="212">
        <v>-2.5</v>
      </c>
      <c r="U56" s="212">
        <v>-2.5</v>
      </c>
      <c r="V56" s="212">
        <v>-2.5</v>
      </c>
      <c r="W56" s="212">
        <v>-2.5</v>
      </c>
      <c r="X56" s="212">
        <v>-2.5</v>
      </c>
      <c r="Y56" s="212">
        <v>0</v>
      </c>
      <c r="Z56" s="212">
        <v>0</v>
      </c>
      <c r="AA56" s="212">
        <v>0</v>
      </c>
      <c r="AB56" s="212">
        <v>0</v>
      </c>
      <c r="AC56" s="212">
        <v>0</v>
      </c>
      <c r="AD56" s="212">
        <v>0</v>
      </c>
      <c r="AE56" s="212">
        <v>2.5</v>
      </c>
      <c r="AF56" s="212">
        <v>2.5</v>
      </c>
      <c r="AG56" s="212">
        <v>2.5</v>
      </c>
      <c r="AH56" s="212">
        <v>2.5</v>
      </c>
      <c r="AI56" s="212">
        <v>2.5</v>
      </c>
      <c r="AJ56" s="212">
        <v>2.5</v>
      </c>
      <c r="AK56" s="212">
        <v>2.5</v>
      </c>
      <c r="AL56" s="212">
        <v>2.5</v>
      </c>
      <c r="AM56" s="212">
        <v>2.5</v>
      </c>
      <c r="AN56" s="212">
        <v>5</v>
      </c>
      <c r="AO56" s="212">
        <v>5</v>
      </c>
      <c r="AP56" s="212">
        <v>5</v>
      </c>
      <c r="AQ56" s="212">
        <v>5</v>
      </c>
      <c r="AR56" s="212">
        <v>5</v>
      </c>
      <c r="AS56" s="212">
        <v>5</v>
      </c>
      <c r="AT56" s="212">
        <v>5</v>
      </c>
      <c r="AU56" s="212">
        <v>5</v>
      </c>
      <c r="AV56" s="212">
        <v>5</v>
      </c>
      <c r="AW56" s="212">
        <v>5</v>
      </c>
      <c r="AX56" s="212">
        <v>5</v>
      </c>
      <c r="AY56" s="212">
        <v>5</v>
      </c>
      <c r="AZ56" s="212">
        <v>5</v>
      </c>
      <c r="BA56" s="212">
        <v>5</v>
      </c>
      <c r="BB56" s="212">
        <v>5</v>
      </c>
      <c r="BC56" s="212">
        <v>7.5</v>
      </c>
      <c r="BD56" s="212">
        <v>7.5</v>
      </c>
      <c r="BE56" s="212">
        <v>7.5</v>
      </c>
      <c r="BF56" s="212">
        <v>7.5</v>
      </c>
      <c r="BG56" s="212">
        <v>7.5</v>
      </c>
      <c r="BH56" s="212">
        <v>7.5</v>
      </c>
      <c r="BI56" s="212">
        <v>7.5</v>
      </c>
      <c r="BJ56" s="212">
        <v>7.5</v>
      </c>
      <c r="BK56" s="212">
        <v>7.5</v>
      </c>
      <c r="BL56" s="212">
        <v>7.5</v>
      </c>
      <c r="BM56" s="212">
        <v>7.5</v>
      </c>
      <c r="BN56" s="212">
        <v>7.5</v>
      </c>
      <c r="BO56" s="212">
        <v>7.5</v>
      </c>
      <c r="BP56" s="212">
        <v>7.5</v>
      </c>
      <c r="BQ56" s="212">
        <v>7.5</v>
      </c>
      <c r="BR56" s="212">
        <v>7.5</v>
      </c>
      <c r="BS56" s="212">
        <v>7.5</v>
      </c>
      <c r="BT56" s="212">
        <v>7.5</v>
      </c>
      <c r="BU56" s="212">
        <v>7.5</v>
      </c>
      <c r="BV56" s="212">
        <v>7.5</v>
      </c>
      <c r="BW56" s="212">
        <v>7.5</v>
      </c>
      <c r="BX56" s="212">
        <v>10</v>
      </c>
      <c r="BY56" s="212">
        <v>10</v>
      </c>
      <c r="BZ56" s="212">
        <v>10</v>
      </c>
      <c r="CA56" s="212">
        <v>10</v>
      </c>
      <c r="CB56" s="212">
        <v>10</v>
      </c>
      <c r="CC56" s="212">
        <v>10</v>
      </c>
      <c r="CD56" s="212">
        <v>10</v>
      </c>
      <c r="CE56" s="212">
        <v>10</v>
      </c>
      <c r="CF56" s="212">
        <v>10</v>
      </c>
      <c r="CG56" s="212">
        <v>10</v>
      </c>
      <c r="CH56" s="212">
        <v>10</v>
      </c>
      <c r="CI56" s="212">
        <v>10</v>
      </c>
      <c r="CJ56" s="212">
        <v>10</v>
      </c>
      <c r="CK56" s="212">
        <v>10</v>
      </c>
      <c r="CL56" s="212">
        <v>10</v>
      </c>
      <c r="CM56" s="212">
        <v>10</v>
      </c>
      <c r="CN56" s="212">
        <v>10</v>
      </c>
      <c r="CO56" s="212">
        <v>10</v>
      </c>
      <c r="CP56" s="212">
        <v>10</v>
      </c>
      <c r="CQ56" s="212">
        <v>10</v>
      </c>
      <c r="CR56" s="212">
        <v>12.5</v>
      </c>
      <c r="CS56" s="212">
        <v>12.5</v>
      </c>
      <c r="CT56" s="212">
        <v>12.5</v>
      </c>
      <c r="CU56" s="212">
        <v>12.5</v>
      </c>
      <c r="CV56" s="212">
        <v>12.5</v>
      </c>
      <c r="CW56" s="212">
        <v>12.5</v>
      </c>
      <c r="CX56" s="212">
        <v>12.5</v>
      </c>
      <c r="CY56" s="212">
        <v>12.5</v>
      </c>
      <c r="CZ56" s="212">
        <v>12.5</v>
      </c>
      <c r="DA56" s="212">
        <v>12.5</v>
      </c>
      <c r="DB56" s="212">
        <v>12.5</v>
      </c>
      <c r="DC56" s="212">
        <v>12.5</v>
      </c>
      <c r="DD56" s="212">
        <v>12.5</v>
      </c>
      <c r="DE56" s="212">
        <v>12.5</v>
      </c>
      <c r="DF56" s="212">
        <v>12.5</v>
      </c>
      <c r="DG56" s="212">
        <v>12.5</v>
      </c>
      <c r="DH56" s="212">
        <v>12.5</v>
      </c>
      <c r="DI56" s="212">
        <v>12.5</v>
      </c>
      <c r="DJ56" s="212">
        <v>12.5</v>
      </c>
      <c r="DK56" s="212">
        <v>12.5</v>
      </c>
      <c r="DL56" s="212">
        <v>15</v>
      </c>
      <c r="DM56" s="212">
        <v>15</v>
      </c>
      <c r="DN56" s="212">
        <v>15</v>
      </c>
      <c r="DO56" s="212">
        <v>15</v>
      </c>
      <c r="DP56" s="212">
        <v>15</v>
      </c>
      <c r="DQ56" s="212">
        <v>15</v>
      </c>
      <c r="DR56" s="212">
        <v>15</v>
      </c>
    </row>
    <row r="57" spans="1:122" ht="22.5" customHeight="1" x14ac:dyDescent="0.45">
      <c r="A57" s="211">
        <v>45</v>
      </c>
      <c r="B57" s="212">
        <v>-2.5</v>
      </c>
      <c r="C57" s="212">
        <v>-2.5</v>
      </c>
      <c r="D57" s="212">
        <v>-2.5</v>
      </c>
      <c r="E57" s="212">
        <v>-2.5</v>
      </c>
      <c r="F57" s="212">
        <v>-2.5</v>
      </c>
      <c r="G57" s="212">
        <v>-2.5</v>
      </c>
      <c r="H57" s="212">
        <v>-2.5</v>
      </c>
      <c r="I57" s="212">
        <v>-2.5</v>
      </c>
      <c r="J57" s="212">
        <v>-2.5</v>
      </c>
      <c r="K57" s="212">
        <v>-2.5</v>
      </c>
      <c r="L57" s="212">
        <v>-2.5</v>
      </c>
      <c r="M57" s="212">
        <v>-2.5</v>
      </c>
      <c r="N57" s="212">
        <v>-2.5</v>
      </c>
      <c r="O57" s="212">
        <v>-2.5</v>
      </c>
      <c r="P57" s="212">
        <v>-2.5</v>
      </c>
      <c r="Q57" s="212">
        <v>-2.5</v>
      </c>
      <c r="R57" s="212">
        <v>-2.5</v>
      </c>
      <c r="S57" s="212">
        <v>-2.5</v>
      </c>
      <c r="T57" s="212">
        <v>-2.5</v>
      </c>
      <c r="U57" s="212">
        <v>-2.5</v>
      </c>
      <c r="V57" s="212">
        <v>-2.5</v>
      </c>
      <c r="W57" s="212">
        <v>-2.5</v>
      </c>
      <c r="X57" s="212">
        <v>-2.5</v>
      </c>
      <c r="Y57" s="212">
        <v>0</v>
      </c>
      <c r="Z57" s="212">
        <v>0</v>
      </c>
      <c r="AA57" s="212">
        <v>0</v>
      </c>
      <c r="AB57" s="212">
        <v>0</v>
      </c>
      <c r="AC57" s="212">
        <v>0</v>
      </c>
      <c r="AD57" s="212">
        <v>0</v>
      </c>
      <c r="AE57" s="212">
        <v>2.5</v>
      </c>
      <c r="AF57" s="212">
        <v>2.5</v>
      </c>
      <c r="AG57" s="212">
        <v>2.5</v>
      </c>
      <c r="AH57" s="212">
        <v>2.5</v>
      </c>
      <c r="AI57" s="212">
        <v>2.5</v>
      </c>
      <c r="AJ57" s="212">
        <v>2.5</v>
      </c>
      <c r="AK57" s="212">
        <v>2.5</v>
      </c>
      <c r="AL57" s="212">
        <v>2.5</v>
      </c>
      <c r="AM57" s="212">
        <v>2.5</v>
      </c>
      <c r="AN57" s="212">
        <v>5</v>
      </c>
      <c r="AO57" s="212">
        <v>5</v>
      </c>
      <c r="AP57" s="212">
        <v>5</v>
      </c>
      <c r="AQ57" s="212">
        <v>5</v>
      </c>
      <c r="AR57" s="212">
        <v>5</v>
      </c>
      <c r="AS57" s="212">
        <v>5</v>
      </c>
      <c r="AT57" s="212">
        <v>5</v>
      </c>
      <c r="AU57" s="212">
        <v>5</v>
      </c>
      <c r="AV57" s="212">
        <v>5</v>
      </c>
      <c r="AW57" s="212">
        <v>5</v>
      </c>
      <c r="AX57" s="212">
        <v>5</v>
      </c>
      <c r="AY57" s="212">
        <v>5</v>
      </c>
      <c r="AZ57" s="212">
        <v>5</v>
      </c>
      <c r="BA57" s="212">
        <v>5</v>
      </c>
      <c r="BB57" s="212">
        <v>7.5</v>
      </c>
      <c r="BC57" s="212">
        <v>7.5</v>
      </c>
      <c r="BD57" s="212">
        <v>7.5</v>
      </c>
      <c r="BE57" s="212">
        <v>7.5</v>
      </c>
      <c r="BF57" s="212">
        <v>7.5</v>
      </c>
      <c r="BG57" s="212">
        <v>7.5</v>
      </c>
      <c r="BH57" s="212">
        <v>7.5</v>
      </c>
      <c r="BI57" s="212">
        <v>7.5</v>
      </c>
      <c r="BJ57" s="212">
        <v>7.5</v>
      </c>
      <c r="BK57" s="212">
        <v>7.5</v>
      </c>
      <c r="BL57" s="212">
        <v>7.5</v>
      </c>
      <c r="BM57" s="212">
        <v>7.5</v>
      </c>
      <c r="BN57" s="212">
        <v>7.5</v>
      </c>
      <c r="BO57" s="212">
        <v>7.5</v>
      </c>
      <c r="BP57" s="212">
        <v>7.5</v>
      </c>
      <c r="BQ57" s="212">
        <v>7.5</v>
      </c>
      <c r="BR57" s="212">
        <v>7.5</v>
      </c>
      <c r="BS57" s="212">
        <v>7.5</v>
      </c>
      <c r="BT57" s="212">
        <v>7.5</v>
      </c>
      <c r="BU57" s="212">
        <v>7.5</v>
      </c>
      <c r="BV57" s="212">
        <v>7.5</v>
      </c>
      <c r="BW57" s="212">
        <v>7.5</v>
      </c>
      <c r="BX57" s="212">
        <v>7.5</v>
      </c>
      <c r="BY57" s="212">
        <v>10</v>
      </c>
      <c r="BZ57" s="212">
        <v>10</v>
      </c>
      <c r="CA57" s="212">
        <v>10</v>
      </c>
      <c r="CB57" s="212">
        <v>10</v>
      </c>
      <c r="CC57" s="212">
        <v>10</v>
      </c>
      <c r="CD57" s="212">
        <v>10</v>
      </c>
      <c r="CE57" s="212">
        <v>10</v>
      </c>
      <c r="CF57" s="212">
        <v>10</v>
      </c>
      <c r="CG57" s="212">
        <v>10</v>
      </c>
      <c r="CH57" s="212">
        <v>10</v>
      </c>
      <c r="CI57" s="212">
        <v>10</v>
      </c>
      <c r="CJ57" s="212">
        <v>10</v>
      </c>
      <c r="CK57" s="212">
        <v>10</v>
      </c>
      <c r="CL57" s="212">
        <v>10</v>
      </c>
      <c r="CM57" s="212">
        <v>10</v>
      </c>
      <c r="CN57" s="212">
        <v>10</v>
      </c>
      <c r="CO57" s="212">
        <v>10</v>
      </c>
      <c r="CP57" s="212">
        <v>10</v>
      </c>
      <c r="CQ57" s="212">
        <v>10</v>
      </c>
      <c r="CR57" s="212">
        <v>10</v>
      </c>
      <c r="CS57" s="212">
        <v>12.5</v>
      </c>
      <c r="CT57" s="212">
        <v>12.5</v>
      </c>
      <c r="CU57" s="212">
        <v>12.5</v>
      </c>
      <c r="CV57" s="212">
        <v>12.5</v>
      </c>
      <c r="CW57" s="212">
        <v>12.5</v>
      </c>
      <c r="CX57" s="212">
        <v>12.5</v>
      </c>
      <c r="CY57" s="212">
        <v>12.5</v>
      </c>
      <c r="CZ57" s="212">
        <v>12.5</v>
      </c>
      <c r="DA57" s="212">
        <v>12.5</v>
      </c>
      <c r="DB57" s="212">
        <v>12.5</v>
      </c>
      <c r="DC57" s="212">
        <v>12.5</v>
      </c>
      <c r="DD57" s="212">
        <v>12.5</v>
      </c>
      <c r="DE57" s="212">
        <v>12.5</v>
      </c>
      <c r="DF57" s="212">
        <v>12.5</v>
      </c>
      <c r="DG57" s="212">
        <v>12.5</v>
      </c>
      <c r="DH57" s="212">
        <v>12.5</v>
      </c>
      <c r="DI57" s="212">
        <v>12.5</v>
      </c>
      <c r="DJ57" s="212">
        <v>12.5</v>
      </c>
      <c r="DK57" s="212">
        <v>12.5</v>
      </c>
      <c r="DL57" s="212">
        <v>12.5</v>
      </c>
      <c r="DM57" s="212">
        <v>15</v>
      </c>
      <c r="DN57" s="212">
        <v>15</v>
      </c>
      <c r="DO57" s="212">
        <v>15</v>
      </c>
      <c r="DP57" s="212">
        <v>15</v>
      </c>
      <c r="DQ57" s="212">
        <v>15</v>
      </c>
      <c r="DR57" s="212">
        <v>15</v>
      </c>
    </row>
    <row r="58" spans="1:122" ht="22.5" customHeight="1" x14ac:dyDescent="0.45">
      <c r="A58" s="211">
        <v>44</v>
      </c>
      <c r="B58" s="212">
        <v>-2.5</v>
      </c>
      <c r="C58" s="212">
        <v>-2.5</v>
      </c>
      <c r="D58" s="212">
        <v>-2.5</v>
      </c>
      <c r="E58" s="212">
        <v>-2.5</v>
      </c>
      <c r="F58" s="212">
        <v>-2.5</v>
      </c>
      <c r="G58" s="212">
        <v>-2.5</v>
      </c>
      <c r="H58" s="212">
        <v>-2.5</v>
      </c>
      <c r="I58" s="212">
        <v>-2.5</v>
      </c>
      <c r="J58" s="212">
        <v>-2.5</v>
      </c>
      <c r="K58" s="212">
        <v>-2.5</v>
      </c>
      <c r="L58" s="212">
        <v>-2.5</v>
      </c>
      <c r="M58" s="212">
        <v>-2.5</v>
      </c>
      <c r="N58" s="212">
        <v>-2.5</v>
      </c>
      <c r="O58" s="212">
        <v>-2.5</v>
      </c>
      <c r="P58" s="212">
        <v>-2.5</v>
      </c>
      <c r="Q58" s="212">
        <v>-2.5</v>
      </c>
      <c r="R58" s="212">
        <v>-2.5</v>
      </c>
      <c r="S58" s="212">
        <v>-2.5</v>
      </c>
      <c r="T58" s="212">
        <v>-2.5</v>
      </c>
      <c r="U58" s="212">
        <v>-2.5</v>
      </c>
      <c r="V58" s="212">
        <v>-2.5</v>
      </c>
      <c r="W58" s="212">
        <v>-2.5</v>
      </c>
      <c r="X58" s="212">
        <v>0</v>
      </c>
      <c r="Y58" s="212">
        <v>0</v>
      </c>
      <c r="Z58" s="212">
        <v>0</v>
      </c>
      <c r="AA58" s="212">
        <v>0</v>
      </c>
      <c r="AB58" s="212">
        <v>0</v>
      </c>
      <c r="AC58" s="212">
        <v>0</v>
      </c>
      <c r="AD58" s="212">
        <v>0</v>
      </c>
      <c r="AE58" s="212">
        <v>0</v>
      </c>
      <c r="AF58" s="212">
        <v>2.5</v>
      </c>
      <c r="AG58" s="212">
        <v>2.5</v>
      </c>
      <c r="AH58" s="212">
        <v>2.5</v>
      </c>
      <c r="AI58" s="212">
        <v>2.5</v>
      </c>
      <c r="AJ58" s="212">
        <v>2.5</v>
      </c>
      <c r="AK58" s="212">
        <v>2.5</v>
      </c>
      <c r="AL58" s="212">
        <v>2.5</v>
      </c>
      <c r="AM58" s="212">
        <v>2.5</v>
      </c>
      <c r="AN58" s="212">
        <v>2.5</v>
      </c>
      <c r="AO58" s="212">
        <v>5</v>
      </c>
      <c r="AP58" s="212">
        <v>5</v>
      </c>
      <c r="AQ58" s="212">
        <v>5</v>
      </c>
      <c r="AR58" s="212">
        <v>5</v>
      </c>
      <c r="AS58" s="212">
        <v>5</v>
      </c>
      <c r="AT58" s="212">
        <v>5</v>
      </c>
      <c r="AU58" s="212">
        <v>5</v>
      </c>
      <c r="AV58" s="212">
        <v>5</v>
      </c>
      <c r="AW58" s="212">
        <v>5</v>
      </c>
      <c r="AX58" s="212">
        <v>5</v>
      </c>
      <c r="AY58" s="212">
        <v>5</v>
      </c>
      <c r="AZ58" s="212">
        <v>5</v>
      </c>
      <c r="BA58" s="212">
        <v>5</v>
      </c>
      <c r="BB58" s="212">
        <v>7.5</v>
      </c>
      <c r="BC58" s="212">
        <v>7.5</v>
      </c>
      <c r="BD58" s="212">
        <v>7.5</v>
      </c>
      <c r="BE58" s="212">
        <v>7.5</v>
      </c>
      <c r="BF58" s="212">
        <v>7.5</v>
      </c>
      <c r="BG58" s="212">
        <v>7.5</v>
      </c>
      <c r="BH58" s="212">
        <v>7.5</v>
      </c>
      <c r="BI58" s="212">
        <v>7.5</v>
      </c>
      <c r="BJ58" s="212">
        <v>7.5</v>
      </c>
      <c r="BK58" s="212">
        <v>7.5</v>
      </c>
      <c r="BL58" s="212">
        <v>7.5</v>
      </c>
      <c r="BM58" s="212">
        <v>7.5</v>
      </c>
      <c r="BN58" s="212">
        <v>7.5</v>
      </c>
      <c r="BO58" s="212">
        <v>7.5</v>
      </c>
      <c r="BP58" s="212">
        <v>7.5</v>
      </c>
      <c r="BQ58" s="212">
        <v>7.5</v>
      </c>
      <c r="BR58" s="212">
        <v>7.5</v>
      </c>
      <c r="BS58" s="212">
        <v>7.5</v>
      </c>
      <c r="BT58" s="212">
        <v>7.5</v>
      </c>
      <c r="BU58" s="212">
        <v>7.5</v>
      </c>
      <c r="BV58" s="212">
        <v>7.5</v>
      </c>
      <c r="BW58" s="212">
        <v>7.5</v>
      </c>
      <c r="BX58" s="212">
        <v>7.5</v>
      </c>
      <c r="BY58" s="212">
        <v>7.5</v>
      </c>
      <c r="BZ58" s="212">
        <v>10</v>
      </c>
      <c r="CA58" s="212">
        <v>10</v>
      </c>
      <c r="CB58" s="212">
        <v>10</v>
      </c>
      <c r="CC58" s="212">
        <v>10</v>
      </c>
      <c r="CD58" s="212">
        <v>10</v>
      </c>
      <c r="CE58" s="212">
        <v>10</v>
      </c>
      <c r="CF58" s="212">
        <v>10</v>
      </c>
      <c r="CG58" s="212">
        <v>10</v>
      </c>
      <c r="CH58" s="212">
        <v>10</v>
      </c>
      <c r="CI58" s="212">
        <v>10</v>
      </c>
      <c r="CJ58" s="212">
        <v>10</v>
      </c>
      <c r="CK58" s="212">
        <v>10</v>
      </c>
      <c r="CL58" s="212">
        <v>10</v>
      </c>
      <c r="CM58" s="212">
        <v>10</v>
      </c>
      <c r="CN58" s="212">
        <v>10</v>
      </c>
      <c r="CO58" s="212">
        <v>10</v>
      </c>
      <c r="CP58" s="212">
        <v>10</v>
      </c>
      <c r="CQ58" s="212">
        <v>10</v>
      </c>
      <c r="CR58" s="212">
        <v>10</v>
      </c>
      <c r="CS58" s="212">
        <v>10</v>
      </c>
      <c r="CT58" s="212">
        <v>12.5</v>
      </c>
      <c r="CU58" s="212">
        <v>12.5</v>
      </c>
      <c r="CV58" s="212">
        <v>12.5</v>
      </c>
      <c r="CW58" s="212">
        <v>12.5</v>
      </c>
      <c r="CX58" s="212">
        <v>12.5</v>
      </c>
      <c r="CY58" s="212">
        <v>12.5</v>
      </c>
      <c r="CZ58" s="212">
        <v>12.5</v>
      </c>
      <c r="DA58" s="212">
        <v>12.5</v>
      </c>
      <c r="DB58" s="212">
        <v>12.5</v>
      </c>
      <c r="DC58" s="212">
        <v>12.5</v>
      </c>
      <c r="DD58" s="212">
        <v>12.5</v>
      </c>
      <c r="DE58" s="212">
        <v>12.5</v>
      </c>
      <c r="DF58" s="212">
        <v>12.5</v>
      </c>
      <c r="DG58" s="212">
        <v>12.5</v>
      </c>
      <c r="DH58" s="212">
        <v>12.5</v>
      </c>
      <c r="DI58" s="212">
        <v>12.5</v>
      </c>
      <c r="DJ58" s="212">
        <v>12.5</v>
      </c>
      <c r="DK58" s="212">
        <v>12.5</v>
      </c>
      <c r="DL58" s="212">
        <v>12.5</v>
      </c>
      <c r="DM58" s="212">
        <v>12.5</v>
      </c>
      <c r="DN58" s="212">
        <v>15</v>
      </c>
      <c r="DO58" s="212">
        <v>15</v>
      </c>
      <c r="DP58" s="212">
        <v>15</v>
      </c>
      <c r="DQ58" s="212">
        <v>15</v>
      </c>
      <c r="DR58" s="212">
        <v>15</v>
      </c>
    </row>
    <row r="59" spans="1:122" ht="22.5" customHeight="1" x14ac:dyDescent="0.45">
      <c r="A59" s="211">
        <v>43</v>
      </c>
      <c r="B59" s="212">
        <v>-2.5</v>
      </c>
      <c r="C59" s="212">
        <v>-2.5</v>
      </c>
      <c r="D59" s="212">
        <v>-2.5</v>
      </c>
      <c r="E59" s="212">
        <v>-2.5</v>
      </c>
      <c r="F59" s="212">
        <v>-2.5</v>
      </c>
      <c r="G59" s="212">
        <v>-2.5</v>
      </c>
      <c r="H59" s="212">
        <v>-2.5</v>
      </c>
      <c r="I59" s="212">
        <v>-2.5</v>
      </c>
      <c r="J59" s="212">
        <v>-2.5</v>
      </c>
      <c r="K59" s="212">
        <v>-2.5</v>
      </c>
      <c r="L59" s="212">
        <v>-2.5</v>
      </c>
      <c r="M59" s="212">
        <v>-2.5</v>
      </c>
      <c r="N59" s="212">
        <v>-2.5</v>
      </c>
      <c r="O59" s="212">
        <v>-2.5</v>
      </c>
      <c r="P59" s="212">
        <v>-2.5</v>
      </c>
      <c r="Q59" s="212">
        <v>-2.5</v>
      </c>
      <c r="R59" s="212">
        <v>-2.5</v>
      </c>
      <c r="S59" s="212">
        <v>-2.5</v>
      </c>
      <c r="T59" s="212">
        <v>-2.5</v>
      </c>
      <c r="U59" s="212">
        <v>-2.5</v>
      </c>
      <c r="V59" s="212">
        <v>-2.5</v>
      </c>
      <c r="W59" s="212">
        <v>0</v>
      </c>
      <c r="X59" s="212">
        <v>0</v>
      </c>
      <c r="Y59" s="212">
        <v>0</v>
      </c>
      <c r="Z59" s="212">
        <v>0</v>
      </c>
      <c r="AA59" s="212">
        <v>0</v>
      </c>
      <c r="AB59" s="212">
        <v>0</v>
      </c>
      <c r="AC59" s="212">
        <v>0</v>
      </c>
      <c r="AD59" s="212">
        <v>0</v>
      </c>
      <c r="AE59" s="212">
        <v>0</v>
      </c>
      <c r="AF59" s="212">
        <v>2.5</v>
      </c>
      <c r="AG59" s="212">
        <v>2.5</v>
      </c>
      <c r="AH59" s="212">
        <v>2.5</v>
      </c>
      <c r="AI59" s="212">
        <v>2.5</v>
      </c>
      <c r="AJ59" s="212">
        <v>2.5</v>
      </c>
      <c r="AK59" s="212">
        <v>2.5</v>
      </c>
      <c r="AL59" s="212">
        <v>2.5</v>
      </c>
      <c r="AM59" s="212">
        <v>2.5</v>
      </c>
      <c r="AN59" s="212">
        <v>2.5</v>
      </c>
      <c r="AO59" s="212">
        <v>5</v>
      </c>
      <c r="AP59" s="212">
        <v>5</v>
      </c>
      <c r="AQ59" s="212">
        <v>5</v>
      </c>
      <c r="AR59" s="212">
        <v>5</v>
      </c>
      <c r="AS59" s="212">
        <v>5</v>
      </c>
      <c r="AT59" s="212">
        <v>5</v>
      </c>
      <c r="AU59" s="212">
        <v>5</v>
      </c>
      <c r="AV59" s="212">
        <v>5</v>
      </c>
      <c r="AW59" s="212">
        <v>5</v>
      </c>
      <c r="AX59" s="212">
        <v>5</v>
      </c>
      <c r="AY59" s="212">
        <v>5</v>
      </c>
      <c r="AZ59" s="212">
        <v>5</v>
      </c>
      <c r="BA59" s="212">
        <v>7.5</v>
      </c>
      <c r="BB59" s="212">
        <v>7.5</v>
      </c>
      <c r="BC59" s="212">
        <v>7.5</v>
      </c>
      <c r="BD59" s="212">
        <v>7.5</v>
      </c>
      <c r="BE59" s="212">
        <v>7.5</v>
      </c>
      <c r="BF59" s="212">
        <v>7.5</v>
      </c>
      <c r="BG59" s="212">
        <v>7.5</v>
      </c>
      <c r="BH59" s="212">
        <v>7.5</v>
      </c>
      <c r="BI59" s="212">
        <v>7.5</v>
      </c>
      <c r="BJ59" s="212">
        <v>7.5</v>
      </c>
      <c r="BK59" s="212">
        <v>7.5</v>
      </c>
      <c r="BL59" s="212">
        <v>7.5</v>
      </c>
      <c r="BM59" s="212">
        <v>7.5</v>
      </c>
      <c r="BN59" s="212">
        <v>7.5</v>
      </c>
      <c r="BO59" s="212">
        <v>7.5</v>
      </c>
      <c r="BP59" s="212">
        <v>7.5</v>
      </c>
      <c r="BQ59" s="212">
        <v>7.5</v>
      </c>
      <c r="BR59" s="212">
        <v>7.5</v>
      </c>
      <c r="BS59" s="212">
        <v>7.5</v>
      </c>
      <c r="BT59" s="212">
        <v>7.5</v>
      </c>
      <c r="BU59" s="212">
        <v>7.5</v>
      </c>
      <c r="BV59" s="212">
        <v>7.5</v>
      </c>
      <c r="BW59" s="212">
        <v>7.5</v>
      </c>
      <c r="BX59" s="212">
        <v>7.5</v>
      </c>
      <c r="BY59" s="212">
        <v>7.5</v>
      </c>
      <c r="BZ59" s="212">
        <v>7.5</v>
      </c>
      <c r="CA59" s="212">
        <v>10</v>
      </c>
      <c r="CB59" s="212">
        <v>10</v>
      </c>
      <c r="CC59" s="212">
        <v>10</v>
      </c>
      <c r="CD59" s="212">
        <v>10</v>
      </c>
      <c r="CE59" s="212">
        <v>10</v>
      </c>
      <c r="CF59" s="212">
        <v>10</v>
      </c>
      <c r="CG59" s="212">
        <v>10</v>
      </c>
      <c r="CH59" s="212">
        <v>10</v>
      </c>
      <c r="CI59" s="212">
        <v>10</v>
      </c>
      <c r="CJ59" s="212">
        <v>10</v>
      </c>
      <c r="CK59" s="212">
        <v>10</v>
      </c>
      <c r="CL59" s="212">
        <v>10</v>
      </c>
      <c r="CM59" s="212">
        <v>10</v>
      </c>
      <c r="CN59" s="212">
        <v>10</v>
      </c>
      <c r="CO59" s="212">
        <v>10</v>
      </c>
      <c r="CP59" s="212">
        <v>10</v>
      </c>
      <c r="CQ59" s="212">
        <v>10</v>
      </c>
      <c r="CR59" s="212">
        <v>10</v>
      </c>
      <c r="CS59" s="212">
        <v>10</v>
      </c>
      <c r="CT59" s="212">
        <v>10</v>
      </c>
      <c r="CU59" s="212">
        <v>12.5</v>
      </c>
      <c r="CV59" s="212">
        <v>12.5</v>
      </c>
      <c r="CW59" s="212">
        <v>12.5</v>
      </c>
      <c r="CX59" s="212">
        <v>12.5</v>
      </c>
      <c r="CY59" s="212">
        <v>12.5</v>
      </c>
      <c r="CZ59" s="212">
        <v>12.5</v>
      </c>
      <c r="DA59" s="212">
        <v>12.5</v>
      </c>
      <c r="DB59" s="212">
        <v>12.5</v>
      </c>
      <c r="DC59" s="212">
        <v>12.5</v>
      </c>
      <c r="DD59" s="212">
        <v>12.5</v>
      </c>
      <c r="DE59" s="212">
        <v>12.5</v>
      </c>
      <c r="DF59" s="212">
        <v>12.5</v>
      </c>
      <c r="DG59" s="212">
        <v>12.5</v>
      </c>
      <c r="DH59" s="212">
        <v>12.5</v>
      </c>
      <c r="DI59" s="212">
        <v>12.5</v>
      </c>
      <c r="DJ59" s="212">
        <v>12.5</v>
      </c>
      <c r="DK59" s="212">
        <v>12.5</v>
      </c>
      <c r="DL59" s="212">
        <v>12.5</v>
      </c>
      <c r="DM59" s="212">
        <v>12.5</v>
      </c>
      <c r="DN59" s="212">
        <v>12.5</v>
      </c>
      <c r="DO59" s="212">
        <v>15</v>
      </c>
      <c r="DP59" s="212">
        <v>15</v>
      </c>
      <c r="DQ59" s="212">
        <v>15</v>
      </c>
      <c r="DR59" s="212">
        <v>15</v>
      </c>
    </row>
    <row r="60" spans="1:122" ht="22.5" customHeight="1" x14ac:dyDescent="0.45">
      <c r="A60" s="211">
        <v>42</v>
      </c>
      <c r="B60" s="212">
        <v>-2.5</v>
      </c>
      <c r="C60" s="212">
        <v>-2.5</v>
      </c>
      <c r="D60" s="212">
        <v>-2.5</v>
      </c>
      <c r="E60" s="212">
        <v>-2.5</v>
      </c>
      <c r="F60" s="212">
        <v>-2.5</v>
      </c>
      <c r="G60" s="212">
        <v>-2.5</v>
      </c>
      <c r="H60" s="212">
        <v>-2.5</v>
      </c>
      <c r="I60" s="212">
        <v>-2.5</v>
      </c>
      <c r="J60" s="212">
        <v>-2.5</v>
      </c>
      <c r="K60" s="212">
        <v>-2.5</v>
      </c>
      <c r="L60" s="212">
        <v>-2.5</v>
      </c>
      <c r="M60" s="212">
        <v>-2.5</v>
      </c>
      <c r="N60" s="212">
        <v>-2.5</v>
      </c>
      <c r="O60" s="212">
        <v>-2.5</v>
      </c>
      <c r="P60" s="212">
        <v>-2.5</v>
      </c>
      <c r="Q60" s="212">
        <v>-2.5</v>
      </c>
      <c r="R60" s="212">
        <v>-2.5</v>
      </c>
      <c r="S60" s="212">
        <v>-2.5</v>
      </c>
      <c r="T60" s="212">
        <v>-2.5</v>
      </c>
      <c r="U60" s="212">
        <v>-2.5</v>
      </c>
      <c r="V60" s="212">
        <v>-2.5</v>
      </c>
      <c r="W60" s="212">
        <v>0</v>
      </c>
      <c r="X60" s="212">
        <v>0</v>
      </c>
      <c r="Y60" s="212">
        <v>0</v>
      </c>
      <c r="Z60" s="212">
        <v>0</v>
      </c>
      <c r="AA60" s="212">
        <v>0</v>
      </c>
      <c r="AB60" s="212">
        <v>0</v>
      </c>
      <c r="AC60" s="212">
        <v>0</v>
      </c>
      <c r="AD60" s="212">
        <v>0</v>
      </c>
      <c r="AE60" s="212">
        <v>0</v>
      </c>
      <c r="AF60" s="212">
        <v>2.5</v>
      </c>
      <c r="AG60" s="212">
        <v>2.5</v>
      </c>
      <c r="AH60" s="212">
        <v>2.5</v>
      </c>
      <c r="AI60" s="212">
        <v>2.5</v>
      </c>
      <c r="AJ60" s="212">
        <v>2.5</v>
      </c>
      <c r="AK60" s="212">
        <v>2.5</v>
      </c>
      <c r="AL60" s="212">
        <v>2.5</v>
      </c>
      <c r="AM60" s="212">
        <v>2.5</v>
      </c>
      <c r="AN60" s="212">
        <v>2.5</v>
      </c>
      <c r="AO60" s="212">
        <v>2.5</v>
      </c>
      <c r="AP60" s="212">
        <v>5</v>
      </c>
      <c r="AQ60" s="212">
        <v>5</v>
      </c>
      <c r="AR60" s="212">
        <v>5</v>
      </c>
      <c r="AS60" s="212">
        <v>5</v>
      </c>
      <c r="AT60" s="212">
        <v>5</v>
      </c>
      <c r="AU60" s="212">
        <v>5</v>
      </c>
      <c r="AV60" s="212">
        <v>5</v>
      </c>
      <c r="AW60" s="212">
        <v>5</v>
      </c>
      <c r="AX60" s="212">
        <v>5</v>
      </c>
      <c r="AY60" s="212">
        <v>5</v>
      </c>
      <c r="AZ60" s="212">
        <v>5</v>
      </c>
      <c r="BA60" s="212">
        <v>7.5</v>
      </c>
      <c r="BB60" s="212">
        <v>7.5</v>
      </c>
      <c r="BC60" s="212">
        <v>7.5</v>
      </c>
      <c r="BD60" s="212">
        <v>7.5</v>
      </c>
      <c r="BE60" s="212">
        <v>7.5</v>
      </c>
      <c r="BF60" s="212">
        <v>7.5</v>
      </c>
      <c r="BG60" s="212">
        <v>7.5</v>
      </c>
      <c r="BH60" s="212">
        <v>7.5</v>
      </c>
      <c r="BI60" s="212">
        <v>7.5</v>
      </c>
      <c r="BJ60" s="212">
        <v>7.5</v>
      </c>
      <c r="BK60" s="212">
        <v>7.5</v>
      </c>
      <c r="BL60" s="212">
        <v>7.5</v>
      </c>
      <c r="BM60" s="212">
        <v>7.5</v>
      </c>
      <c r="BN60" s="212">
        <v>7.5</v>
      </c>
      <c r="BO60" s="212">
        <v>7.5</v>
      </c>
      <c r="BP60" s="212">
        <v>7.5</v>
      </c>
      <c r="BQ60" s="212">
        <v>7.5</v>
      </c>
      <c r="BR60" s="212">
        <v>7.5</v>
      </c>
      <c r="BS60" s="212">
        <v>7.5</v>
      </c>
      <c r="BT60" s="212">
        <v>7.5</v>
      </c>
      <c r="BU60" s="212">
        <v>7.5</v>
      </c>
      <c r="BV60" s="212">
        <v>7.5</v>
      </c>
      <c r="BW60" s="212">
        <v>7.5</v>
      </c>
      <c r="BX60" s="212">
        <v>7.5</v>
      </c>
      <c r="BY60" s="212">
        <v>7.5</v>
      </c>
      <c r="BZ60" s="212">
        <v>7.5</v>
      </c>
      <c r="CA60" s="212">
        <v>7.5</v>
      </c>
      <c r="CB60" s="212">
        <v>10</v>
      </c>
      <c r="CC60" s="212">
        <v>10</v>
      </c>
      <c r="CD60" s="212">
        <v>10</v>
      </c>
      <c r="CE60" s="212">
        <v>10</v>
      </c>
      <c r="CF60" s="212">
        <v>10</v>
      </c>
      <c r="CG60" s="212">
        <v>10</v>
      </c>
      <c r="CH60" s="212">
        <v>10</v>
      </c>
      <c r="CI60" s="212">
        <v>10</v>
      </c>
      <c r="CJ60" s="212">
        <v>10</v>
      </c>
      <c r="CK60" s="212">
        <v>10</v>
      </c>
      <c r="CL60" s="212">
        <v>10</v>
      </c>
      <c r="CM60" s="212">
        <v>10</v>
      </c>
      <c r="CN60" s="212">
        <v>10</v>
      </c>
      <c r="CO60" s="212">
        <v>10</v>
      </c>
      <c r="CP60" s="212">
        <v>10</v>
      </c>
      <c r="CQ60" s="212">
        <v>10</v>
      </c>
      <c r="CR60" s="212">
        <v>10</v>
      </c>
      <c r="CS60" s="212">
        <v>10</v>
      </c>
      <c r="CT60" s="212">
        <v>10</v>
      </c>
      <c r="CU60" s="212">
        <v>10</v>
      </c>
      <c r="CV60" s="212">
        <v>12.5</v>
      </c>
      <c r="CW60" s="212">
        <v>12.5</v>
      </c>
      <c r="CX60" s="212">
        <v>12.5</v>
      </c>
      <c r="CY60" s="212">
        <v>12.5</v>
      </c>
      <c r="CZ60" s="212">
        <v>12.5</v>
      </c>
      <c r="DA60" s="212">
        <v>12.5</v>
      </c>
      <c r="DB60" s="212">
        <v>12.5</v>
      </c>
      <c r="DC60" s="212">
        <v>12.5</v>
      </c>
      <c r="DD60" s="212">
        <v>12.5</v>
      </c>
      <c r="DE60" s="212">
        <v>12.5</v>
      </c>
      <c r="DF60" s="212">
        <v>12.5</v>
      </c>
      <c r="DG60" s="212">
        <v>12.5</v>
      </c>
      <c r="DH60" s="212">
        <v>12.5</v>
      </c>
      <c r="DI60" s="212">
        <v>12.5</v>
      </c>
      <c r="DJ60" s="212">
        <v>12.5</v>
      </c>
      <c r="DK60" s="212">
        <v>12.5</v>
      </c>
      <c r="DL60" s="212">
        <v>12.5</v>
      </c>
      <c r="DM60" s="212">
        <v>12.5</v>
      </c>
      <c r="DN60" s="212">
        <v>12.5</v>
      </c>
      <c r="DO60" s="212">
        <v>12.5</v>
      </c>
      <c r="DP60" s="212">
        <v>15</v>
      </c>
      <c r="DQ60" s="212">
        <v>15</v>
      </c>
      <c r="DR60" s="212">
        <v>15</v>
      </c>
    </row>
    <row r="61" spans="1:122" ht="22.5" customHeight="1" x14ac:dyDescent="0.45">
      <c r="A61" s="211">
        <v>41</v>
      </c>
      <c r="B61" s="212">
        <v>-2.5</v>
      </c>
      <c r="C61" s="212">
        <v>-2.5</v>
      </c>
      <c r="D61" s="212">
        <v>-2.5</v>
      </c>
      <c r="E61" s="212">
        <v>-2.5</v>
      </c>
      <c r="F61" s="212">
        <v>-2.5</v>
      </c>
      <c r="G61" s="212">
        <v>-2.5</v>
      </c>
      <c r="H61" s="212">
        <v>-2.5</v>
      </c>
      <c r="I61" s="212">
        <v>-2.5</v>
      </c>
      <c r="J61" s="212">
        <v>-2.5</v>
      </c>
      <c r="K61" s="212">
        <v>-2.5</v>
      </c>
      <c r="L61" s="212">
        <v>-2.5</v>
      </c>
      <c r="M61" s="212">
        <v>-2.5</v>
      </c>
      <c r="N61" s="212">
        <v>-2.5</v>
      </c>
      <c r="O61" s="212">
        <v>-2.5</v>
      </c>
      <c r="P61" s="212">
        <v>-2.5</v>
      </c>
      <c r="Q61" s="212">
        <v>-2.5</v>
      </c>
      <c r="R61" s="212">
        <v>-2.5</v>
      </c>
      <c r="S61" s="212">
        <v>-2.5</v>
      </c>
      <c r="T61" s="212">
        <v>-2.5</v>
      </c>
      <c r="U61" s="212">
        <v>-2.5</v>
      </c>
      <c r="V61" s="212">
        <v>0</v>
      </c>
      <c r="W61" s="212">
        <v>0</v>
      </c>
      <c r="X61" s="212">
        <v>0</v>
      </c>
      <c r="Y61" s="212">
        <v>0</v>
      </c>
      <c r="Z61" s="212">
        <v>0</v>
      </c>
      <c r="AA61" s="212">
        <v>0</v>
      </c>
      <c r="AB61" s="212">
        <v>0</v>
      </c>
      <c r="AC61" s="212">
        <v>0</v>
      </c>
      <c r="AD61" s="212">
        <v>0</v>
      </c>
      <c r="AE61" s="212">
        <v>0</v>
      </c>
      <c r="AF61" s="212">
        <v>2.5</v>
      </c>
      <c r="AG61" s="212">
        <v>2.5</v>
      </c>
      <c r="AH61" s="212">
        <v>2.5</v>
      </c>
      <c r="AI61" s="212">
        <v>2.5</v>
      </c>
      <c r="AJ61" s="212">
        <v>2.5</v>
      </c>
      <c r="AK61" s="212">
        <v>2.5</v>
      </c>
      <c r="AL61" s="212">
        <v>2.5</v>
      </c>
      <c r="AM61" s="212">
        <v>2.5</v>
      </c>
      <c r="AN61" s="212">
        <v>2.5</v>
      </c>
      <c r="AO61" s="212">
        <v>2.5</v>
      </c>
      <c r="AP61" s="212">
        <v>5</v>
      </c>
      <c r="AQ61" s="212">
        <v>5</v>
      </c>
      <c r="AR61" s="212">
        <v>5</v>
      </c>
      <c r="AS61" s="212">
        <v>5</v>
      </c>
      <c r="AT61" s="212">
        <v>5</v>
      </c>
      <c r="AU61" s="212">
        <v>5</v>
      </c>
      <c r="AV61" s="212">
        <v>5</v>
      </c>
      <c r="AW61" s="212">
        <v>5</v>
      </c>
      <c r="AX61" s="212">
        <v>5</v>
      </c>
      <c r="AY61" s="212">
        <v>5</v>
      </c>
      <c r="AZ61" s="212">
        <v>5</v>
      </c>
      <c r="BA61" s="212">
        <v>7.5</v>
      </c>
      <c r="BB61" s="212">
        <v>7.5</v>
      </c>
      <c r="BC61" s="212">
        <v>7.5</v>
      </c>
      <c r="BD61" s="212">
        <v>7.5</v>
      </c>
      <c r="BE61" s="212">
        <v>7.5</v>
      </c>
      <c r="BF61" s="212">
        <v>7.5</v>
      </c>
      <c r="BG61" s="212">
        <v>7.5</v>
      </c>
      <c r="BH61" s="212">
        <v>7.5</v>
      </c>
      <c r="BI61" s="212">
        <v>7.5</v>
      </c>
      <c r="BJ61" s="212">
        <v>7.5</v>
      </c>
      <c r="BK61" s="212">
        <v>7.5</v>
      </c>
      <c r="BL61" s="212">
        <v>7.5</v>
      </c>
      <c r="BM61" s="212">
        <v>7.5</v>
      </c>
      <c r="BN61" s="212">
        <v>7.5</v>
      </c>
      <c r="BO61" s="212">
        <v>7.5</v>
      </c>
      <c r="BP61" s="212">
        <v>7.5</v>
      </c>
      <c r="BQ61" s="212">
        <v>7.5</v>
      </c>
      <c r="BR61" s="212">
        <v>7.5</v>
      </c>
      <c r="BS61" s="212">
        <v>7.5</v>
      </c>
      <c r="BT61" s="212">
        <v>7.5</v>
      </c>
      <c r="BU61" s="212">
        <v>7.5</v>
      </c>
      <c r="BV61" s="212">
        <v>7.5</v>
      </c>
      <c r="BW61" s="212">
        <v>7.5</v>
      </c>
      <c r="BX61" s="212">
        <v>7.5</v>
      </c>
      <c r="BY61" s="212">
        <v>7.5</v>
      </c>
      <c r="BZ61" s="212">
        <v>7.5</v>
      </c>
      <c r="CA61" s="212">
        <v>7.5</v>
      </c>
      <c r="CB61" s="212">
        <v>7.5</v>
      </c>
      <c r="CC61" s="212">
        <v>10</v>
      </c>
      <c r="CD61" s="212">
        <v>10</v>
      </c>
      <c r="CE61" s="212">
        <v>10</v>
      </c>
      <c r="CF61" s="212">
        <v>10</v>
      </c>
      <c r="CG61" s="212">
        <v>10</v>
      </c>
      <c r="CH61" s="212">
        <v>10</v>
      </c>
      <c r="CI61" s="212">
        <v>10</v>
      </c>
      <c r="CJ61" s="212">
        <v>10</v>
      </c>
      <c r="CK61" s="212">
        <v>10</v>
      </c>
      <c r="CL61" s="212">
        <v>10</v>
      </c>
      <c r="CM61" s="212">
        <v>10</v>
      </c>
      <c r="CN61" s="212">
        <v>10</v>
      </c>
      <c r="CO61" s="212">
        <v>10</v>
      </c>
      <c r="CP61" s="212">
        <v>10</v>
      </c>
      <c r="CQ61" s="212">
        <v>10</v>
      </c>
      <c r="CR61" s="212">
        <v>10</v>
      </c>
      <c r="CS61" s="212">
        <v>10</v>
      </c>
      <c r="CT61" s="212">
        <v>10</v>
      </c>
      <c r="CU61" s="212">
        <v>10</v>
      </c>
      <c r="CV61" s="212">
        <v>10</v>
      </c>
      <c r="CW61" s="212">
        <v>12.5</v>
      </c>
      <c r="CX61" s="212">
        <v>12.5</v>
      </c>
      <c r="CY61" s="212">
        <v>12.5</v>
      </c>
      <c r="CZ61" s="212">
        <v>12.5</v>
      </c>
      <c r="DA61" s="212">
        <v>12.5</v>
      </c>
      <c r="DB61" s="212">
        <v>12.5</v>
      </c>
      <c r="DC61" s="212">
        <v>12.5</v>
      </c>
      <c r="DD61" s="212">
        <v>12.5</v>
      </c>
      <c r="DE61" s="212">
        <v>12.5</v>
      </c>
      <c r="DF61" s="212">
        <v>12.5</v>
      </c>
      <c r="DG61" s="212">
        <v>12.5</v>
      </c>
      <c r="DH61" s="212">
        <v>12.5</v>
      </c>
      <c r="DI61" s="212">
        <v>12.5</v>
      </c>
      <c r="DJ61" s="212">
        <v>12.5</v>
      </c>
      <c r="DK61" s="212">
        <v>12.5</v>
      </c>
      <c r="DL61" s="212">
        <v>12.5</v>
      </c>
      <c r="DM61" s="212">
        <v>12.5</v>
      </c>
      <c r="DN61" s="212">
        <v>12.5</v>
      </c>
      <c r="DO61" s="212">
        <v>12.5</v>
      </c>
      <c r="DP61" s="212">
        <v>12.5</v>
      </c>
      <c r="DQ61" s="212">
        <v>15</v>
      </c>
      <c r="DR61" s="212">
        <v>15</v>
      </c>
    </row>
    <row r="62" spans="1:122" ht="22.5" customHeight="1" x14ac:dyDescent="0.45">
      <c r="A62" s="211">
        <v>40</v>
      </c>
      <c r="B62" s="212">
        <v>-2.5</v>
      </c>
      <c r="C62" s="212">
        <v>-2.5</v>
      </c>
      <c r="D62" s="212">
        <v>-2.5</v>
      </c>
      <c r="E62" s="212">
        <v>-2.5</v>
      </c>
      <c r="F62" s="212">
        <v>-2.5</v>
      </c>
      <c r="G62" s="212">
        <v>-2.5</v>
      </c>
      <c r="H62" s="212">
        <v>-2.5</v>
      </c>
      <c r="I62" s="212">
        <v>-2.5</v>
      </c>
      <c r="J62" s="212">
        <v>-2.5</v>
      </c>
      <c r="K62" s="212">
        <v>-2.5</v>
      </c>
      <c r="L62" s="212">
        <v>-2.5</v>
      </c>
      <c r="M62" s="212">
        <v>-2.5</v>
      </c>
      <c r="N62" s="212">
        <v>-2.5</v>
      </c>
      <c r="O62" s="212">
        <v>-2.5</v>
      </c>
      <c r="P62" s="212">
        <v>-2.5</v>
      </c>
      <c r="Q62" s="212">
        <v>-2.5</v>
      </c>
      <c r="R62" s="212">
        <v>-2.5</v>
      </c>
      <c r="S62" s="212">
        <v>-2.5</v>
      </c>
      <c r="T62" s="212">
        <v>-2.5</v>
      </c>
      <c r="U62" s="212">
        <v>0</v>
      </c>
      <c r="V62" s="212">
        <v>0</v>
      </c>
      <c r="W62" s="212">
        <v>0</v>
      </c>
      <c r="X62" s="212">
        <v>0</v>
      </c>
      <c r="Y62" s="212">
        <v>0</v>
      </c>
      <c r="Z62" s="212">
        <v>0</v>
      </c>
      <c r="AA62" s="212">
        <v>0</v>
      </c>
      <c r="AB62" s="212">
        <v>0</v>
      </c>
      <c r="AC62" s="212">
        <v>0</v>
      </c>
      <c r="AD62" s="212">
        <v>0</v>
      </c>
      <c r="AE62" s="212">
        <v>0</v>
      </c>
      <c r="AF62" s="212">
        <v>2.5</v>
      </c>
      <c r="AG62" s="212">
        <v>2.5</v>
      </c>
      <c r="AH62" s="212">
        <v>2.5</v>
      </c>
      <c r="AI62" s="212">
        <v>2.5</v>
      </c>
      <c r="AJ62" s="212">
        <v>2.5</v>
      </c>
      <c r="AK62" s="212">
        <v>2.5</v>
      </c>
      <c r="AL62" s="212">
        <v>2.5</v>
      </c>
      <c r="AM62" s="212">
        <v>2.5</v>
      </c>
      <c r="AN62" s="212">
        <v>2.5</v>
      </c>
      <c r="AO62" s="212">
        <v>2.5</v>
      </c>
      <c r="AP62" s="212">
        <v>5</v>
      </c>
      <c r="AQ62" s="212">
        <v>5</v>
      </c>
      <c r="AR62" s="212">
        <v>5</v>
      </c>
      <c r="AS62" s="212">
        <v>5</v>
      </c>
      <c r="AT62" s="212">
        <v>5</v>
      </c>
      <c r="AU62" s="212">
        <v>5</v>
      </c>
      <c r="AV62" s="212">
        <v>5</v>
      </c>
      <c r="AW62" s="212">
        <v>5</v>
      </c>
      <c r="AX62" s="212">
        <v>5</v>
      </c>
      <c r="AY62" s="212">
        <v>5</v>
      </c>
      <c r="AZ62" s="212">
        <v>5</v>
      </c>
      <c r="BA62" s="212">
        <v>7.5</v>
      </c>
      <c r="BB62" s="212">
        <v>7.5</v>
      </c>
      <c r="BC62" s="212">
        <v>7.5</v>
      </c>
      <c r="BD62" s="212">
        <v>7.5</v>
      </c>
      <c r="BE62" s="212">
        <v>7.5</v>
      </c>
      <c r="BF62" s="212">
        <v>7.5</v>
      </c>
      <c r="BG62" s="212">
        <v>7.5</v>
      </c>
      <c r="BH62" s="212">
        <v>7.5</v>
      </c>
      <c r="BI62" s="212">
        <v>7.5</v>
      </c>
      <c r="BJ62" s="212">
        <v>7.5</v>
      </c>
      <c r="BK62" s="212">
        <v>7.5</v>
      </c>
      <c r="BL62" s="212">
        <v>7.5</v>
      </c>
      <c r="BM62" s="212">
        <v>7.5</v>
      </c>
      <c r="BN62" s="212">
        <v>7.5</v>
      </c>
      <c r="BO62" s="212">
        <v>7.5</v>
      </c>
      <c r="BP62" s="212">
        <v>7.5</v>
      </c>
      <c r="BQ62" s="212">
        <v>7.5</v>
      </c>
      <c r="BR62" s="212">
        <v>7.5</v>
      </c>
      <c r="BS62" s="212">
        <v>7.5</v>
      </c>
      <c r="BT62" s="212">
        <v>7.5</v>
      </c>
      <c r="BU62" s="212">
        <v>7.5</v>
      </c>
      <c r="BV62" s="212">
        <v>7.5</v>
      </c>
      <c r="BW62" s="212">
        <v>7.5</v>
      </c>
      <c r="BX62" s="212">
        <v>7.5</v>
      </c>
      <c r="BY62" s="212">
        <v>7.5</v>
      </c>
      <c r="BZ62" s="212">
        <v>7.5</v>
      </c>
      <c r="CA62" s="212">
        <v>7.5</v>
      </c>
      <c r="CB62" s="212">
        <v>7.5</v>
      </c>
      <c r="CC62" s="212">
        <v>7.5</v>
      </c>
      <c r="CD62" s="212">
        <v>10</v>
      </c>
      <c r="CE62" s="212">
        <v>10</v>
      </c>
      <c r="CF62" s="212">
        <v>10</v>
      </c>
      <c r="CG62" s="212">
        <v>10</v>
      </c>
      <c r="CH62" s="212">
        <v>10</v>
      </c>
      <c r="CI62" s="212">
        <v>10</v>
      </c>
      <c r="CJ62" s="212">
        <v>10</v>
      </c>
      <c r="CK62" s="212">
        <v>10</v>
      </c>
      <c r="CL62" s="212">
        <v>10</v>
      </c>
      <c r="CM62" s="212">
        <v>10</v>
      </c>
      <c r="CN62" s="212">
        <v>10</v>
      </c>
      <c r="CO62" s="212">
        <v>10</v>
      </c>
      <c r="CP62" s="212">
        <v>10</v>
      </c>
      <c r="CQ62" s="212">
        <v>10</v>
      </c>
      <c r="CR62" s="212">
        <v>10</v>
      </c>
      <c r="CS62" s="212">
        <v>10</v>
      </c>
      <c r="CT62" s="212">
        <v>10</v>
      </c>
      <c r="CU62" s="212">
        <v>10</v>
      </c>
      <c r="CV62" s="212">
        <v>10</v>
      </c>
      <c r="CW62" s="212">
        <v>10</v>
      </c>
      <c r="CX62" s="212">
        <v>12.5</v>
      </c>
      <c r="CY62" s="212">
        <v>12.5</v>
      </c>
      <c r="CZ62" s="212">
        <v>12.5</v>
      </c>
      <c r="DA62" s="212">
        <v>12.5</v>
      </c>
      <c r="DB62" s="212">
        <v>12.5</v>
      </c>
      <c r="DC62" s="212">
        <v>12.5</v>
      </c>
      <c r="DD62" s="212">
        <v>12.5</v>
      </c>
      <c r="DE62" s="212">
        <v>12.5</v>
      </c>
      <c r="DF62" s="212">
        <v>12.5</v>
      </c>
      <c r="DG62" s="212">
        <v>12.5</v>
      </c>
      <c r="DH62" s="212">
        <v>12.5</v>
      </c>
      <c r="DI62" s="212">
        <v>12.5</v>
      </c>
      <c r="DJ62" s="212">
        <v>12.5</v>
      </c>
      <c r="DK62" s="212">
        <v>12.5</v>
      </c>
      <c r="DL62" s="212">
        <v>12.5</v>
      </c>
      <c r="DM62" s="212">
        <v>12.5</v>
      </c>
      <c r="DN62" s="212">
        <v>12.5</v>
      </c>
      <c r="DO62" s="212">
        <v>12.5</v>
      </c>
      <c r="DP62" s="212">
        <v>12.5</v>
      </c>
      <c r="DQ62" s="212">
        <v>12.5</v>
      </c>
      <c r="DR62" s="212">
        <v>15</v>
      </c>
    </row>
    <row r="63" spans="1:122" ht="22.5" customHeight="1" x14ac:dyDescent="0.45">
      <c r="A63" s="211">
        <v>39</v>
      </c>
      <c r="B63" s="212">
        <v>-2.5</v>
      </c>
      <c r="C63" s="212">
        <v>-2.5</v>
      </c>
      <c r="D63" s="212">
        <v>-2.5</v>
      </c>
      <c r="E63" s="212">
        <v>-2.5</v>
      </c>
      <c r="F63" s="212">
        <v>-2.5</v>
      </c>
      <c r="G63" s="212">
        <v>-2.5</v>
      </c>
      <c r="H63" s="212">
        <v>-2.5</v>
      </c>
      <c r="I63" s="212">
        <v>-2.5</v>
      </c>
      <c r="J63" s="212">
        <v>-2.5</v>
      </c>
      <c r="K63" s="212">
        <v>-2.5</v>
      </c>
      <c r="L63" s="212">
        <v>-2.5</v>
      </c>
      <c r="M63" s="212">
        <v>-2.5</v>
      </c>
      <c r="N63" s="212">
        <v>-2.5</v>
      </c>
      <c r="O63" s="212">
        <v>-2.5</v>
      </c>
      <c r="P63" s="212">
        <v>-2.5</v>
      </c>
      <c r="Q63" s="212">
        <v>-2.5</v>
      </c>
      <c r="R63" s="212">
        <v>-2.5</v>
      </c>
      <c r="S63" s="212">
        <v>-2.5</v>
      </c>
      <c r="T63" s="212">
        <v>0</v>
      </c>
      <c r="U63" s="212">
        <v>0</v>
      </c>
      <c r="V63" s="212">
        <v>0</v>
      </c>
      <c r="W63" s="212">
        <v>0</v>
      </c>
      <c r="X63" s="212">
        <v>0</v>
      </c>
      <c r="Y63" s="212">
        <v>0</v>
      </c>
      <c r="Z63" s="212">
        <v>0</v>
      </c>
      <c r="AA63" s="212">
        <v>0</v>
      </c>
      <c r="AB63" s="212">
        <v>0</v>
      </c>
      <c r="AC63" s="212">
        <v>0</v>
      </c>
      <c r="AD63" s="212">
        <v>0</v>
      </c>
      <c r="AE63" s="212">
        <v>0</v>
      </c>
      <c r="AF63" s="212">
        <v>0</v>
      </c>
      <c r="AG63" s="212">
        <v>2.5</v>
      </c>
      <c r="AH63" s="212">
        <v>2.5</v>
      </c>
      <c r="AI63" s="212">
        <v>2.5</v>
      </c>
      <c r="AJ63" s="212">
        <v>2.5</v>
      </c>
      <c r="AK63" s="212">
        <v>2.5</v>
      </c>
      <c r="AL63" s="212">
        <v>2.5</v>
      </c>
      <c r="AM63" s="212">
        <v>2.5</v>
      </c>
      <c r="AN63" s="212">
        <v>2.5</v>
      </c>
      <c r="AO63" s="212">
        <v>2.5</v>
      </c>
      <c r="AP63" s="212">
        <v>2.5</v>
      </c>
      <c r="AQ63" s="212">
        <v>2.5</v>
      </c>
      <c r="AR63" s="212">
        <v>5</v>
      </c>
      <c r="AS63" s="212">
        <v>5</v>
      </c>
      <c r="AT63" s="212">
        <v>5</v>
      </c>
      <c r="AU63" s="212">
        <v>5</v>
      </c>
      <c r="AV63" s="212">
        <v>5</v>
      </c>
      <c r="AW63" s="212">
        <v>5</v>
      </c>
      <c r="AX63" s="212">
        <v>5</v>
      </c>
      <c r="AY63" s="212">
        <v>5</v>
      </c>
      <c r="AZ63" s="212">
        <v>5</v>
      </c>
      <c r="BA63" s="212">
        <v>5</v>
      </c>
      <c r="BB63" s="212">
        <v>7.5</v>
      </c>
      <c r="BC63" s="212">
        <v>7.5</v>
      </c>
      <c r="BD63" s="212">
        <v>7.5</v>
      </c>
      <c r="BE63" s="212">
        <v>7.5</v>
      </c>
      <c r="BF63" s="212">
        <v>7.5</v>
      </c>
      <c r="BG63" s="212">
        <v>7.5</v>
      </c>
      <c r="BH63" s="212">
        <v>7.5</v>
      </c>
      <c r="BI63" s="212">
        <v>7.5</v>
      </c>
      <c r="BJ63" s="212">
        <v>7.5</v>
      </c>
      <c r="BK63" s="212">
        <v>7.5</v>
      </c>
      <c r="BL63" s="212">
        <v>7.5</v>
      </c>
      <c r="BM63" s="212">
        <v>7.5</v>
      </c>
      <c r="BN63" s="212">
        <v>7.5</v>
      </c>
      <c r="BO63" s="212">
        <v>7.5</v>
      </c>
      <c r="BP63" s="212">
        <v>7.5</v>
      </c>
      <c r="BQ63" s="212">
        <v>7.5</v>
      </c>
      <c r="BR63" s="212">
        <v>7.5</v>
      </c>
      <c r="BS63" s="212">
        <v>7.5</v>
      </c>
      <c r="BT63" s="212">
        <v>7.5</v>
      </c>
      <c r="BU63" s="212">
        <v>7.5</v>
      </c>
      <c r="BV63" s="212">
        <v>7.5</v>
      </c>
      <c r="BW63" s="212">
        <v>7.5</v>
      </c>
      <c r="BX63" s="212">
        <v>7.5</v>
      </c>
      <c r="BY63" s="212">
        <v>7.5</v>
      </c>
      <c r="BZ63" s="212">
        <v>7.5</v>
      </c>
      <c r="CA63" s="212">
        <v>7.5</v>
      </c>
      <c r="CB63" s="212">
        <v>7.5</v>
      </c>
      <c r="CC63" s="212">
        <v>7.5</v>
      </c>
      <c r="CD63" s="212">
        <v>7.5</v>
      </c>
      <c r="CE63" s="212">
        <v>7.5</v>
      </c>
      <c r="CF63" s="212">
        <v>10</v>
      </c>
      <c r="CG63" s="212">
        <v>10</v>
      </c>
      <c r="CH63" s="212">
        <v>10</v>
      </c>
      <c r="CI63" s="212">
        <v>10</v>
      </c>
      <c r="CJ63" s="212">
        <v>10</v>
      </c>
      <c r="CK63" s="212">
        <v>10</v>
      </c>
      <c r="CL63" s="212">
        <v>10</v>
      </c>
      <c r="CM63" s="212">
        <v>10</v>
      </c>
      <c r="CN63" s="212">
        <v>10</v>
      </c>
      <c r="CO63" s="212">
        <v>10</v>
      </c>
      <c r="CP63" s="212">
        <v>10</v>
      </c>
      <c r="CQ63" s="212">
        <v>10</v>
      </c>
      <c r="CR63" s="212">
        <v>10</v>
      </c>
      <c r="CS63" s="212">
        <v>10</v>
      </c>
      <c r="CT63" s="212">
        <v>10</v>
      </c>
      <c r="CU63" s="212">
        <v>10</v>
      </c>
      <c r="CV63" s="212">
        <v>10</v>
      </c>
      <c r="CW63" s="212">
        <v>10</v>
      </c>
      <c r="CX63" s="212">
        <v>10</v>
      </c>
      <c r="CY63" s="212">
        <v>10</v>
      </c>
      <c r="CZ63" s="212">
        <v>12.5</v>
      </c>
      <c r="DA63" s="212">
        <v>12.5</v>
      </c>
      <c r="DB63" s="212">
        <v>12.5</v>
      </c>
      <c r="DC63" s="212">
        <v>12.5</v>
      </c>
      <c r="DD63" s="212">
        <v>12.5</v>
      </c>
      <c r="DE63" s="212">
        <v>12.5</v>
      </c>
      <c r="DF63" s="212">
        <v>12.5</v>
      </c>
      <c r="DG63" s="212">
        <v>12.5</v>
      </c>
      <c r="DH63" s="212">
        <v>12.5</v>
      </c>
      <c r="DI63" s="212">
        <v>12.5</v>
      </c>
      <c r="DJ63" s="212">
        <v>12.5</v>
      </c>
      <c r="DK63" s="212">
        <v>12.5</v>
      </c>
      <c r="DL63" s="212">
        <v>12.5</v>
      </c>
      <c r="DM63" s="212">
        <v>12.5</v>
      </c>
      <c r="DN63" s="212">
        <v>12.5</v>
      </c>
      <c r="DO63" s="212">
        <v>12.5</v>
      </c>
      <c r="DP63" s="212">
        <v>12.5</v>
      </c>
      <c r="DQ63" s="212">
        <v>12.5</v>
      </c>
      <c r="DR63" s="212">
        <v>12.5</v>
      </c>
    </row>
    <row r="64" spans="1:122" ht="22.5" customHeight="1" x14ac:dyDescent="0.45">
      <c r="A64" s="211">
        <v>38</v>
      </c>
      <c r="B64" s="212">
        <v>-2.5</v>
      </c>
      <c r="C64" s="212">
        <v>-2.5</v>
      </c>
      <c r="D64" s="212">
        <v>-2.5</v>
      </c>
      <c r="E64" s="212">
        <v>-2.5</v>
      </c>
      <c r="F64" s="212">
        <v>-2.5</v>
      </c>
      <c r="G64" s="212">
        <v>-2.5</v>
      </c>
      <c r="H64" s="212">
        <v>-2.5</v>
      </c>
      <c r="I64" s="212">
        <v>-2.5</v>
      </c>
      <c r="J64" s="212">
        <v>-2.5</v>
      </c>
      <c r="K64" s="212">
        <v>-2.5</v>
      </c>
      <c r="L64" s="212">
        <v>-2.5</v>
      </c>
      <c r="M64" s="212">
        <v>-2.5</v>
      </c>
      <c r="N64" s="212">
        <v>-2.5</v>
      </c>
      <c r="O64" s="212">
        <v>-2.5</v>
      </c>
      <c r="P64" s="212">
        <v>-2.5</v>
      </c>
      <c r="Q64" s="212">
        <v>-2.5</v>
      </c>
      <c r="R64" s="212">
        <v>-2.5</v>
      </c>
      <c r="S64" s="212">
        <v>0</v>
      </c>
      <c r="T64" s="212">
        <v>0</v>
      </c>
      <c r="U64" s="212">
        <v>0</v>
      </c>
      <c r="V64" s="212">
        <v>0</v>
      </c>
      <c r="W64" s="212">
        <v>0</v>
      </c>
      <c r="X64" s="212">
        <v>0</v>
      </c>
      <c r="Y64" s="212">
        <v>0</v>
      </c>
      <c r="Z64" s="212">
        <v>0</v>
      </c>
      <c r="AA64" s="212">
        <v>0</v>
      </c>
      <c r="AB64" s="212">
        <v>0</v>
      </c>
      <c r="AC64" s="212">
        <v>0</v>
      </c>
      <c r="AD64" s="212">
        <v>0</v>
      </c>
      <c r="AE64" s="212">
        <v>0</v>
      </c>
      <c r="AF64" s="212">
        <v>0</v>
      </c>
      <c r="AG64" s="212">
        <v>2.5</v>
      </c>
      <c r="AH64" s="212">
        <v>2.5</v>
      </c>
      <c r="AI64" s="212">
        <v>2.5</v>
      </c>
      <c r="AJ64" s="212">
        <v>2.5</v>
      </c>
      <c r="AK64" s="212">
        <v>2.5</v>
      </c>
      <c r="AL64" s="212">
        <v>2.5</v>
      </c>
      <c r="AM64" s="212">
        <v>2.5</v>
      </c>
      <c r="AN64" s="212">
        <v>2.5</v>
      </c>
      <c r="AO64" s="212">
        <v>2.5</v>
      </c>
      <c r="AP64" s="212">
        <v>2.5</v>
      </c>
      <c r="AQ64" s="212">
        <v>2.5</v>
      </c>
      <c r="AR64" s="212">
        <v>2.5</v>
      </c>
      <c r="AS64" s="212">
        <v>2.5</v>
      </c>
      <c r="AT64" s="212">
        <v>5</v>
      </c>
      <c r="AU64" s="212">
        <v>5</v>
      </c>
      <c r="AV64" s="212">
        <v>5</v>
      </c>
      <c r="AW64" s="212">
        <v>5</v>
      </c>
      <c r="AX64" s="212">
        <v>5</v>
      </c>
      <c r="AY64" s="212">
        <v>5</v>
      </c>
      <c r="AZ64" s="212">
        <v>5</v>
      </c>
      <c r="BA64" s="212">
        <v>5</v>
      </c>
      <c r="BB64" s="212">
        <v>5</v>
      </c>
      <c r="BC64" s="212">
        <v>5</v>
      </c>
      <c r="BD64" s="212">
        <v>5</v>
      </c>
      <c r="BE64" s="212">
        <v>7.5</v>
      </c>
      <c r="BF64" s="212">
        <v>7.5</v>
      </c>
      <c r="BG64" s="212">
        <v>7.5</v>
      </c>
      <c r="BH64" s="212">
        <v>7.5</v>
      </c>
      <c r="BI64" s="212">
        <v>7.5</v>
      </c>
      <c r="BJ64" s="212">
        <v>7.5</v>
      </c>
      <c r="BK64" s="212">
        <v>7.5</v>
      </c>
      <c r="BL64" s="212">
        <v>7.5</v>
      </c>
      <c r="BM64" s="212">
        <v>7.5</v>
      </c>
      <c r="BN64" s="212">
        <v>7.5</v>
      </c>
      <c r="BO64" s="212">
        <v>7.5</v>
      </c>
      <c r="BP64" s="212">
        <v>7.5</v>
      </c>
      <c r="BQ64" s="212">
        <v>7.5</v>
      </c>
      <c r="BR64" s="212">
        <v>7.5</v>
      </c>
      <c r="BS64" s="212">
        <v>7.5</v>
      </c>
      <c r="BT64" s="212">
        <v>7.5</v>
      </c>
      <c r="BU64" s="212">
        <v>7.5</v>
      </c>
      <c r="BV64" s="212">
        <v>7.5</v>
      </c>
      <c r="BW64" s="212">
        <v>7.5</v>
      </c>
      <c r="BX64" s="212">
        <v>7.5</v>
      </c>
      <c r="BY64" s="212">
        <v>7.5</v>
      </c>
      <c r="BZ64" s="212">
        <v>7.5</v>
      </c>
      <c r="CA64" s="212">
        <v>7.5</v>
      </c>
      <c r="CB64" s="212">
        <v>7.5</v>
      </c>
      <c r="CC64" s="212">
        <v>7.5</v>
      </c>
      <c r="CD64" s="212">
        <v>7.5</v>
      </c>
      <c r="CE64" s="212">
        <v>7.5</v>
      </c>
      <c r="CF64" s="212">
        <v>7.5</v>
      </c>
      <c r="CG64" s="212">
        <v>7.5</v>
      </c>
      <c r="CH64" s="212">
        <v>10</v>
      </c>
      <c r="CI64" s="212">
        <v>10</v>
      </c>
      <c r="CJ64" s="212">
        <v>10</v>
      </c>
      <c r="CK64" s="212">
        <v>10</v>
      </c>
      <c r="CL64" s="212">
        <v>10</v>
      </c>
      <c r="CM64" s="212">
        <v>10</v>
      </c>
      <c r="CN64" s="212">
        <v>10</v>
      </c>
      <c r="CO64" s="212">
        <v>10</v>
      </c>
      <c r="CP64" s="212">
        <v>10</v>
      </c>
      <c r="CQ64" s="212">
        <v>10</v>
      </c>
      <c r="CR64" s="212">
        <v>10</v>
      </c>
      <c r="CS64" s="212">
        <v>10</v>
      </c>
      <c r="CT64" s="212">
        <v>10</v>
      </c>
      <c r="CU64" s="212">
        <v>10</v>
      </c>
      <c r="CV64" s="212">
        <v>10</v>
      </c>
      <c r="CW64" s="212">
        <v>10</v>
      </c>
      <c r="CX64" s="212">
        <v>10</v>
      </c>
      <c r="CY64" s="212">
        <v>10</v>
      </c>
      <c r="CZ64" s="212">
        <v>10</v>
      </c>
      <c r="DA64" s="212">
        <v>10</v>
      </c>
      <c r="DB64" s="212">
        <v>12.5</v>
      </c>
      <c r="DC64" s="212">
        <v>12.5</v>
      </c>
      <c r="DD64" s="212">
        <v>12.5</v>
      </c>
      <c r="DE64" s="212">
        <v>12.5</v>
      </c>
      <c r="DF64" s="212">
        <v>12.5</v>
      </c>
      <c r="DG64" s="212">
        <v>12.5</v>
      </c>
      <c r="DH64" s="212">
        <v>12.5</v>
      </c>
      <c r="DI64" s="212">
        <v>12.5</v>
      </c>
      <c r="DJ64" s="212">
        <v>12.5</v>
      </c>
      <c r="DK64" s="212">
        <v>12.5</v>
      </c>
      <c r="DL64" s="212">
        <v>12.5</v>
      </c>
      <c r="DM64" s="212">
        <v>12.5</v>
      </c>
      <c r="DN64" s="212">
        <v>12.5</v>
      </c>
      <c r="DO64" s="212">
        <v>12.5</v>
      </c>
      <c r="DP64" s="212">
        <v>12.5</v>
      </c>
      <c r="DQ64" s="212">
        <v>12.5</v>
      </c>
      <c r="DR64" s="212">
        <v>12.5</v>
      </c>
    </row>
    <row r="65" spans="1:122" ht="22.5" customHeight="1" x14ac:dyDescent="0.45">
      <c r="A65" s="211">
        <v>37</v>
      </c>
      <c r="B65" s="212">
        <v>-2.5</v>
      </c>
      <c r="C65" s="212">
        <v>-2.5</v>
      </c>
      <c r="D65" s="212">
        <v>-2.5</v>
      </c>
      <c r="E65" s="212">
        <v>-2.5</v>
      </c>
      <c r="F65" s="212">
        <v>-2.5</v>
      </c>
      <c r="G65" s="212">
        <v>-2.5</v>
      </c>
      <c r="H65" s="212">
        <v>-2.5</v>
      </c>
      <c r="I65" s="212">
        <v>-2.5</v>
      </c>
      <c r="J65" s="212">
        <v>-2.5</v>
      </c>
      <c r="K65" s="212">
        <v>-2.5</v>
      </c>
      <c r="L65" s="212">
        <v>-2.5</v>
      </c>
      <c r="M65" s="212">
        <v>-2.5</v>
      </c>
      <c r="N65" s="212">
        <v>-2.5</v>
      </c>
      <c r="O65" s="212">
        <v>-2.5</v>
      </c>
      <c r="P65" s="212">
        <v>-2.5</v>
      </c>
      <c r="Q65" s="212">
        <v>-2.5</v>
      </c>
      <c r="R65" s="212">
        <v>0</v>
      </c>
      <c r="S65" s="212">
        <v>0</v>
      </c>
      <c r="T65" s="212">
        <v>0</v>
      </c>
      <c r="U65" s="212">
        <v>0</v>
      </c>
      <c r="V65" s="212">
        <v>0</v>
      </c>
      <c r="W65" s="212">
        <v>0</v>
      </c>
      <c r="X65" s="212">
        <v>0</v>
      </c>
      <c r="Y65" s="212">
        <v>0</v>
      </c>
      <c r="Z65" s="212">
        <v>0</v>
      </c>
      <c r="AA65" s="212">
        <v>0</v>
      </c>
      <c r="AB65" s="212">
        <v>0</v>
      </c>
      <c r="AC65" s="212">
        <v>0</v>
      </c>
      <c r="AD65" s="212">
        <v>0</v>
      </c>
      <c r="AE65" s="212">
        <v>0</v>
      </c>
      <c r="AF65" s="212">
        <v>0</v>
      </c>
      <c r="AG65" s="212">
        <v>0</v>
      </c>
      <c r="AH65" s="212">
        <v>2.5</v>
      </c>
      <c r="AI65" s="212">
        <v>2.5</v>
      </c>
      <c r="AJ65" s="212">
        <v>2.5</v>
      </c>
      <c r="AK65" s="212">
        <v>2.5</v>
      </c>
      <c r="AL65" s="212">
        <v>2.5</v>
      </c>
      <c r="AM65" s="212">
        <v>2.5</v>
      </c>
      <c r="AN65" s="212">
        <v>2.5</v>
      </c>
      <c r="AO65" s="212">
        <v>2.5</v>
      </c>
      <c r="AP65" s="212">
        <v>2.5</v>
      </c>
      <c r="AQ65" s="212">
        <v>2.5</v>
      </c>
      <c r="AR65" s="212">
        <v>2.5</v>
      </c>
      <c r="AS65" s="212">
        <v>2.5</v>
      </c>
      <c r="AT65" s="212">
        <v>2.5</v>
      </c>
      <c r="AU65" s="212">
        <v>2.5</v>
      </c>
      <c r="AV65" s="212">
        <v>5</v>
      </c>
      <c r="AW65" s="212">
        <v>5</v>
      </c>
      <c r="AX65" s="212">
        <v>5</v>
      </c>
      <c r="AY65" s="212">
        <v>5</v>
      </c>
      <c r="AZ65" s="212">
        <v>5</v>
      </c>
      <c r="BA65" s="212">
        <v>5</v>
      </c>
      <c r="BB65" s="212">
        <v>5</v>
      </c>
      <c r="BC65" s="212">
        <v>5</v>
      </c>
      <c r="BD65" s="212">
        <v>5</v>
      </c>
      <c r="BE65" s="212">
        <v>5</v>
      </c>
      <c r="BF65" s="212">
        <v>5</v>
      </c>
      <c r="BG65" s="212">
        <v>5</v>
      </c>
      <c r="BH65" s="212">
        <v>5</v>
      </c>
      <c r="BI65" s="212">
        <v>5</v>
      </c>
      <c r="BJ65" s="212">
        <v>7.5</v>
      </c>
      <c r="BK65" s="212">
        <v>7.5</v>
      </c>
      <c r="BL65" s="212">
        <v>7.5</v>
      </c>
      <c r="BM65" s="212">
        <v>7.5</v>
      </c>
      <c r="BN65" s="212">
        <v>7.5</v>
      </c>
      <c r="BO65" s="212">
        <v>7.5</v>
      </c>
      <c r="BP65" s="212">
        <v>7.5</v>
      </c>
      <c r="BQ65" s="212">
        <v>7.5</v>
      </c>
      <c r="BR65" s="212">
        <v>7.5</v>
      </c>
      <c r="BS65" s="212">
        <v>7.5</v>
      </c>
      <c r="BT65" s="212">
        <v>7.5</v>
      </c>
      <c r="BU65" s="212">
        <v>7.5</v>
      </c>
      <c r="BV65" s="212">
        <v>7.5</v>
      </c>
      <c r="BW65" s="212">
        <v>7.5</v>
      </c>
      <c r="BX65" s="212">
        <v>7.5</v>
      </c>
      <c r="BY65" s="212">
        <v>7.5</v>
      </c>
      <c r="BZ65" s="212">
        <v>7.5</v>
      </c>
      <c r="CA65" s="212">
        <v>7.5</v>
      </c>
      <c r="CB65" s="212">
        <v>7.5</v>
      </c>
      <c r="CC65" s="212">
        <v>7.5</v>
      </c>
      <c r="CD65" s="212">
        <v>7.5</v>
      </c>
      <c r="CE65" s="212">
        <v>7.5</v>
      </c>
      <c r="CF65" s="212">
        <v>7.5</v>
      </c>
      <c r="CG65" s="212">
        <v>7.5</v>
      </c>
      <c r="CH65" s="212">
        <v>7.5</v>
      </c>
      <c r="CI65" s="212">
        <v>7.5</v>
      </c>
      <c r="CJ65" s="212">
        <v>10</v>
      </c>
      <c r="CK65" s="212">
        <v>10</v>
      </c>
      <c r="CL65" s="212">
        <v>10</v>
      </c>
      <c r="CM65" s="212">
        <v>10</v>
      </c>
      <c r="CN65" s="212">
        <v>10</v>
      </c>
      <c r="CO65" s="212">
        <v>10</v>
      </c>
      <c r="CP65" s="212">
        <v>10</v>
      </c>
      <c r="CQ65" s="212">
        <v>10</v>
      </c>
      <c r="CR65" s="212">
        <v>10</v>
      </c>
      <c r="CS65" s="212">
        <v>10</v>
      </c>
      <c r="CT65" s="212">
        <v>10</v>
      </c>
      <c r="CU65" s="212">
        <v>10</v>
      </c>
      <c r="CV65" s="212">
        <v>10</v>
      </c>
      <c r="CW65" s="212">
        <v>10</v>
      </c>
      <c r="CX65" s="212">
        <v>10</v>
      </c>
      <c r="CY65" s="212">
        <v>10</v>
      </c>
      <c r="CZ65" s="212">
        <v>10</v>
      </c>
      <c r="DA65" s="212">
        <v>10</v>
      </c>
      <c r="DB65" s="212">
        <v>10</v>
      </c>
      <c r="DC65" s="212">
        <v>10</v>
      </c>
      <c r="DD65" s="212">
        <v>12.5</v>
      </c>
      <c r="DE65" s="212">
        <v>12.5</v>
      </c>
      <c r="DF65" s="212">
        <v>12.5</v>
      </c>
      <c r="DG65" s="212">
        <v>12.5</v>
      </c>
      <c r="DH65" s="212">
        <v>12.5</v>
      </c>
      <c r="DI65" s="212">
        <v>12.5</v>
      </c>
      <c r="DJ65" s="212">
        <v>12.5</v>
      </c>
      <c r="DK65" s="212">
        <v>12.5</v>
      </c>
      <c r="DL65" s="212">
        <v>12.5</v>
      </c>
      <c r="DM65" s="212">
        <v>12.5</v>
      </c>
      <c r="DN65" s="212">
        <v>12.5</v>
      </c>
      <c r="DO65" s="212">
        <v>12.5</v>
      </c>
      <c r="DP65" s="212">
        <v>12.5</v>
      </c>
      <c r="DQ65" s="212">
        <v>12.5</v>
      </c>
      <c r="DR65" s="212">
        <v>12.5</v>
      </c>
    </row>
    <row r="66" spans="1:122" ht="22.5" customHeight="1" x14ac:dyDescent="0.45">
      <c r="A66" s="211">
        <v>36</v>
      </c>
      <c r="B66" s="212">
        <v>-2.5</v>
      </c>
      <c r="C66" s="212">
        <v>-2.5</v>
      </c>
      <c r="D66" s="212">
        <v>-2.5</v>
      </c>
      <c r="E66" s="212">
        <v>-2.5</v>
      </c>
      <c r="F66" s="212">
        <v>-2.5</v>
      </c>
      <c r="G66" s="212">
        <v>-2.5</v>
      </c>
      <c r="H66" s="212">
        <v>-2.5</v>
      </c>
      <c r="I66" s="212">
        <v>-2.5</v>
      </c>
      <c r="J66" s="212">
        <v>-2.5</v>
      </c>
      <c r="K66" s="212">
        <v>-2.5</v>
      </c>
      <c r="L66" s="212">
        <v>-2.5</v>
      </c>
      <c r="M66" s="212">
        <v>-2.5</v>
      </c>
      <c r="N66" s="212">
        <v>-2.5</v>
      </c>
      <c r="O66" s="212">
        <v>-2.5</v>
      </c>
      <c r="P66" s="212">
        <v>-2.5</v>
      </c>
      <c r="Q66" s="212">
        <v>-2.5</v>
      </c>
      <c r="R66" s="212">
        <v>0</v>
      </c>
      <c r="S66" s="212">
        <v>0</v>
      </c>
      <c r="T66" s="212">
        <v>0</v>
      </c>
      <c r="U66" s="212">
        <v>0</v>
      </c>
      <c r="V66" s="212">
        <v>0</v>
      </c>
      <c r="W66" s="212">
        <v>0</v>
      </c>
      <c r="X66" s="212">
        <v>0</v>
      </c>
      <c r="Y66" s="212">
        <v>0</v>
      </c>
      <c r="Z66" s="212">
        <v>0</v>
      </c>
      <c r="AA66" s="212">
        <v>0</v>
      </c>
      <c r="AB66" s="212">
        <v>0</v>
      </c>
      <c r="AC66" s="212">
        <v>0</v>
      </c>
      <c r="AD66" s="212">
        <v>0</v>
      </c>
      <c r="AE66" s="212">
        <v>0</v>
      </c>
      <c r="AF66" s="212">
        <v>0</v>
      </c>
      <c r="AG66" s="212">
        <v>0</v>
      </c>
      <c r="AH66" s="212">
        <v>2.5</v>
      </c>
      <c r="AI66" s="212">
        <v>2.5</v>
      </c>
      <c r="AJ66" s="212">
        <v>2.5</v>
      </c>
      <c r="AK66" s="212">
        <v>2.5</v>
      </c>
      <c r="AL66" s="212">
        <v>2.5</v>
      </c>
      <c r="AM66" s="212">
        <v>2.5</v>
      </c>
      <c r="AN66" s="212">
        <v>2.5</v>
      </c>
      <c r="AO66" s="212">
        <v>2.5</v>
      </c>
      <c r="AP66" s="212">
        <v>2.5</v>
      </c>
      <c r="AQ66" s="212">
        <v>2.5</v>
      </c>
      <c r="AR66" s="212">
        <v>2.5</v>
      </c>
      <c r="AS66" s="212">
        <v>2.5</v>
      </c>
      <c r="AT66" s="212">
        <v>2.5</v>
      </c>
      <c r="AU66" s="212">
        <v>2.5</v>
      </c>
      <c r="AV66" s="212">
        <v>2.5</v>
      </c>
      <c r="AW66" s="212">
        <v>5</v>
      </c>
      <c r="AX66" s="212">
        <v>5</v>
      </c>
      <c r="AY66" s="212">
        <v>5</v>
      </c>
      <c r="AZ66" s="212">
        <v>5</v>
      </c>
      <c r="BA66" s="212">
        <v>5</v>
      </c>
      <c r="BB66" s="212">
        <v>5</v>
      </c>
      <c r="BC66" s="212">
        <v>5</v>
      </c>
      <c r="BD66" s="212">
        <v>5</v>
      </c>
      <c r="BE66" s="212">
        <v>5</v>
      </c>
      <c r="BF66" s="212">
        <v>5</v>
      </c>
      <c r="BG66" s="212">
        <v>5</v>
      </c>
      <c r="BH66" s="212">
        <v>5</v>
      </c>
      <c r="BI66" s="212">
        <v>5</v>
      </c>
      <c r="BJ66" s="212">
        <v>5</v>
      </c>
      <c r="BK66" s="212">
        <v>5</v>
      </c>
      <c r="BL66" s="212">
        <v>5</v>
      </c>
      <c r="BM66" s="212">
        <v>5</v>
      </c>
      <c r="BN66" s="212">
        <v>5</v>
      </c>
      <c r="BO66" s="212">
        <v>5</v>
      </c>
      <c r="BP66" s="212">
        <v>5</v>
      </c>
      <c r="BQ66" s="212">
        <v>5</v>
      </c>
      <c r="BR66" s="212">
        <v>7.5</v>
      </c>
      <c r="BS66" s="212">
        <v>7.5</v>
      </c>
      <c r="BT66" s="212">
        <v>7.5</v>
      </c>
      <c r="BU66" s="212">
        <v>7.5</v>
      </c>
      <c r="BV66" s="212">
        <v>7.5</v>
      </c>
      <c r="BW66" s="212">
        <v>7.5</v>
      </c>
      <c r="BX66" s="212">
        <v>7.5</v>
      </c>
      <c r="BY66" s="212">
        <v>7.5</v>
      </c>
      <c r="BZ66" s="212">
        <v>7.5</v>
      </c>
      <c r="CA66" s="212">
        <v>7.5</v>
      </c>
      <c r="CB66" s="212">
        <v>7.5</v>
      </c>
      <c r="CC66" s="212">
        <v>7.5</v>
      </c>
      <c r="CD66" s="212">
        <v>7.5</v>
      </c>
      <c r="CE66" s="212">
        <v>7.5</v>
      </c>
      <c r="CF66" s="212">
        <v>7.5</v>
      </c>
      <c r="CG66" s="212">
        <v>7.5</v>
      </c>
      <c r="CH66" s="212">
        <v>7.5</v>
      </c>
      <c r="CI66" s="212">
        <v>7.5</v>
      </c>
      <c r="CJ66" s="212">
        <v>7.5</v>
      </c>
      <c r="CK66" s="212">
        <v>7.5</v>
      </c>
      <c r="CL66" s="212">
        <v>10</v>
      </c>
      <c r="CM66" s="212">
        <v>10</v>
      </c>
      <c r="CN66" s="212">
        <v>10</v>
      </c>
      <c r="CO66" s="212">
        <v>10</v>
      </c>
      <c r="CP66" s="212">
        <v>10</v>
      </c>
      <c r="CQ66" s="212">
        <v>10</v>
      </c>
      <c r="CR66" s="212">
        <v>10</v>
      </c>
      <c r="CS66" s="212">
        <v>10</v>
      </c>
      <c r="CT66" s="212">
        <v>10</v>
      </c>
      <c r="CU66" s="212">
        <v>10</v>
      </c>
      <c r="CV66" s="212">
        <v>10</v>
      </c>
      <c r="CW66" s="212">
        <v>10</v>
      </c>
      <c r="CX66" s="212">
        <v>10</v>
      </c>
      <c r="CY66" s="212">
        <v>10</v>
      </c>
      <c r="CZ66" s="212">
        <v>10</v>
      </c>
      <c r="DA66" s="212">
        <v>10</v>
      </c>
      <c r="DB66" s="212">
        <v>10</v>
      </c>
      <c r="DC66" s="212">
        <v>10</v>
      </c>
      <c r="DD66" s="212">
        <v>10</v>
      </c>
      <c r="DE66" s="212">
        <v>10</v>
      </c>
      <c r="DF66" s="212">
        <v>12.5</v>
      </c>
      <c r="DG66" s="212">
        <v>12.5</v>
      </c>
      <c r="DH66" s="212">
        <v>12.5</v>
      </c>
      <c r="DI66" s="212">
        <v>12.5</v>
      </c>
      <c r="DJ66" s="212">
        <v>12.5</v>
      </c>
      <c r="DK66" s="212">
        <v>12.5</v>
      </c>
      <c r="DL66" s="212">
        <v>12.5</v>
      </c>
      <c r="DM66" s="212">
        <v>12.5</v>
      </c>
      <c r="DN66" s="212">
        <v>12.5</v>
      </c>
      <c r="DO66" s="212">
        <v>12.5</v>
      </c>
      <c r="DP66" s="212">
        <v>12.5</v>
      </c>
      <c r="DQ66" s="212">
        <v>12.5</v>
      </c>
      <c r="DR66" s="212">
        <v>12.5</v>
      </c>
    </row>
    <row r="67" spans="1:122" ht="22.5" customHeight="1" x14ac:dyDescent="0.45">
      <c r="A67" s="211">
        <v>35</v>
      </c>
      <c r="B67" s="212">
        <v>-2.5</v>
      </c>
      <c r="C67" s="212">
        <v>-2.5</v>
      </c>
      <c r="D67" s="212">
        <v>-2.5</v>
      </c>
      <c r="E67" s="212">
        <v>-2.5</v>
      </c>
      <c r="F67" s="212">
        <v>-2.5</v>
      </c>
      <c r="G67" s="212">
        <v>-2.5</v>
      </c>
      <c r="H67" s="212">
        <v>-2.5</v>
      </c>
      <c r="I67" s="212">
        <v>-2.5</v>
      </c>
      <c r="J67" s="212">
        <v>-2.5</v>
      </c>
      <c r="K67" s="212">
        <v>-2.5</v>
      </c>
      <c r="L67" s="212">
        <v>-2.5</v>
      </c>
      <c r="M67" s="212">
        <v>-2.5</v>
      </c>
      <c r="N67" s="212">
        <v>-2.5</v>
      </c>
      <c r="O67" s="212">
        <v>-2.5</v>
      </c>
      <c r="P67" s="212">
        <v>-2.5</v>
      </c>
      <c r="Q67" s="212">
        <v>-2.5</v>
      </c>
      <c r="R67" s="212">
        <v>0</v>
      </c>
      <c r="S67" s="212">
        <v>0</v>
      </c>
      <c r="T67" s="212">
        <v>0</v>
      </c>
      <c r="U67" s="212">
        <v>0</v>
      </c>
      <c r="V67" s="212">
        <v>0</v>
      </c>
      <c r="W67" s="212">
        <v>0</v>
      </c>
      <c r="X67" s="212">
        <v>0</v>
      </c>
      <c r="Y67" s="212">
        <v>0</v>
      </c>
      <c r="Z67" s="212">
        <v>0</v>
      </c>
      <c r="AA67" s="212">
        <v>0</v>
      </c>
      <c r="AB67" s="212">
        <v>0</v>
      </c>
      <c r="AC67" s="212">
        <v>0</v>
      </c>
      <c r="AD67" s="212">
        <v>0</v>
      </c>
      <c r="AE67" s="212">
        <v>0</v>
      </c>
      <c r="AF67" s="212">
        <v>0</v>
      </c>
      <c r="AG67" s="212">
        <v>0</v>
      </c>
      <c r="AH67" s="212">
        <v>0</v>
      </c>
      <c r="AI67" s="212">
        <v>2.5</v>
      </c>
      <c r="AJ67" s="212">
        <v>2.5</v>
      </c>
      <c r="AK67" s="212">
        <v>2.5</v>
      </c>
      <c r="AL67" s="212">
        <v>2.5</v>
      </c>
      <c r="AM67" s="212">
        <v>2.5</v>
      </c>
      <c r="AN67" s="212">
        <v>2.5</v>
      </c>
      <c r="AO67" s="212">
        <v>2.5</v>
      </c>
      <c r="AP67" s="212">
        <v>2.5</v>
      </c>
      <c r="AQ67" s="212">
        <v>2.5</v>
      </c>
      <c r="AR67" s="212">
        <v>2.5</v>
      </c>
      <c r="AS67" s="212">
        <v>2.5</v>
      </c>
      <c r="AT67" s="212">
        <v>2.5</v>
      </c>
      <c r="AU67" s="212">
        <v>2.5</v>
      </c>
      <c r="AV67" s="212">
        <v>2.5</v>
      </c>
      <c r="AW67" s="212">
        <v>2.5</v>
      </c>
      <c r="AX67" s="212">
        <v>2.5</v>
      </c>
      <c r="AY67" s="212">
        <v>5</v>
      </c>
      <c r="AZ67" s="212">
        <v>5</v>
      </c>
      <c r="BA67" s="212">
        <v>5</v>
      </c>
      <c r="BB67" s="212">
        <v>5</v>
      </c>
      <c r="BC67" s="212">
        <v>5</v>
      </c>
      <c r="BD67" s="212">
        <v>5</v>
      </c>
      <c r="BE67" s="212">
        <v>5</v>
      </c>
      <c r="BF67" s="212">
        <v>5</v>
      </c>
      <c r="BG67" s="212">
        <v>5</v>
      </c>
      <c r="BH67" s="212">
        <v>5</v>
      </c>
      <c r="BI67" s="212">
        <v>5</v>
      </c>
      <c r="BJ67" s="212">
        <v>5</v>
      </c>
      <c r="BK67" s="212">
        <v>5</v>
      </c>
      <c r="BL67" s="212">
        <v>5</v>
      </c>
      <c r="BM67" s="212">
        <v>5</v>
      </c>
      <c r="BN67" s="212">
        <v>5</v>
      </c>
      <c r="BO67" s="212">
        <v>5</v>
      </c>
      <c r="BP67" s="212">
        <v>5</v>
      </c>
      <c r="BQ67" s="212">
        <v>5</v>
      </c>
      <c r="BR67" s="212">
        <v>5</v>
      </c>
      <c r="BS67" s="212">
        <v>5</v>
      </c>
      <c r="BT67" s="212">
        <v>7.5</v>
      </c>
      <c r="BU67" s="212">
        <v>7.5</v>
      </c>
      <c r="BV67" s="212">
        <v>7.5</v>
      </c>
      <c r="BW67" s="212">
        <v>7.5</v>
      </c>
      <c r="BX67" s="212">
        <v>7.5</v>
      </c>
      <c r="BY67" s="212">
        <v>7.5</v>
      </c>
      <c r="BZ67" s="212">
        <v>7.5</v>
      </c>
      <c r="CA67" s="212">
        <v>7.5</v>
      </c>
      <c r="CB67" s="212">
        <v>7.5</v>
      </c>
      <c r="CC67" s="212">
        <v>7.5</v>
      </c>
      <c r="CD67" s="212">
        <v>7.5</v>
      </c>
      <c r="CE67" s="212">
        <v>7.5</v>
      </c>
      <c r="CF67" s="212">
        <v>7.5</v>
      </c>
      <c r="CG67" s="212">
        <v>7.5</v>
      </c>
      <c r="CH67" s="212">
        <v>7.5</v>
      </c>
      <c r="CI67" s="212">
        <v>7.5</v>
      </c>
      <c r="CJ67" s="212">
        <v>7.5</v>
      </c>
      <c r="CK67" s="212">
        <v>7.5</v>
      </c>
      <c r="CL67" s="212">
        <v>7.5</v>
      </c>
      <c r="CM67" s="212">
        <v>7.5</v>
      </c>
      <c r="CN67" s="212">
        <v>10</v>
      </c>
      <c r="CO67" s="212">
        <v>10</v>
      </c>
      <c r="CP67" s="212">
        <v>10</v>
      </c>
      <c r="CQ67" s="212">
        <v>10</v>
      </c>
      <c r="CR67" s="212">
        <v>10</v>
      </c>
      <c r="CS67" s="212">
        <v>10</v>
      </c>
      <c r="CT67" s="212">
        <v>10</v>
      </c>
      <c r="CU67" s="212">
        <v>10</v>
      </c>
      <c r="CV67" s="212">
        <v>10</v>
      </c>
      <c r="CW67" s="212">
        <v>10</v>
      </c>
      <c r="CX67" s="212">
        <v>10</v>
      </c>
      <c r="CY67" s="212">
        <v>10</v>
      </c>
      <c r="CZ67" s="212">
        <v>10</v>
      </c>
      <c r="DA67" s="212">
        <v>10</v>
      </c>
      <c r="DB67" s="212">
        <v>10</v>
      </c>
      <c r="DC67" s="212">
        <v>10</v>
      </c>
      <c r="DD67" s="212">
        <v>10</v>
      </c>
      <c r="DE67" s="212">
        <v>10</v>
      </c>
      <c r="DF67" s="212">
        <v>10</v>
      </c>
      <c r="DG67" s="212">
        <v>10</v>
      </c>
      <c r="DH67" s="212">
        <v>12.5</v>
      </c>
      <c r="DI67" s="212">
        <v>12.5</v>
      </c>
      <c r="DJ67" s="212">
        <v>12.5</v>
      </c>
      <c r="DK67" s="212">
        <v>12.5</v>
      </c>
      <c r="DL67" s="212">
        <v>12.5</v>
      </c>
      <c r="DM67" s="212">
        <v>12.5</v>
      </c>
      <c r="DN67" s="212">
        <v>12.5</v>
      </c>
      <c r="DO67" s="212">
        <v>12.5</v>
      </c>
      <c r="DP67" s="212">
        <v>12.5</v>
      </c>
      <c r="DQ67" s="212">
        <v>12.5</v>
      </c>
      <c r="DR67" s="212">
        <v>12.5</v>
      </c>
    </row>
    <row r="68" spans="1:122" ht="22.5" customHeight="1" x14ac:dyDescent="0.45">
      <c r="A68" s="211">
        <v>34</v>
      </c>
      <c r="B68" s="212">
        <v>-2.5</v>
      </c>
      <c r="C68" s="212">
        <v>-2.5</v>
      </c>
      <c r="D68" s="212">
        <v>-2.5</v>
      </c>
      <c r="E68" s="212">
        <v>-2.5</v>
      </c>
      <c r="F68" s="212">
        <v>-2.5</v>
      </c>
      <c r="G68" s="212">
        <v>-2.5</v>
      </c>
      <c r="H68" s="212">
        <v>-2.5</v>
      </c>
      <c r="I68" s="212">
        <v>-2.5</v>
      </c>
      <c r="J68" s="212">
        <v>-2.5</v>
      </c>
      <c r="K68" s="212">
        <v>-2.5</v>
      </c>
      <c r="L68" s="212">
        <v>-2.5</v>
      </c>
      <c r="M68" s="212">
        <v>-2.5</v>
      </c>
      <c r="N68" s="212">
        <v>-2.5</v>
      </c>
      <c r="O68" s="212">
        <v>-2.5</v>
      </c>
      <c r="P68" s="212">
        <v>-2.5</v>
      </c>
      <c r="Q68" s="212">
        <v>-2.5</v>
      </c>
      <c r="R68" s="212">
        <v>0</v>
      </c>
      <c r="S68" s="212">
        <v>0</v>
      </c>
      <c r="T68" s="212">
        <v>0</v>
      </c>
      <c r="U68" s="212">
        <v>0</v>
      </c>
      <c r="V68" s="212">
        <v>0</v>
      </c>
      <c r="W68" s="212">
        <v>0</v>
      </c>
      <c r="X68" s="212">
        <v>0</v>
      </c>
      <c r="Y68" s="212">
        <v>0</v>
      </c>
      <c r="Z68" s="212">
        <v>0</v>
      </c>
      <c r="AA68" s="212">
        <v>0</v>
      </c>
      <c r="AB68" s="212">
        <v>0</v>
      </c>
      <c r="AC68" s="212">
        <v>0</v>
      </c>
      <c r="AD68" s="212">
        <v>0</v>
      </c>
      <c r="AE68" s="212">
        <v>0</v>
      </c>
      <c r="AF68" s="212">
        <v>0</v>
      </c>
      <c r="AG68" s="212">
        <v>0</v>
      </c>
      <c r="AH68" s="212">
        <v>0</v>
      </c>
      <c r="AI68" s="212">
        <v>0</v>
      </c>
      <c r="AJ68" s="212">
        <v>2.5</v>
      </c>
      <c r="AK68" s="212">
        <v>2.5</v>
      </c>
      <c r="AL68" s="212">
        <v>2.5</v>
      </c>
      <c r="AM68" s="212">
        <v>2.5</v>
      </c>
      <c r="AN68" s="212">
        <v>2.5</v>
      </c>
      <c r="AO68" s="212">
        <v>2.5</v>
      </c>
      <c r="AP68" s="212">
        <v>2.5</v>
      </c>
      <c r="AQ68" s="212">
        <v>2.5</v>
      </c>
      <c r="AR68" s="212">
        <v>2.5</v>
      </c>
      <c r="AS68" s="212">
        <v>2.5</v>
      </c>
      <c r="AT68" s="212">
        <v>2.5</v>
      </c>
      <c r="AU68" s="212">
        <v>2.5</v>
      </c>
      <c r="AV68" s="212">
        <v>2.5</v>
      </c>
      <c r="AW68" s="212">
        <v>2.5</v>
      </c>
      <c r="AX68" s="212">
        <v>2.5</v>
      </c>
      <c r="AY68" s="212">
        <v>2.5</v>
      </c>
      <c r="AZ68" s="212">
        <v>2.5</v>
      </c>
      <c r="BA68" s="212">
        <v>5</v>
      </c>
      <c r="BB68" s="212">
        <v>5</v>
      </c>
      <c r="BC68" s="212">
        <v>5</v>
      </c>
      <c r="BD68" s="212">
        <v>5</v>
      </c>
      <c r="BE68" s="212">
        <v>5</v>
      </c>
      <c r="BF68" s="212">
        <v>5</v>
      </c>
      <c r="BG68" s="212">
        <v>5</v>
      </c>
      <c r="BH68" s="212">
        <v>5</v>
      </c>
      <c r="BI68" s="212">
        <v>5</v>
      </c>
      <c r="BJ68" s="212">
        <v>5</v>
      </c>
      <c r="BK68" s="212">
        <v>5</v>
      </c>
      <c r="BL68" s="212">
        <v>5</v>
      </c>
      <c r="BM68" s="212">
        <v>5</v>
      </c>
      <c r="BN68" s="212">
        <v>5</v>
      </c>
      <c r="BO68" s="212">
        <v>5</v>
      </c>
      <c r="BP68" s="212">
        <v>5</v>
      </c>
      <c r="BQ68" s="212">
        <v>5</v>
      </c>
      <c r="BR68" s="212">
        <v>5</v>
      </c>
      <c r="BS68" s="212">
        <v>5</v>
      </c>
      <c r="BT68" s="212">
        <v>5</v>
      </c>
      <c r="BU68" s="212">
        <v>5</v>
      </c>
      <c r="BV68" s="212">
        <v>7.5</v>
      </c>
      <c r="BW68" s="212">
        <v>7.5</v>
      </c>
      <c r="BX68" s="212">
        <v>7.5</v>
      </c>
      <c r="BY68" s="212">
        <v>7.5</v>
      </c>
      <c r="BZ68" s="212">
        <v>7.5</v>
      </c>
      <c r="CA68" s="212">
        <v>7.5</v>
      </c>
      <c r="CB68" s="212">
        <v>7.5</v>
      </c>
      <c r="CC68" s="212">
        <v>7.5</v>
      </c>
      <c r="CD68" s="212">
        <v>7.5</v>
      </c>
      <c r="CE68" s="212">
        <v>7.5</v>
      </c>
      <c r="CF68" s="212">
        <v>7.5</v>
      </c>
      <c r="CG68" s="212">
        <v>7.5</v>
      </c>
      <c r="CH68" s="212">
        <v>7.5</v>
      </c>
      <c r="CI68" s="212">
        <v>7.5</v>
      </c>
      <c r="CJ68" s="212">
        <v>7.5</v>
      </c>
      <c r="CK68" s="212">
        <v>7.5</v>
      </c>
      <c r="CL68" s="212">
        <v>7.5</v>
      </c>
      <c r="CM68" s="212">
        <v>7.5</v>
      </c>
      <c r="CN68" s="212">
        <v>7.5</v>
      </c>
      <c r="CO68" s="212">
        <v>7.5</v>
      </c>
      <c r="CP68" s="212">
        <v>10</v>
      </c>
      <c r="CQ68" s="212">
        <v>10</v>
      </c>
      <c r="CR68" s="212">
        <v>10</v>
      </c>
      <c r="CS68" s="212">
        <v>10</v>
      </c>
      <c r="CT68" s="212">
        <v>10</v>
      </c>
      <c r="CU68" s="212">
        <v>10</v>
      </c>
      <c r="CV68" s="212">
        <v>10</v>
      </c>
      <c r="CW68" s="212">
        <v>10</v>
      </c>
      <c r="CX68" s="212">
        <v>10</v>
      </c>
      <c r="CY68" s="212">
        <v>10</v>
      </c>
      <c r="CZ68" s="212">
        <v>10</v>
      </c>
      <c r="DA68" s="212">
        <v>10</v>
      </c>
      <c r="DB68" s="212">
        <v>10</v>
      </c>
      <c r="DC68" s="212">
        <v>10</v>
      </c>
      <c r="DD68" s="212">
        <v>10</v>
      </c>
      <c r="DE68" s="212">
        <v>10</v>
      </c>
      <c r="DF68" s="212">
        <v>10</v>
      </c>
      <c r="DG68" s="212">
        <v>10</v>
      </c>
      <c r="DH68" s="212">
        <v>10</v>
      </c>
      <c r="DI68" s="212">
        <v>10</v>
      </c>
      <c r="DJ68" s="212">
        <v>12.5</v>
      </c>
      <c r="DK68" s="212">
        <v>12.5</v>
      </c>
      <c r="DL68" s="212">
        <v>12.5</v>
      </c>
      <c r="DM68" s="212">
        <v>12.5</v>
      </c>
      <c r="DN68" s="212">
        <v>12.5</v>
      </c>
      <c r="DO68" s="212">
        <v>12.5</v>
      </c>
      <c r="DP68" s="212">
        <v>12.5</v>
      </c>
      <c r="DQ68" s="212">
        <v>12.5</v>
      </c>
      <c r="DR68" s="212">
        <v>12.5</v>
      </c>
    </row>
    <row r="69" spans="1:122" ht="22.5" customHeight="1" x14ac:dyDescent="0.45">
      <c r="A69" s="211">
        <v>33</v>
      </c>
      <c r="B69" s="212">
        <v>-2.5</v>
      </c>
      <c r="C69" s="212">
        <v>-2.5</v>
      </c>
      <c r="D69" s="212">
        <v>-2.5</v>
      </c>
      <c r="E69" s="212">
        <v>-2.5</v>
      </c>
      <c r="F69" s="212">
        <v>-2.5</v>
      </c>
      <c r="G69" s="212">
        <v>-2.5</v>
      </c>
      <c r="H69" s="212">
        <v>-2.5</v>
      </c>
      <c r="I69" s="212">
        <v>-2.5</v>
      </c>
      <c r="J69" s="212">
        <v>-2.5</v>
      </c>
      <c r="K69" s="212">
        <v>-2.5</v>
      </c>
      <c r="L69" s="212">
        <v>-2.5</v>
      </c>
      <c r="M69" s="212">
        <v>-2.5</v>
      </c>
      <c r="N69" s="212">
        <v>-2.5</v>
      </c>
      <c r="O69" s="212">
        <v>-2.5</v>
      </c>
      <c r="P69" s="212">
        <v>-2.5</v>
      </c>
      <c r="Q69" s="212">
        <v>-2.5</v>
      </c>
      <c r="R69" s="212">
        <v>-2.5</v>
      </c>
      <c r="S69" s="212">
        <v>0</v>
      </c>
      <c r="T69" s="212">
        <v>0</v>
      </c>
      <c r="U69" s="212">
        <v>0</v>
      </c>
      <c r="V69" s="212">
        <v>0</v>
      </c>
      <c r="W69" s="212">
        <v>0</v>
      </c>
      <c r="X69" s="212">
        <v>0</v>
      </c>
      <c r="Y69" s="212">
        <v>0</v>
      </c>
      <c r="Z69" s="212">
        <v>0</v>
      </c>
      <c r="AA69" s="212">
        <v>0</v>
      </c>
      <c r="AB69" s="212">
        <v>0</v>
      </c>
      <c r="AC69" s="212">
        <v>0</v>
      </c>
      <c r="AD69" s="212">
        <v>0</v>
      </c>
      <c r="AE69" s="212">
        <v>0</v>
      </c>
      <c r="AF69" s="212">
        <v>0</v>
      </c>
      <c r="AG69" s="212">
        <v>0</v>
      </c>
      <c r="AH69" s="212">
        <v>0</v>
      </c>
      <c r="AI69" s="212">
        <v>0</v>
      </c>
      <c r="AJ69" s="212">
        <v>2.5</v>
      </c>
      <c r="AK69" s="212">
        <v>2.5</v>
      </c>
      <c r="AL69" s="212">
        <v>2.5</v>
      </c>
      <c r="AM69" s="212">
        <v>2.5</v>
      </c>
      <c r="AN69" s="212">
        <v>2.5</v>
      </c>
      <c r="AO69" s="212">
        <v>2.5</v>
      </c>
      <c r="AP69" s="212">
        <v>2.5</v>
      </c>
      <c r="AQ69" s="212">
        <v>2.5</v>
      </c>
      <c r="AR69" s="212">
        <v>2.5</v>
      </c>
      <c r="AS69" s="212">
        <v>2.5</v>
      </c>
      <c r="AT69" s="212">
        <v>2.5</v>
      </c>
      <c r="AU69" s="212">
        <v>2.5</v>
      </c>
      <c r="AV69" s="212">
        <v>2.5</v>
      </c>
      <c r="AW69" s="212">
        <v>2.5</v>
      </c>
      <c r="AX69" s="212">
        <v>2.5</v>
      </c>
      <c r="AY69" s="212">
        <v>2.5</v>
      </c>
      <c r="AZ69" s="212">
        <v>2.5</v>
      </c>
      <c r="BA69" s="212">
        <v>2.5</v>
      </c>
      <c r="BB69" s="212">
        <v>2.5</v>
      </c>
      <c r="BC69" s="212">
        <v>2.5</v>
      </c>
      <c r="BD69" s="212">
        <v>5</v>
      </c>
      <c r="BE69" s="212">
        <v>5</v>
      </c>
      <c r="BF69" s="212">
        <v>5</v>
      </c>
      <c r="BG69" s="212">
        <v>5</v>
      </c>
      <c r="BH69" s="212">
        <v>5</v>
      </c>
      <c r="BI69" s="212">
        <v>5</v>
      </c>
      <c r="BJ69" s="212">
        <v>5</v>
      </c>
      <c r="BK69" s="212">
        <v>5</v>
      </c>
      <c r="BL69" s="212">
        <v>5</v>
      </c>
      <c r="BM69" s="212">
        <v>5</v>
      </c>
      <c r="BN69" s="212">
        <v>5</v>
      </c>
      <c r="BO69" s="212">
        <v>5</v>
      </c>
      <c r="BP69" s="212">
        <v>5</v>
      </c>
      <c r="BQ69" s="212">
        <v>5</v>
      </c>
      <c r="BR69" s="212">
        <v>5</v>
      </c>
      <c r="BS69" s="212">
        <v>5</v>
      </c>
      <c r="BT69" s="212">
        <v>5</v>
      </c>
      <c r="BU69" s="212">
        <v>5</v>
      </c>
      <c r="BV69" s="212">
        <v>5</v>
      </c>
      <c r="BW69" s="212">
        <v>5</v>
      </c>
      <c r="BX69" s="212">
        <v>7.5</v>
      </c>
      <c r="BY69" s="212">
        <v>7.5</v>
      </c>
      <c r="BZ69" s="212">
        <v>7.5</v>
      </c>
      <c r="CA69" s="212">
        <v>7.5</v>
      </c>
      <c r="CB69" s="212">
        <v>7.5</v>
      </c>
      <c r="CC69" s="212">
        <v>7.5</v>
      </c>
      <c r="CD69" s="212">
        <v>7.5</v>
      </c>
      <c r="CE69" s="212">
        <v>7.5</v>
      </c>
      <c r="CF69" s="212">
        <v>7.5</v>
      </c>
      <c r="CG69" s="212">
        <v>7.5</v>
      </c>
      <c r="CH69" s="212">
        <v>7.5</v>
      </c>
      <c r="CI69" s="212">
        <v>7.5</v>
      </c>
      <c r="CJ69" s="212">
        <v>7.5</v>
      </c>
      <c r="CK69" s="212">
        <v>7.5</v>
      </c>
      <c r="CL69" s="212">
        <v>7.5</v>
      </c>
      <c r="CM69" s="212">
        <v>7.5</v>
      </c>
      <c r="CN69" s="212">
        <v>7.5</v>
      </c>
      <c r="CO69" s="212">
        <v>7.5</v>
      </c>
      <c r="CP69" s="212">
        <v>7.5</v>
      </c>
      <c r="CQ69" s="212">
        <v>7.5</v>
      </c>
      <c r="CR69" s="212">
        <v>10</v>
      </c>
      <c r="CS69" s="212">
        <v>10</v>
      </c>
      <c r="CT69" s="212">
        <v>10</v>
      </c>
      <c r="CU69" s="212">
        <v>10</v>
      </c>
      <c r="CV69" s="212">
        <v>10</v>
      </c>
      <c r="CW69" s="212">
        <v>10</v>
      </c>
      <c r="CX69" s="212">
        <v>10</v>
      </c>
      <c r="CY69" s="212">
        <v>10</v>
      </c>
      <c r="CZ69" s="212">
        <v>10</v>
      </c>
      <c r="DA69" s="212">
        <v>10</v>
      </c>
      <c r="DB69" s="212">
        <v>10</v>
      </c>
      <c r="DC69" s="212">
        <v>10</v>
      </c>
      <c r="DD69" s="212">
        <v>10</v>
      </c>
      <c r="DE69" s="212">
        <v>10</v>
      </c>
      <c r="DF69" s="212">
        <v>10</v>
      </c>
      <c r="DG69" s="212">
        <v>10</v>
      </c>
      <c r="DH69" s="212">
        <v>10</v>
      </c>
      <c r="DI69" s="212">
        <v>10</v>
      </c>
      <c r="DJ69" s="212">
        <v>10</v>
      </c>
      <c r="DK69" s="212">
        <v>10</v>
      </c>
      <c r="DL69" s="212">
        <v>12.5</v>
      </c>
      <c r="DM69" s="212">
        <v>12.5</v>
      </c>
      <c r="DN69" s="212">
        <v>12.5</v>
      </c>
      <c r="DO69" s="212">
        <v>12.5</v>
      </c>
      <c r="DP69" s="212">
        <v>12.5</v>
      </c>
      <c r="DQ69" s="212">
        <v>12.5</v>
      </c>
      <c r="DR69" s="212">
        <v>12.5</v>
      </c>
    </row>
    <row r="70" spans="1:122" ht="22.5" customHeight="1" x14ac:dyDescent="0.45">
      <c r="A70" s="211">
        <v>32</v>
      </c>
      <c r="B70" s="212">
        <v>-2.5</v>
      </c>
      <c r="C70" s="212">
        <v>-2.5</v>
      </c>
      <c r="D70" s="212">
        <v>-2.5</v>
      </c>
      <c r="E70" s="212">
        <v>-2.5</v>
      </c>
      <c r="F70" s="212">
        <v>-2.5</v>
      </c>
      <c r="G70" s="212">
        <v>-2.5</v>
      </c>
      <c r="H70" s="212">
        <v>-2.5</v>
      </c>
      <c r="I70" s="212">
        <v>-2.5</v>
      </c>
      <c r="J70" s="212">
        <v>-2.5</v>
      </c>
      <c r="K70" s="212">
        <v>-2.5</v>
      </c>
      <c r="L70" s="212">
        <v>-2.5</v>
      </c>
      <c r="M70" s="212">
        <v>-2.5</v>
      </c>
      <c r="N70" s="212">
        <v>-2.5</v>
      </c>
      <c r="O70" s="212">
        <v>-2.5</v>
      </c>
      <c r="P70" s="212">
        <v>-2.5</v>
      </c>
      <c r="Q70" s="212">
        <v>-2.5</v>
      </c>
      <c r="R70" s="212">
        <v>-2.5</v>
      </c>
      <c r="S70" s="212">
        <v>0</v>
      </c>
      <c r="T70" s="212">
        <v>0</v>
      </c>
      <c r="U70" s="212">
        <v>0</v>
      </c>
      <c r="V70" s="212">
        <v>0</v>
      </c>
      <c r="W70" s="212">
        <v>0</v>
      </c>
      <c r="X70" s="212">
        <v>0</v>
      </c>
      <c r="Y70" s="212">
        <v>0</v>
      </c>
      <c r="Z70" s="212">
        <v>0</v>
      </c>
      <c r="AA70" s="212">
        <v>0</v>
      </c>
      <c r="AB70" s="212">
        <v>0</v>
      </c>
      <c r="AC70" s="212">
        <v>0</v>
      </c>
      <c r="AD70" s="212">
        <v>0</v>
      </c>
      <c r="AE70" s="212">
        <v>0</v>
      </c>
      <c r="AF70" s="212">
        <v>0</v>
      </c>
      <c r="AG70" s="212">
        <v>0</v>
      </c>
      <c r="AH70" s="212">
        <v>0</v>
      </c>
      <c r="AI70" s="212">
        <v>0</v>
      </c>
      <c r="AJ70" s="212">
        <v>0</v>
      </c>
      <c r="AK70" s="212">
        <v>2.5</v>
      </c>
      <c r="AL70" s="212">
        <v>2.5</v>
      </c>
      <c r="AM70" s="212">
        <v>2.5</v>
      </c>
      <c r="AN70" s="212">
        <v>2.5</v>
      </c>
      <c r="AO70" s="212">
        <v>2.5</v>
      </c>
      <c r="AP70" s="212">
        <v>2.5</v>
      </c>
      <c r="AQ70" s="212">
        <v>2.5</v>
      </c>
      <c r="AR70" s="212">
        <v>2.5</v>
      </c>
      <c r="AS70" s="212">
        <v>2.5</v>
      </c>
      <c r="AT70" s="212">
        <v>2.5</v>
      </c>
      <c r="AU70" s="212">
        <v>2.5</v>
      </c>
      <c r="AV70" s="212">
        <v>2.5</v>
      </c>
      <c r="AW70" s="212">
        <v>2.5</v>
      </c>
      <c r="AX70" s="212">
        <v>2.5</v>
      </c>
      <c r="AY70" s="212">
        <v>2.5</v>
      </c>
      <c r="AZ70" s="212">
        <v>2.5</v>
      </c>
      <c r="BA70" s="212">
        <v>2.5</v>
      </c>
      <c r="BB70" s="212">
        <v>2.5</v>
      </c>
      <c r="BC70" s="212">
        <v>2.5</v>
      </c>
      <c r="BD70" s="212">
        <v>2.5</v>
      </c>
      <c r="BE70" s="212">
        <v>2.5</v>
      </c>
      <c r="BF70" s="212">
        <v>5</v>
      </c>
      <c r="BG70" s="212">
        <v>5</v>
      </c>
      <c r="BH70" s="212">
        <v>5</v>
      </c>
      <c r="BI70" s="212">
        <v>5</v>
      </c>
      <c r="BJ70" s="212">
        <v>5</v>
      </c>
      <c r="BK70" s="212">
        <v>5</v>
      </c>
      <c r="BL70" s="212">
        <v>5</v>
      </c>
      <c r="BM70" s="212">
        <v>5</v>
      </c>
      <c r="BN70" s="212">
        <v>5</v>
      </c>
      <c r="BO70" s="212">
        <v>5</v>
      </c>
      <c r="BP70" s="212">
        <v>5</v>
      </c>
      <c r="BQ70" s="212">
        <v>5</v>
      </c>
      <c r="BR70" s="212">
        <v>5</v>
      </c>
      <c r="BS70" s="212">
        <v>5</v>
      </c>
      <c r="BT70" s="212">
        <v>5</v>
      </c>
      <c r="BU70" s="212">
        <v>5</v>
      </c>
      <c r="BV70" s="212">
        <v>5</v>
      </c>
      <c r="BW70" s="212">
        <v>5</v>
      </c>
      <c r="BX70" s="212">
        <v>5</v>
      </c>
      <c r="BY70" s="212">
        <v>5</v>
      </c>
      <c r="BZ70" s="212">
        <v>7.5</v>
      </c>
      <c r="CA70" s="212">
        <v>7.5</v>
      </c>
      <c r="CB70" s="212">
        <v>7.5</v>
      </c>
      <c r="CC70" s="212">
        <v>7.5</v>
      </c>
      <c r="CD70" s="212">
        <v>7.5</v>
      </c>
      <c r="CE70" s="212">
        <v>7.5</v>
      </c>
      <c r="CF70" s="212">
        <v>7.5</v>
      </c>
      <c r="CG70" s="212">
        <v>7.5</v>
      </c>
      <c r="CH70" s="212">
        <v>7.5</v>
      </c>
      <c r="CI70" s="212">
        <v>7.5</v>
      </c>
      <c r="CJ70" s="212">
        <v>7.5</v>
      </c>
      <c r="CK70" s="212">
        <v>7.5</v>
      </c>
      <c r="CL70" s="212">
        <v>7.5</v>
      </c>
      <c r="CM70" s="212">
        <v>7.5</v>
      </c>
      <c r="CN70" s="212">
        <v>7.5</v>
      </c>
      <c r="CO70" s="212">
        <v>7.5</v>
      </c>
      <c r="CP70" s="212">
        <v>7.5</v>
      </c>
      <c r="CQ70" s="212">
        <v>7.5</v>
      </c>
      <c r="CR70" s="212">
        <v>7.5</v>
      </c>
      <c r="CS70" s="212">
        <v>7.5</v>
      </c>
      <c r="CT70" s="212">
        <v>10</v>
      </c>
      <c r="CU70" s="212">
        <v>10</v>
      </c>
      <c r="CV70" s="212">
        <v>10</v>
      </c>
      <c r="CW70" s="212">
        <v>10</v>
      </c>
      <c r="CX70" s="212">
        <v>10</v>
      </c>
      <c r="CY70" s="212">
        <v>10</v>
      </c>
      <c r="CZ70" s="212">
        <v>10</v>
      </c>
      <c r="DA70" s="212">
        <v>10</v>
      </c>
      <c r="DB70" s="212">
        <v>10</v>
      </c>
      <c r="DC70" s="212">
        <v>10</v>
      </c>
      <c r="DD70" s="212">
        <v>10</v>
      </c>
      <c r="DE70" s="212">
        <v>10</v>
      </c>
      <c r="DF70" s="212">
        <v>10</v>
      </c>
      <c r="DG70" s="212">
        <v>10</v>
      </c>
      <c r="DH70" s="212">
        <v>10</v>
      </c>
      <c r="DI70" s="212">
        <v>10</v>
      </c>
      <c r="DJ70" s="212">
        <v>10</v>
      </c>
      <c r="DK70" s="212">
        <v>10</v>
      </c>
      <c r="DL70" s="212">
        <v>10</v>
      </c>
      <c r="DM70" s="212">
        <v>10</v>
      </c>
      <c r="DN70" s="212">
        <v>12.5</v>
      </c>
      <c r="DO70" s="212">
        <v>12.5</v>
      </c>
      <c r="DP70" s="212">
        <v>12.5</v>
      </c>
      <c r="DQ70" s="212">
        <v>12.5</v>
      </c>
      <c r="DR70" s="212">
        <v>12.5</v>
      </c>
    </row>
    <row r="71" spans="1:122" ht="22.5" customHeight="1" x14ac:dyDescent="0.45">
      <c r="A71" s="211">
        <v>31</v>
      </c>
      <c r="B71" s="212">
        <v>-2.5</v>
      </c>
      <c r="C71" s="212">
        <v>-2.5</v>
      </c>
      <c r="D71" s="212">
        <v>-2.5</v>
      </c>
      <c r="E71" s="212">
        <v>-2.5</v>
      </c>
      <c r="F71" s="212">
        <v>-2.5</v>
      </c>
      <c r="G71" s="212">
        <v>-2.5</v>
      </c>
      <c r="H71" s="212">
        <v>-2.5</v>
      </c>
      <c r="I71" s="212">
        <v>-2.5</v>
      </c>
      <c r="J71" s="212">
        <v>-2.5</v>
      </c>
      <c r="K71" s="212">
        <v>-2.5</v>
      </c>
      <c r="L71" s="212">
        <v>-2.5</v>
      </c>
      <c r="M71" s="212">
        <v>-2.5</v>
      </c>
      <c r="N71" s="212">
        <v>-2.5</v>
      </c>
      <c r="O71" s="212">
        <v>-2.5</v>
      </c>
      <c r="P71" s="212">
        <v>-2.5</v>
      </c>
      <c r="Q71" s="212">
        <v>-2.5</v>
      </c>
      <c r="R71" s="212">
        <v>-2.5</v>
      </c>
      <c r="S71" s="212">
        <v>-2.5</v>
      </c>
      <c r="T71" s="212">
        <v>0</v>
      </c>
      <c r="U71" s="212">
        <v>0</v>
      </c>
      <c r="V71" s="212">
        <v>0</v>
      </c>
      <c r="W71" s="212">
        <v>0</v>
      </c>
      <c r="X71" s="212">
        <v>0</v>
      </c>
      <c r="Y71" s="212">
        <v>0</v>
      </c>
      <c r="Z71" s="212">
        <v>0</v>
      </c>
      <c r="AA71" s="212">
        <v>0</v>
      </c>
      <c r="AB71" s="212">
        <v>0</v>
      </c>
      <c r="AC71" s="212">
        <v>0</v>
      </c>
      <c r="AD71" s="212">
        <v>0</v>
      </c>
      <c r="AE71" s="212">
        <v>0</v>
      </c>
      <c r="AF71" s="212">
        <v>0</v>
      </c>
      <c r="AG71" s="212">
        <v>0</v>
      </c>
      <c r="AH71" s="212">
        <v>0</v>
      </c>
      <c r="AI71" s="212">
        <v>0</v>
      </c>
      <c r="AJ71" s="212">
        <v>0</v>
      </c>
      <c r="AK71" s="212">
        <v>0</v>
      </c>
      <c r="AL71" s="212">
        <v>2.5</v>
      </c>
      <c r="AM71" s="212">
        <v>2.5</v>
      </c>
      <c r="AN71" s="212">
        <v>2.5</v>
      </c>
      <c r="AO71" s="212">
        <v>2.5</v>
      </c>
      <c r="AP71" s="212">
        <v>2.5</v>
      </c>
      <c r="AQ71" s="212">
        <v>2.5</v>
      </c>
      <c r="AR71" s="212">
        <v>2.5</v>
      </c>
      <c r="AS71" s="212">
        <v>2.5</v>
      </c>
      <c r="AT71" s="212">
        <v>2.5</v>
      </c>
      <c r="AU71" s="212">
        <v>2.5</v>
      </c>
      <c r="AV71" s="212">
        <v>2.5</v>
      </c>
      <c r="AW71" s="212">
        <v>2.5</v>
      </c>
      <c r="AX71" s="212">
        <v>2.5</v>
      </c>
      <c r="AY71" s="212">
        <v>2.5</v>
      </c>
      <c r="AZ71" s="212">
        <v>2.5</v>
      </c>
      <c r="BA71" s="212">
        <v>2.5</v>
      </c>
      <c r="BB71" s="212">
        <v>2.5</v>
      </c>
      <c r="BC71" s="212">
        <v>2.5</v>
      </c>
      <c r="BD71" s="212">
        <v>2.5</v>
      </c>
      <c r="BE71" s="212">
        <v>2.5</v>
      </c>
      <c r="BF71" s="212">
        <v>2.5</v>
      </c>
      <c r="BG71" s="212">
        <v>2.5</v>
      </c>
      <c r="BH71" s="212">
        <v>5</v>
      </c>
      <c r="BI71" s="212">
        <v>5</v>
      </c>
      <c r="BJ71" s="212">
        <v>5</v>
      </c>
      <c r="BK71" s="212">
        <v>5</v>
      </c>
      <c r="BL71" s="212">
        <v>5</v>
      </c>
      <c r="BM71" s="212">
        <v>5</v>
      </c>
      <c r="BN71" s="212">
        <v>5</v>
      </c>
      <c r="BO71" s="212">
        <v>5</v>
      </c>
      <c r="BP71" s="212">
        <v>5</v>
      </c>
      <c r="BQ71" s="212">
        <v>5</v>
      </c>
      <c r="BR71" s="212">
        <v>5</v>
      </c>
      <c r="BS71" s="212">
        <v>5</v>
      </c>
      <c r="BT71" s="212">
        <v>5</v>
      </c>
      <c r="BU71" s="212">
        <v>5</v>
      </c>
      <c r="BV71" s="212">
        <v>5</v>
      </c>
      <c r="BW71" s="212">
        <v>5</v>
      </c>
      <c r="BX71" s="212">
        <v>5</v>
      </c>
      <c r="BY71" s="212">
        <v>5</v>
      </c>
      <c r="BZ71" s="212">
        <v>5</v>
      </c>
      <c r="CA71" s="212">
        <v>5</v>
      </c>
      <c r="CB71" s="212">
        <v>7.5</v>
      </c>
      <c r="CC71" s="212">
        <v>7.5</v>
      </c>
      <c r="CD71" s="212">
        <v>7.5</v>
      </c>
      <c r="CE71" s="212">
        <v>7.5</v>
      </c>
      <c r="CF71" s="212">
        <v>7.5</v>
      </c>
      <c r="CG71" s="212">
        <v>7.5</v>
      </c>
      <c r="CH71" s="212">
        <v>7.5</v>
      </c>
      <c r="CI71" s="212">
        <v>7.5</v>
      </c>
      <c r="CJ71" s="212">
        <v>7.5</v>
      </c>
      <c r="CK71" s="212">
        <v>7.5</v>
      </c>
      <c r="CL71" s="212">
        <v>7.5</v>
      </c>
      <c r="CM71" s="212">
        <v>7.5</v>
      </c>
      <c r="CN71" s="212">
        <v>7.5</v>
      </c>
      <c r="CO71" s="212">
        <v>7.5</v>
      </c>
      <c r="CP71" s="212">
        <v>7.5</v>
      </c>
      <c r="CQ71" s="212">
        <v>7.5</v>
      </c>
      <c r="CR71" s="212">
        <v>7.5</v>
      </c>
      <c r="CS71" s="212">
        <v>7.5</v>
      </c>
      <c r="CT71" s="212">
        <v>7.5</v>
      </c>
      <c r="CU71" s="212">
        <v>7.5</v>
      </c>
      <c r="CV71" s="212">
        <v>10</v>
      </c>
      <c r="CW71" s="212">
        <v>10</v>
      </c>
      <c r="CX71" s="212">
        <v>10</v>
      </c>
      <c r="CY71" s="212">
        <v>10</v>
      </c>
      <c r="CZ71" s="212">
        <v>10</v>
      </c>
      <c r="DA71" s="212">
        <v>10</v>
      </c>
      <c r="DB71" s="212">
        <v>10</v>
      </c>
      <c r="DC71" s="212">
        <v>10</v>
      </c>
      <c r="DD71" s="212">
        <v>10</v>
      </c>
      <c r="DE71" s="212">
        <v>10</v>
      </c>
      <c r="DF71" s="212">
        <v>10</v>
      </c>
      <c r="DG71" s="212">
        <v>10</v>
      </c>
      <c r="DH71" s="212">
        <v>10</v>
      </c>
      <c r="DI71" s="212">
        <v>10</v>
      </c>
      <c r="DJ71" s="212">
        <v>10</v>
      </c>
      <c r="DK71" s="212">
        <v>10</v>
      </c>
      <c r="DL71" s="212">
        <v>10</v>
      </c>
      <c r="DM71" s="212">
        <v>10</v>
      </c>
      <c r="DN71" s="212">
        <v>10</v>
      </c>
      <c r="DO71" s="212">
        <v>10</v>
      </c>
      <c r="DP71" s="212">
        <v>12.5</v>
      </c>
      <c r="DQ71" s="212">
        <v>12.5</v>
      </c>
      <c r="DR71" s="212">
        <v>12.5</v>
      </c>
    </row>
    <row r="72" spans="1:122" ht="22.5" customHeight="1" x14ac:dyDescent="0.45">
      <c r="A72" s="211">
        <v>30</v>
      </c>
      <c r="B72" s="212">
        <v>-2.5</v>
      </c>
      <c r="C72" s="212">
        <v>-2.5</v>
      </c>
      <c r="D72" s="212">
        <v>-2.5</v>
      </c>
      <c r="E72" s="212">
        <v>-2.5</v>
      </c>
      <c r="F72" s="212">
        <v>-2.5</v>
      </c>
      <c r="G72" s="212">
        <v>-2.5</v>
      </c>
      <c r="H72" s="212">
        <v>-2.5</v>
      </c>
      <c r="I72" s="212">
        <v>-2.5</v>
      </c>
      <c r="J72" s="212">
        <v>-2.5</v>
      </c>
      <c r="K72" s="212">
        <v>-2.5</v>
      </c>
      <c r="L72" s="212">
        <v>-2.5</v>
      </c>
      <c r="M72" s="212">
        <v>-2.5</v>
      </c>
      <c r="N72" s="212">
        <v>-2.5</v>
      </c>
      <c r="O72" s="212">
        <v>-2.5</v>
      </c>
      <c r="P72" s="212">
        <v>-2.5</v>
      </c>
      <c r="Q72" s="212">
        <v>-2.5</v>
      </c>
      <c r="R72" s="212">
        <v>-2.5</v>
      </c>
      <c r="S72" s="212">
        <v>-2.5</v>
      </c>
      <c r="T72" s="212">
        <v>-2.5</v>
      </c>
      <c r="U72" s="212">
        <v>0</v>
      </c>
      <c r="V72" s="212">
        <v>0</v>
      </c>
      <c r="W72" s="212">
        <v>0</v>
      </c>
      <c r="X72" s="212">
        <v>0</v>
      </c>
      <c r="Y72" s="212">
        <v>0</v>
      </c>
      <c r="Z72" s="212">
        <v>0</v>
      </c>
      <c r="AA72" s="212">
        <v>0</v>
      </c>
      <c r="AB72" s="212">
        <v>0</v>
      </c>
      <c r="AC72" s="212">
        <v>0</v>
      </c>
      <c r="AD72" s="212">
        <v>0</v>
      </c>
      <c r="AE72" s="212">
        <v>0</v>
      </c>
      <c r="AF72" s="212">
        <v>0</v>
      </c>
      <c r="AG72" s="212">
        <v>0</v>
      </c>
      <c r="AH72" s="212">
        <v>0</v>
      </c>
      <c r="AI72" s="212">
        <v>0</v>
      </c>
      <c r="AJ72" s="212">
        <v>0</v>
      </c>
      <c r="AK72" s="212">
        <v>0</v>
      </c>
      <c r="AL72" s="212">
        <v>0</v>
      </c>
      <c r="AM72" s="212">
        <v>2.5</v>
      </c>
      <c r="AN72" s="212">
        <v>2.5</v>
      </c>
      <c r="AO72" s="212">
        <v>2.5</v>
      </c>
      <c r="AP72" s="212">
        <v>2.5</v>
      </c>
      <c r="AQ72" s="212">
        <v>2.5</v>
      </c>
      <c r="AR72" s="212">
        <v>2.5</v>
      </c>
      <c r="AS72" s="212">
        <v>2.5</v>
      </c>
      <c r="AT72" s="212">
        <v>2.5</v>
      </c>
      <c r="AU72" s="212">
        <v>2.5</v>
      </c>
      <c r="AV72" s="212">
        <v>2.5</v>
      </c>
      <c r="AW72" s="212">
        <v>2.5</v>
      </c>
      <c r="AX72" s="212">
        <v>2.5</v>
      </c>
      <c r="AY72" s="212">
        <v>2.5</v>
      </c>
      <c r="AZ72" s="212">
        <v>2.5</v>
      </c>
      <c r="BA72" s="212">
        <v>2.5</v>
      </c>
      <c r="BB72" s="212">
        <v>2.5</v>
      </c>
      <c r="BC72" s="212">
        <v>2.5</v>
      </c>
      <c r="BD72" s="212">
        <v>2.5</v>
      </c>
      <c r="BE72" s="212">
        <v>2.5</v>
      </c>
      <c r="BF72" s="212">
        <v>2.5</v>
      </c>
      <c r="BG72" s="212">
        <v>2.5</v>
      </c>
      <c r="BH72" s="212">
        <v>2.5</v>
      </c>
      <c r="BI72" s="212">
        <v>2.5</v>
      </c>
      <c r="BJ72" s="212">
        <v>5</v>
      </c>
      <c r="BK72" s="212">
        <v>5</v>
      </c>
      <c r="BL72" s="212">
        <v>5</v>
      </c>
      <c r="BM72" s="212">
        <v>5</v>
      </c>
      <c r="BN72" s="212">
        <v>5</v>
      </c>
      <c r="BO72" s="212">
        <v>5</v>
      </c>
      <c r="BP72" s="212">
        <v>5</v>
      </c>
      <c r="BQ72" s="212">
        <v>5</v>
      </c>
      <c r="BR72" s="212">
        <v>5</v>
      </c>
      <c r="BS72" s="212">
        <v>5</v>
      </c>
      <c r="BT72" s="212">
        <v>5</v>
      </c>
      <c r="BU72" s="212">
        <v>5</v>
      </c>
      <c r="BV72" s="212">
        <v>5</v>
      </c>
      <c r="BW72" s="212">
        <v>5</v>
      </c>
      <c r="BX72" s="212">
        <v>5</v>
      </c>
      <c r="BY72" s="212">
        <v>5</v>
      </c>
      <c r="BZ72" s="212">
        <v>5</v>
      </c>
      <c r="CA72" s="212">
        <v>5</v>
      </c>
      <c r="CB72" s="212">
        <v>5</v>
      </c>
      <c r="CC72" s="212">
        <v>5</v>
      </c>
      <c r="CD72" s="212">
        <v>7.5</v>
      </c>
      <c r="CE72" s="212">
        <v>7.5</v>
      </c>
      <c r="CF72" s="212">
        <v>7.5</v>
      </c>
      <c r="CG72" s="212">
        <v>7.5</v>
      </c>
      <c r="CH72" s="212">
        <v>7.5</v>
      </c>
      <c r="CI72" s="212">
        <v>7.5</v>
      </c>
      <c r="CJ72" s="212">
        <v>7.5</v>
      </c>
      <c r="CK72" s="212">
        <v>7.5</v>
      </c>
      <c r="CL72" s="212">
        <v>7.5</v>
      </c>
      <c r="CM72" s="212">
        <v>7.5</v>
      </c>
      <c r="CN72" s="212">
        <v>7.5</v>
      </c>
      <c r="CO72" s="212">
        <v>7.5</v>
      </c>
      <c r="CP72" s="212">
        <v>7.5</v>
      </c>
      <c r="CQ72" s="212">
        <v>7.5</v>
      </c>
      <c r="CR72" s="212">
        <v>7.5</v>
      </c>
      <c r="CS72" s="212">
        <v>7.5</v>
      </c>
      <c r="CT72" s="212">
        <v>7.5</v>
      </c>
      <c r="CU72" s="212">
        <v>7.5</v>
      </c>
      <c r="CV72" s="212">
        <v>7.5</v>
      </c>
      <c r="CW72" s="212">
        <v>7.5</v>
      </c>
      <c r="CX72" s="212">
        <v>10</v>
      </c>
      <c r="CY72" s="212">
        <v>10</v>
      </c>
      <c r="CZ72" s="212">
        <v>10</v>
      </c>
      <c r="DA72" s="212">
        <v>10</v>
      </c>
      <c r="DB72" s="212">
        <v>10</v>
      </c>
      <c r="DC72" s="212">
        <v>10</v>
      </c>
      <c r="DD72" s="212">
        <v>10</v>
      </c>
      <c r="DE72" s="212">
        <v>10</v>
      </c>
      <c r="DF72" s="212">
        <v>10</v>
      </c>
      <c r="DG72" s="212">
        <v>10</v>
      </c>
      <c r="DH72" s="212">
        <v>10</v>
      </c>
      <c r="DI72" s="212">
        <v>10</v>
      </c>
      <c r="DJ72" s="212">
        <v>10</v>
      </c>
      <c r="DK72" s="212">
        <v>10</v>
      </c>
      <c r="DL72" s="212">
        <v>10</v>
      </c>
      <c r="DM72" s="212">
        <v>10</v>
      </c>
      <c r="DN72" s="212">
        <v>10</v>
      </c>
      <c r="DO72" s="212">
        <v>10</v>
      </c>
      <c r="DP72" s="212">
        <v>10</v>
      </c>
      <c r="DQ72" s="212">
        <v>10</v>
      </c>
      <c r="DR72" s="212">
        <v>12.5</v>
      </c>
    </row>
    <row r="73" spans="1:122" ht="22.5" customHeight="1" x14ac:dyDescent="0.45">
      <c r="A73" s="211">
        <v>29</v>
      </c>
      <c r="B73" s="212">
        <v>-2.5</v>
      </c>
      <c r="C73" s="212">
        <v>-2.5</v>
      </c>
      <c r="D73" s="212">
        <v>-2.5</v>
      </c>
      <c r="E73" s="212">
        <v>-2.5</v>
      </c>
      <c r="F73" s="212">
        <v>-2.5</v>
      </c>
      <c r="G73" s="212">
        <v>-2.5</v>
      </c>
      <c r="H73" s="212">
        <v>-2.5</v>
      </c>
      <c r="I73" s="212">
        <v>-2.5</v>
      </c>
      <c r="J73" s="212">
        <v>-2.5</v>
      </c>
      <c r="K73" s="212">
        <v>-2.5</v>
      </c>
      <c r="L73" s="212">
        <v>-2.5</v>
      </c>
      <c r="M73" s="212">
        <v>-2.5</v>
      </c>
      <c r="N73" s="212">
        <v>-2.5</v>
      </c>
      <c r="O73" s="212">
        <v>-2.5</v>
      </c>
      <c r="P73" s="212">
        <v>-2.5</v>
      </c>
      <c r="Q73" s="212">
        <v>-2.5</v>
      </c>
      <c r="R73" s="212">
        <v>-2.5</v>
      </c>
      <c r="S73" s="212">
        <v>-2.5</v>
      </c>
      <c r="T73" s="212">
        <v>-2.5</v>
      </c>
      <c r="U73" s="212">
        <v>-2.5</v>
      </c>
      <c r="V73" s="212">
        <v>0</v>
      </c>
      <c r="W73" s="212">
        <v>0</v>
      </c>
      <c r="X73" s="212">
        <v>0</v>
      </c>
      <c r="Y73" s="212">
        <v>0</v>
      </c>
      <c r="Z73" s="212">
        <v>0</v>
      </c>
      <c r="AA73" s="212">
        <v>0</v>
      </c>
      <c r="AB73" s="212">
        <v>0</v>
      </c>
      <c r="AC73" s="212">
        <v>0</v>
      </c>
      <c r="AD73" s="212">
        <v>0</v>
      </c>
      <c r="AE73" s="212">
        <v>0</v>
      </c>
      <c r="AF73" s="212">
        <v>0</v>
      </c>
      <c r="AG73" s="212">
        <v>0</v>
      </c>
      <c r="AH73" s="212">
        <v>0</v>
      </c>
      <c r="AI73" s="212">
        <v>0</v>
      </c>
      <c r="AJ73" s="212">
        <v>0</v>
      </c>
      <c r="AK73" s="212">
        <v>0</v>
      </c>
      <c r="AL73" s="212">
        <v>0</v>
      </c>
      <c r="AM73" s="212">
        <v>0</v>
      </c>
      <c r="AN73" s="212">
        <v>2.5</v>
      </c>
      <c r="AO73" s="212">
        <v>2.5</v>
      </c>
      <c r="AP73" s="212">
        <v>2.5</v>
      </c>
      <c r="AQ73" s="212">
        <v>2.5</v>
      </c>
      <c r="AR73" s="212">
        <v>2.5</v>
      </c>
      <c r="AS73" s="212">
        <v>2.5</v>
      </c>
      <c r="AT73" s="212">
        <v>2.5</v>
      </c>
      <c r="AU73" s="212">
        <v>2.5</v>
      </c>
      <c r="AV73" s="212">
        <v>2.5</v>
      </c>
      <c r="AW73" s="212">
        <v>2.5</v>
      </c>
      <c r="AX73" s="212">
        <v>2.5</v>
      </c>
      <c r="AY73" s="212">
        <v>2.5</v>
      </c>
      <c r="AZ73" s="212">
        <v>2.5</v>
      </c>
      <c r="BA73" s="212">
        <v>2.5</v>
      </c>
      <c r="BB73" s="212">
        <v>2.5</v>
      </c>
      <c r="BC73" s="212">
        <v>2.5</v>
      </c>
      <c r="BD73" s="212">
        <v>2.5</v>
      </c>
      <c r="BE73" s="212">
        <v>2.5</v>
      </c>
      <c r="BF73" s="212">
        <v>2.5</v>
      </c>
      <c r="BG73" s="212">
        <v>2.5</v>
      </c>
      <c r="BH73" s="212">
        <v>2.5</v>
      </c>
      <c r="BI73" s="212">
        <v>2.5</v>
      </c>
      <c r="BJ73" s="212">
        <v>2.5</v>
      </c>
      <c r="BK73" s="212">
        <v>2.5</v>
      </c>
      <c r="BL73" s="212">
        <v>5</v>
      </c>
      <c r="BM73" s="212">
        <v>5</v>
      </c>
      <c r="BN73" s="212">
        <v>5</v>
      </c>
      <c r="BO73" s="212">
        <v>5</v>
      </c>
      <c r="BP73" s="212">
        <v>5</v>
      </c>
      <c r="BQ73" s="212">
        <v>5</v>
      </c>
      <c r="BR73" s="212">
        <v>5</v>
      </c>
      <c r="BS73" s="212">
        <v>5</v>
      </c>
      <c r="BT73" s="212">
        <v>5</v>
      </c>
      <c r="BU73" s="212">
        <v>5</v>
      </c>
      <c r="BV73" s="212">
        <v>5</v>
      </c>
      <c r="BW73" s="212">
        <v>5</v>
      </c>
      <c r="BX73" s="212">
        <v>5</v>
      </c>
      <c r="BY73" s="212">
        <v>5</v>
      </c>
      <c r="BZ73" s="212">
        <v>5</v>
      </c>
      <c r="CA73" s="212">
        <v>5</v>
      </c>
      <c r="CB73" s="212">
        <v>5</v>
      </c>
      <c r="CC73" s="212">
        <v>5</v>
      </c>
      <c r="CD73" s="212">
        <v>5</v>
      </c>
      <c r="CE73" s="212">
        <v>5</v>
      </c>
      <c r="CF73" s="212">
        <v>7.5</v>
      </c>
      <c r="CG73" s="212">
        <v>7.5</v>
      </c>
      <c r="CH73" s="212">
        <v>7.5</v>
      </c>
      <c r="CI73" s="212">
        <v>7.5</v>
      </c>
      <c r="CJ73" s="212">
        <v>7.5</v>
      </c>
      <c r="CK73" s="212">
        <v>7.5</v>
      </c>
      <c r="CL73" s="212">
        <v>7.5</v>
      </c>
      <c r="CM73" s="212">
        <v>7.5</v>
      </c>
      <c r="CN73" s="212">
        <v>7.5</v>
      </c>
      <c r="CO73" s="212">
        <v>7.5</v>
      </c>
      <c r="CP73" s="212">
        <v>7.5</v>
      </c>
      <c r="CQ73" s="212">
        <v>7.5</v>
      </c>
      <c r="CR73" s="212">
        <v>7.5</v>
      </c>
      <c r="CS73" s="212">
        <v>7.5</v>
      </c>
      <c r="CT73" s="212">
        <v>7.5</v>
      </c>
      <c r="CU73" s="212">
        <v>7.5</v>
      </c>
      <c r="CV73" s="212">
        <v>7.5</v>
      </c>
      <c r="CW73" s="212">
        <v>7.5</v>
      </c>
      <c r="CX73" s="212">
        <v>7.5</v>
      </c>
      <c r="CY73" s="212">
        <v>7.5</v>
      </c>
      <c r="CZ73" s="212">
        <v>10</v>
      </c>
      <c r="DA73" s="212">
        <v>10</v>
      </c>
      <c r="DB73" s="212">
        <v>10</v>
      </c>
      <c r="DC73" s="212">
        <v>10</v>
      </c>
      <c r="DD73" s="212">
        <v>10</v>
      </c>
      <c r="DE73" s="212">
        <v>10</v>
      </c>
      <c r="DF73" s="212">
        <v>10</v>
      </c>
      <c r="DG73" s="212">
        <v>10</v>
      </c>
      <c r="DH73" s="212">
        <v>10</v>
      </c>
      <c r="DI73" s="212">
        <v>10</v>
      </c>
      <c r="DJ73" s="212">
        <v>10</v>
      </c>
      <c r="DK73" s="212">
        <v>10</v>
      </c>
      <c r="DL73" s="212">
        <v>10</v>
      </c>
      <c r="DM73" s="212">
        <v>10</v>
      </c>
      <c r="DN73" s="212">
        <v>10</v>
      </c>
      <c r="DO73" s="212">
        <v>10</v>
      </c>
      <c r="DP73" s="212">
        <v>10</v>
      </c>
      <c r="DQ73" s="212">
        <v>10</v>
      </c>
      <c r="DR73" s="212">
        <v>10</v>
      </c>
    </row>
    <row r="74" spans="1:122" ht="22.5" customHeight="1" x14ac:dyDescent="0.45">
      <c r="A74" s="211">
        <v>28</v>
      </c>
      <c r="B74" s="212">
        <v>-2.5</v>
      </c>
      <c r="C74" s="212">
        <v>-2.5</v>
      </c>
      <c r="D74" s="212">
        <v>-2.5</v>
      </c>
      <c r="E74" s="212">
        <v>-2.5</v>
      </c>
      <c r="F74" s="212">
        <v>-2.5</v>
      </c>
      <c r="G74" s="212">
        <v>-2.5</v>
      </c>
      <c r="H74" s="212">
        <v>-2.5</v>
      </c>
      <c r="I74" s="212">
        <v>-2.5</v>
      </c>
      <c r="J74" s="212">
        <v>-2.5</v>
      </c>
      <c r="K74" s="212">
        <v>-2.5</v>
      </c>
      <c r="L74" s="212">
        <v>-2.5</v>
      </c>
      <c r="M74" s="212">
        <v>-2.5</v>
      </c>
      <c r="N74" s="212">
        <v>-2.5</v>
      </c>
      <c r="O74" s="212">
        <v>-2.5</v>
      </c>
      <c r="P74" s="212">
        <v>-2.5</v>
      </c>
      <c r="Q74" s="212">
        <v>-2.5</v>
      </c>
      <c r="R74" s="212">
        <v>-2.5</v>
      </c>
      <c r="S74" s="212">
        <v>-2.5</v>
      </c>
      <c r="T74" s="212">
        <v>-2.5</v>
      </c>
      <c r="U74" s="212">
        <v>-2.5</v>
      </c>
      <c r="V74" s="212">
        <v>-2.5</v>
      </c>
      <c r="W74" s="212">
        <v>0</v>
      </c>
      <c r="X74" s="212">
        <v>0</v>
      </c>
      <c r="Y74" s="212">
        <v>0</v>
      </c>
      <c r="Z74" s="212">
        <v>0</v>
      </c>
      <c r="AA74" s="212">
        <v>0</v>
      </c>
      <c r="AB74" s="212">
        <v>0</v>
      </c>
      <c r="AC74" s="212">
        <v>0</v>
      </c>
      <c r="AD74" s="212">
        <v>0</v>
      </c>
      <c r="AE74" s="212">
        <v>0</v>
      </c>
      <c r="AF74" s="212">
        <v>0</v>
      </c>
      <c r="AG74" s="212">
        <v>0</v>
      </c>
      <c r="AH74" s="212">
        <v>0</v>
      </c>
      <c r="AI74" s="212">
        <v>0</v>
      </c>
      <c r="AJ74" s="212">
        <v>0</v>
      </c>
      <c r="AK74" s="212">
        <v>0</v>
      </c>
      <c r="AL74" s="212">
        <v>0</v>
      </c>
      <c r="AM74" s="212">
        <v>0</v>
      </c>
      <c r="AN74" s="212">
        <v>0</v>
      </c>
      <c r="AO74" s="212">
        <v>0</v>
      </c>
      <c r="AP74" s="212">
        <v>2.5</v>
      </c>
      <c r="AQ74" s="212">
        <v>2.5</v>
      </c>
      <c r="AR74" s="212">
        <v>2.5</v>
      </c>
      <c r="AS74" s="212">
        <v>2.5</v>
      </c>
      <c r="AT74" s="212">
        <v>2.5</v>
      </c>
      <c r="AU74" s="212">
        <v>2.5</v>
      </c>
      <c r="AV74" s="212">
        <v>2.5</v>
      </c>
      <c r="AW74" s="212">
        <v>2.5</v>
      </c>
      <c r="AX74" s="212">
        <v>2.5</v>
      </c>
      <c r="AY74" s="212">
        <v>2.5</v>
      </c>
      <c r="AZ74" s="212">
        <v>2.5</v>
      </c>
      <c r="BA74" s="212">
        <v>2.5</v>
      </c>
      <c r="BB74" s="212">
        <v>2.5</v>
      </c>
      <c r="BC74" s="212">
        <v>2.5</v>
      </c>
      <c r="BD74" s="212">
        <v>2.5</v>
      </c>
      <c r="BE74" s="212">
        <v>2.5</v>
      </c>
      <c r="BF74" s="212">
        <v>2.5</v>
      </c>
      <c r="BG74" s="212">
        <v>2.5</v>
      </c>
      <c r="BH74" s="212">
        <v>2.5</v>
      </c>
      <c r="BI74" s="212">
        <v>2.5</v>
      </c>
      <c r="BJ74" s="212">
        <v>2.5</v>
      </c>
      <c r="BK74" s="212">
        <v>2.5</v>
      </c>
      <c r="BL74" s="212">
        <v>2.5</v>
      </c>
      <c r="BM74" s="212">
        <v>2.5</v>
      </c>
      <c r="BN74" s="212">
        <v>5</v>
      </c>
      <c r="BO74" s="212">
        <v>5</v>
      </c>
      <c r="BP74" s="212">
        <v>5</v>
      </c>
      <c r="BQ74" s="212">
        <v>5</v>
      </c>
      <c r="BR74" s="212">
        <v>5</v>
      </c>
      <c r="BS74" s="212">
        <v>5</v>
      </c>
      <c r="BT74" s="212">
        <v>5</v>
      </c>
      <c r="BU74" s="212">
        <v>5</v>
      </c>
      <c r="BV74" s="212">
        <v>5</v>
      </c>
      <c r="BW74" s="212">
        <v>5</v>
      </c>
      <c r="BX74" s="212">
        <v>5</v>
      </c>
      <c r="BY74" s="212">
        <v>5</v>
      </c>
      <c r="BZ74" s="212">
        <v>5</v>
      </c>
      <c r="CA74" s="212">
        <v>5</v>
      </c>
      <c r="CB74" s="212">
        <v>5</v>
      </c>
      <c r="CC74" s="212">
        <v>5</v>
      </c>
      <c r="CD74" s="212">
        <v>5</v>
      </c>
      <c r="CE74" s="212">
        <v>5</v>
      </c>
      <c r="CF74" s="212">
        <v>5</v>
      </c>
      <c r="CG74" s="212">
        <v>5</v>
      </c>
      <c r="CH74" s="212">
        <v>7.5</v>
      </c>
      <c r="CI74" s="212">
        <v>7.5</v>
      </c>
      <c r="CJ74" s="212">
        <v>7.5</v>
      </c>
      <c r="CK74" s="212">
        <v>7.5</v>
      </c>
      <c r="CL74" s="212">
        <v>7.5</v>
      </c>
      <c r="CM74" s="212">
        <v>7.5</v>
      </c>
      <c r="CN74" s="212">
        <v>7.5</v>
      </c>
      <c r="CO74" s="212">
        <v>7.5</v>
      </c>
      <c r="CP74" s="212">
        <v>7.5</v>
      </c>
      <c r="CQ74" s="212">
        <v>7.5</v>
      </c>
      <c r="CR74" s="212">
        <v>7.5</v>
      </c>
      <c r="CS74" s="212">
        <v>7.5</v>
      </c>
      <c r="CT74" s="212">
        <v>7.5</v>
      </c>
      <c r="CU74" s="212">
        <v>7.5</v>
      </c>
      <c r="CV74" s="212">
        <v>7.5</v>
      </c>
      <c r="CW74" s="212">
        <v>7.5</v>
      </c>
      <c r="CX74" s="212">
        <v>7.5</v>
      </c>
      <c r="CY74" s="212">
        <v>7.5</v>
      </c>
      <c r="CZ74" s="212">
        <v>7.5</v>
      </c>
      <c r="DA74" s="212">
        <v>7.5</v>
      </c>
      <c r="DB74" s="212">
        <v>10</v>
      </c>
      <c r="DC74" s="212">
        <v>10</v>
      </c>
      <c r="DD74" s="212">
        <v>10</v>
      </c>
      <c r="DE74" s="212">
        <v>10</v>
      </c>
      <c r="DF74" s="212">
        <v>10</v>
      </c>
      <c r="DG74" s="212">
        <v>10</v>
      </c>
      <c r="DH74" s="212">
        <v>10</v>
      </c>
      <c r="DI74" s="212">
        <v>10</v>
      </c>
      <c r="DJ74" s="212">
        <v>10</v>
      </c>
      <c r="DK74" s="212">
        <v>10</v>
      </c>
      <c r="DL74" s="212">
        <v>10</v>
      </c>
      <c r="DM74" s="212">
        <v>10</v>
      </c>
      <c r="DN74" s="212">
        <v>10</v>
      </c>
      <c r="DO74" s="212">
        <v>10</v>
      </c>
      <c r="DP74" s="212">
        <v>10</v>
      </c>
      <c r="DQ74" s="212">
        <v>10</v>
      </c>
      <c r="DR74" s="212">
        <v>10</v>
      </c>
    </row>
    <row r="75" spans="1:122" ht="22.5" customHeight="1" x14ac:dyDescent="0.45">
      <c r="A75" s="211">
        <v>27</v>
      </c>
      <c r="B75" s="212">
        <v>-2.5</v>
      </c>
      <c r="C75" s="212">
        <v>-2.5</v>
      </c>
      <c r="D75" s="212">
        <v>-2.5</v>
      </c>
      <c r="E75" s="212">
        <v>-2.5</v>
      </c>
      <c r="F75" s="212">
        <v>-2.5</v>
      </c>
      <c r="G75" s="212">
        <v>-2.5</v>
      </c>
      <c r="H75" s="212">
        <v>-2.5</v>
      </c>
      <c r="I75" s="212">
        <v>-2.5</v>
      </c>
      <c r="J75" s="212">
        <v>-2.5</v>
      </c>
      <c r="K75" s="212">
        <v>-2.5</v>
      </c>
      <c r="L75" s="212">
        <v>-2.5</v>
      </c>
      <c r="M75" s="212">
        <v>-2.5</v>
      </c>
      <c r="N75" s="212">
        <v>-2.5</v>
      </c>
      <c r="O75" s="212">
        <v>-2.5</v>
      </c>
      <c r="P75" s="212">
        <v>-2.5</v>
      </c>
      <c r="Q75" s="212">
        <v>-2.5</v>
      </c>
      <c r="R75" s="212">
        <v>-2.5</v>
      </c>
      <c r="S75" s="212">
        <v>-2.5</v>
      </c>
      <c r="T75" s="212">
        <v>-2.5</v>
      </c>
      <c r="U75" s="212">
        <v>-2.5</v>
      </c>
      <c r="V75" s="212">
        <v>-2.5</v>
      </c>
      <c r="W75" s="212">
        <v>0</v>
      </c>
      <c r="X75" s="212">
        <v>0</v>
      </c>
      <c r="Y75" s="212">
        <v>0</v>
      </c>
      <c r="Z75" s="212">
        <v>0</v>
      </c>
      <c r="AA75" s="212">
        <v>0</v>
      </c>
      <c r="AB75" s="212">
        <v>0</v>
      </c>
      <c r="AC75" s="212">
        <v>0</v>
      </c>
      <c r="AD75" s="212">
        <v>0</v>
      </c>
      <c r="AE75" s="212">
        <v>0</v>
      </c>
      <c r="AF75" s="212">
        <v>0</v>
      </c>
      <c r="AG75" s="212">
        <v>0</v>
      </c>
      <c r="AH75" s="212">
        <v>0</v>
      </c>
      <c r="AI75" s="212">
        <v>0</v>
      </c>
      <c r="AJ75" s="212">
        <v>0</v>
      </c>
      <c r="AK75" s="212">
        <v>0</v>
      </c>
      <c r="AL75" s="212">
        <v>0</v>
      </c>
      <c r="AM75" s="212">
        <v>0</v>
      </c>
      <c r="AN75" s="212">
        <v>0</v>
      </c>
      <c r="AO75" s="212">
        <v>0</v>
      </c>
      <c r="AP75" s="212">
        <v>0</v>
      </c>
      <c r="AQ75" s="212">
        <v>0</v>
      </c>
      <c r="AR75" s="212">
        <v>2.5</v>
      </c>
      <c r="AS75" s="212">
        <v>2.5</v>
      </c>
      <c r="AT75" s="212">
        <v>2.5</v>
      </c>
      <c r="AU75" s="212">
        <v>2.5</v>
      </c>
      <c r="AV75" s="212">
        <v>2.5</v>
      </c>
      <c r="AW75" s="212">
        <v>2.5</v>
      </c>
      <c r="AX75" s="212">
        <v>2.5</v>
      </c>
      <c r="AY75" s="212">
        <v>2.5</v>
      </c>
      <c r="AZ75" s="212">
        <v>2.5</v>
      </c>
      <c r="BA75" s="212">
        <v>2.5</v>
      </c>
      <c r="BB75" s="212">
        <v>2.5</v>
      </c>
      <c r="BC75" s="212">
        <v>2.5</v>
      </c>
      <c r="BD75" s="212">
        <v>2.5</v>
      </c>
      <c r="BE75" s="212">
        <v>2.5</v>
      </c>
      <c r="BF75" s="212">
        <v>2.5</v>
      </c>
      <c r="BG75" s="212">
        <v>2.5</v>
      </c>
      <c r="BH75" s="212">
        <v>2.5</v>
      </c>
      <c r="BI75" s="212">
        <v>2.5</v>
      </c>
      <c r="BJ75" s="212">
        <v>2.5</v>
      </c>
      <c r="BK75" s="212">
        <v>2.5</v>
      </c>
      <c r="BL75" s="212">
        <v>2.5</v>
      </c>
      <c r="BM75" s="212">
        <v>2.5</v>
      </c>
      <c r="BN75" s="212">
        <v>2.5</v>
      </c>
      <c r="BO75" s="212">
        <v>2.5</v>
      </c>
      <c r="BP75" s="212">
        <v>5</v>
      </c>
      <c r="BQ75" s="212">
        <v>5</v>
      </c>
      <c r="BR75" s="212">
        <v>5</v>
      </c>
      <c r="BS75" s="212">
        <v>5</v>
      </c>
      <c r="BT75" s="212">
        <v>5</v>
      </c>
      <c r="BU75" s="212">
        <v>5</v>
      </c>
      <c r="BV75" s="212">
        <v>5</v>
      </c>
      <c r="BW75" s="212">
        <v>5</v>
      </c>
      <c r="BX75" s="212">
        <v>5</v>
      </c>
      <c r="BY75" s="212">
        <v>5</v>
      </c>
      <c r="BZ75" s="212">
        <v>5</v>
      </c>
      <c r="CA75" s="212">
        <v>5</v>
      </c>
      <c r="CB75" s="212">
        <v>5</v>
      </c>
      <c r="CC75" s="212">
        <v>5</v>
      </c>
      <c r="CD75" s="212">
        <v>5</v>
      </c>
      <c r="CE75" s="212">
        <v>5</v>
      </c>
      <c r="CF75" s="212">
        <v>5</v>
      </c>
      <c r="CG75" s="212">
        <v>5</v>
      </c>
      <c r="CH75" s="212">
        <v>5</v>
      </c>
      <c r="CI75" s="212">
        <v>5</v>
      </c>
      <c r="CJ75" s="212">
        <v>7.5</v>
      </c>
      <c r="CK75" s="212">
        <v>7.5</v>
      </c>
      <c r="CL75" s="212">
        <v>7.5</v>
      </c>
      <c r="CM75" s="212">
        <v>7.5</v>
      </c>
      <c r="CN75" s="212">
        <v>7.5</v>
      </c>
      <c r="CO75" s="212">
        <v>7.5</v>
      </c>
      <c r="CP75" s="212">
        <v>7.5</v>
      </c>
      <c r="CQ75" s="212">
        <v>7.5</v>
      </c>
      <c r="CR75" s="212">
        <v>7.5</v>
      </c>
      <c r="CS75" s="212">
        <v>7.5</v>
      </c>
      <c r="CT75" s="212">
        <v>7.5</v>
      </c>
      <c r="CU75" s="212">
        <v>7.5</v>
      </c>
      <c r="CV75" s="212">
        <v>7.5</v>
      </c>
      <c r="CW75" s="212">
        <v>7.5</v>
      </c>
      <c r="CX75" s="212">
        <v>7.5</v>
      </c>
      <c r="CY75" s="212">
        <v>7.5</v>
      </c>
      <c r="CZ75" s="212">
        <v>7.5</v>
      </c>
      <c r="DA75" s="212">
        <v>7.5</v>
      </c>
      <c r="DB75" s="212">
        <v>7.5</v>
      </c>
      <c r="DC75" s="212">
        <v>7.5</v>
      </c>
      <c r="DD75" s="212">
        <v>10</v>
      </c>
      <c r="DE75" s="212">
        <v>10</v>
      </c>
      <c r="DF75" s="212">
        <v>10</v>
      </c>
      <c r="DG75" s="212">
        <v>10</v>
      </c>
      <c r="DH75" s="212">
        <v>10</v>
      </c>
      <c r="DI75" s="212">
        <v>10</v>
      </c>
      <c r="DJ75" s="212">
        <v>10</v>
      </c>
      <c r="DK75" s="212">
        <v>10</v>
      </c>
      <c r="DL75" s="212">
        <v>10</v>
      </c>
      <c r="DM75" s="212">
        <v>10</v>
      </c>
      <c r="DN75" s="212">
        <v>10</v>
      </c>
      <c r="DO75" s="212">
        <v>10</v>
      </c>
      <c r="DP75" s="212">
        <v>10</v>
      </c>
      <c r="DQ75" s="212">
        <v>10</v>
      </c>
      <c r="DR75" s="212">
        <v>10</v>
      </c>
    </row>
    <row r="76" spans="1:122" ht="22.5" customHeight="1" x14ac:dyDescent="0.45">
      <c r="A76" s="211">
        <v>26</v>
      </c>
      <c r="B76" s="212">
        <v>-2.5</v>
      </c>
      <c r="C76" s="212">
        <v>-2.5</v>
      </c>
      <c r="D76" s="212">
        <v>-2.5</v>
      </c>
      <c r="E76" s="212">
        <v>-2.5</v>
      </c>
      <c r="F76" s="212">
        <v>-2.5</v>
      </c>
      <c r="G76" s="212">
        <v>-2.5</v>
      </c>
      <c r="H76" s="212">
        <v>-2.5</v>
      </c>
      <c r="I76" s="212">
        <v>-2.5</v>
      </c>
      <c r="J76" s="212">
        <v>-2.5</v>
      </c>
      <c r="K76" s="212">
        <v>-2.5</v>
      </c>
      <c r="L76" s="212">
        <v>-2.5</v>
      </c>
      <c r="M76" s="212">
        <v>-2.5</v>
      </c>
      <c r="N76" s="212">
        <v>-2.5</v>
      </c>
      <c r="O76" s="212">
        <v>-2.5</v>
      </c>
      <c r="P76" s="212">
        <v>-2.5</v>
      </c>
      <c r="Q76" s="212">
        <v>-2.5</v>
      </c>
      <c r="R76" s="212">
        <v>-2.5</v>
      </c>
      <c r="S76" s="212">
        <v>-2.5</v>
      </c>
      <c r="T76" s="212">
        <v>-2.5</v>
      </c>
      <c r="U76" s="212">
        <v>-2.5</v>
      </c>
      <c r="V76" s="212">
        <v>-2.5</v>
      </c>
      <c r="W76" s="212">
        <v>-2.5</v>
      </c>
      <c r="X76" s="212">
        <v>0</v>
      </c>
      <c r="Y76" s="212">
        <v>0</v>
      </c>
      <c r="Z76" s="212">
        <v>0</v>
      </c>
      <c r="AA76" s="212">
        <v>0</v>
      </c>
      <c r="AB76" s="212">
        <v>0</v>
      </c>
      <c r="AC76" s="212">
        <v>0</v>
      </c>
      <c r="AD76" s="212">
        <v>0</v>
      </c>
      <c r="AE76" s="212">
        <v>0</v>
      </c>
      <c r="AF76" s="212">
        <v>0</v>
      </c>
      <c r="AG76" s="212">
        <v>0</v>
      </c>
      <c r="AH76" s="212">
        <v>0</v>
      </c>
      <c r="AI76" s="212">
        <v>0</v>
      </c>
      <c r="AJ76" s="212">
        <v>0</v>
      </c>
      <c r="AK76" s="212">
        <v>0</v>
      </c>
      <c r="AL76" s="212">
        <v>0</v>
      </c>
      <c r="AM76" s="212">
        <v>0</v>
      </c>
      <c r="AN76" s="212">
        <v>0</v>
      </c>
      <c r="AO76" s="212">
        <v>0</v>
      </c>
      <c r="AP76" s="212">
        <v>0</v>
      </c>
      <c r="AQ76" s="212">
        <v>0</v>
      </c>
      <c r="AR76" s="212">
        <v>0</v>
      </c>
      <c r="AS76" s="212">
        <v>0</v>
      </c>
      <c r="AT76" s="212">
        <v>2.5</v>
      </c>
      <c r="AU76" s="212">
        <v>2.5</v>
      </c>
      <c r="AV76" s="212">
        <v>2.5</v>
      </c>
      <c r="AW76" s="212">
        <v>2.5</v>
      </c>
      <c r="AX76" s="212">
        <v>2.5</v>
      </c>
      <c r="AY76" s="212">
        <v>2.5</v>
      </c>
      <c r="AZ76" s="212">
        <v>2.5</v>
      </c>
      <c r="BA76" s="212">
        <v>2.5</v>
      </c>
      <c r="BB76" s="212">
        <v>2.5</v>
      </c>
      <c r="BC76" s="212">
        <v>2.5</v>
      </c>
      <c r="BD76" s="212">
        <v>2.5</v>
      </c>
      <c r="BE76" s="212">
        <v>2.5</v>
      </c>
      <c r="BF76" s="212">
        <v>2.5</v>
      </c>
      <c r="BG76" s="212">
        <v>2.5</v>
      </c>
      <c r="BH76" s="212">
        <v>2.5</v>
      </c>
      <c r="BI76" s="212">
        <v>2.5</v>
      </c>
      <c r="BJ76" s="212">
        <v>2.5</v>
      </c>
      <c r="BK76" s="212">
        <v>2.5</v>
      </c>
      <c r="BL76" s="212">
        <v>2.5</v>
      </c>
      <c r="BM76" s="212">
        <v>2.5</v>
      </c>
      <c r="BN76" s="212">
        <v>2.5</v>
      </c>
      <c r="BO76" s="212">
        <v>2.5</v>
      </c>
      <c r="BP76" s="212">
        <v>2.5</v>
      </c>
      <c r="BQ76" s="212">
        <v>2.5</v>
      </c>
      <c r="BR76" s="212">
        <v>5</v>
      </c>
      <c r="BS76" s="212">
        <v>5</v>
      </c>
      <c r="BT76" s="212">
        <v>5</v>
      </c>
      <c r="BU76" s="212">
        <v>5</v>
      </c>
      <c r="BV76" s="212">
        <v>5</v>
      </c>
      <c r="BW76" s="212">
        <v>5</v>
      </c>
      <c r="BX76" s="212">
        <v>5</v>
      </c>
      <c r="BY76" s="212">
        <v>5</v>
      </c>
      <c r="BZ76" s="212">
        <v>5</v>
      </c>
      <c r="CA76" s="212">
        <v>5</v>
      </c>
      <c r="CB76" s="212">
        <v>5</v>
      </c>
      <c r="CC76" s="212">
        <v>5</v>
      </c>
      <c r="CD76" s="212">
        <v>5</v>
      </c>
      <c r="CE76" s="212">
        <v>5</v>
      </c>
      <c r="CF76" s="212">
        <v>5</v>
      </c>
      <c r="CG76" s="212">
        <v>5</v>
      </c>
      <c r="CH76" s="212">
        <v>5</v>
      </c>
      <c r="CI76" s="212">
        <v>5</v>
      </c>
      <c r="CJ76" s="212">
        <v>5</v>
      </c>
      <c r="CK76" s="212">
        <v>5</v>
      </c>
      <c r="CL76" s="212">
        <v>7.5</v>
      </c>
      <c r="CM76" s="212">
        <v>7.5</v>
      </c>
      <c r="CN76" s="212">
        <v>7.5</v>
      </c>
      <c r="CO76" s="212">
        <v>7.5</v>
      </c>
      <c r="CP76" s="212">
        <v>7.5</v>
      </c>
      <c r="CQ76" s="212">
        <v>7.5</v>
      </c>
      <c r="CR76" s="212">
        <v>7.5</v>
      </c>
      <c r="CS76" s="212">
        <v>7.5</v>
      </c>
      <c r="CT76" s="212">
        <v>7.5</v>
      </c>
      <c r="CU76" s="212">
        <v>7.5</v>
      </c>
      <c r="CV76" s="212">
        <v>7.5</v>
      </c>
      <c r="CW76" s="212">
        <v>7.5</v>
      </c>
      <c r="CX76" s="212">
        <v>7.5</v>
      </c>
      <c r="CY76" s="212">
        <v>7.5</v>
      </c>
      <c r="CZ76" s="212">
        <v>7.5</v>
      </c>
      <c r="DA76" s="212">
        <v>7.5</v>
      </c>
      <c r="DB76" s="212">
        <v>7.5</v>
      </c>
      <c r="DC76" s="212">
        <v>7.5</v>
      </c>
      <c r="DD76" s="212">
        <v>7.5</v>
      </c>
      <c r="DE76" s="212">
        <v>7.5</v>
      </c>
      <c r="DF76" s="212">
        <v>10</v>
      </c>
      <c r="DG76" s="212">
        <v>10</v>
      </c>
      <c r="DH76" s="212">
        <v>10</v>
      </c>
      <c r="DI76" s="212">
        <v>10</v>
      </c>
      <c r="DJ76" s="212">
        <v>10</v>
      </c>
      <c r="DK76" s="212">
        <v>10</v>
      </c>
      <c r="DL76" s="212">
        <v>10</v>
      </c>
      <c r="DM76" s="212">
        <v>10</v>
      </c>
      <c r="DN76" s="212">
        <v>10</v>
      </c>
      <c r="DO76" s="212">
        <v>10</v>
      </c>
      <c r="DP76" s="212">
        <v>10</v>
      </c>
      <c r="DQ76" s="212">
        <v>10</v>
      </c>
      <c r="DR76" s="212">
        <v>10</v>
      </c>
    </row>
    <row r="77" spans="1:122" ht="22.5" customHeight="1" x14ac:dyDescent="0.45">
      <c r="A77" s="211">
        <v>25</v>
      </c>
      <c r="B77" s="212">
        <v>-2.5</v>
      </c>
      <c r="C77" s="212">
        <v>-2.5</v>
      </c>
      <c r="D77" s="212">
        <v>-2.5</v>
      </c>
      <c r="E77" s="212">
        <v>-2.5</v>
      </c>
      <c r="F77" s="212">
        <v>-2.5</v>
      </c>
      <c r="G77" s="212">
        <v>-2.5</v>
      </c>
      <c r="H77" s="212">
        <v>-2.5</v>
      </c>
      <c r="I77" s="212">
        <v>-2.5</v>
      </c>
      <c r="J77" s="212">
        <v>-2.5</v>
      </c>
      <c r="K77" s="212">
        <v>-2.5</v>
      </c>
      <c r="L77" s="212">
        <v>-2.5</v>
      </c>
      <c r="M77" s="212">
        <v>-2.5</v>
      </c>
      <c r="N77" s="212">
        <v>-2.5</v>
      </c>
      <c r="O77" s="212">
        <v>-2.5</v>
      </c>
      <c r="P77" s="212">
        <v>-2.5</v>
      </c>
      <c r="Q77" s="212">
        <v>-2.5</v>
      </c>
      <c r="R77" s="212">
        <v>-2.5</v>
      </c>
      <c r="S77" s="212">
        <v>-2.5</v>
      </c>
      <c r="T77" s="212">
        <v>-2.5</v>
      </c>
      <c r="U77" s="212">
        <v>-2.5</v>
      </c>
      <c r="V77" s="212">
        <v>-2.5</v>
      </c>
      <c r="W77" s="212">
        <v>-2.5</v>
      </c>
      <c r="X77" s="212">
        <v>0</v>
      </c>
      <c r="Y77" s="212">
        <v>0</v>
      </c>
      <c r="Z77" s="212">
        <v>0</v>
      </c>
      <c r="AA77" s="212">
        <v>0</v>
      </c>
      <c r="AB77" s="212">
        <v>0</v>
      </c>
      <c r="AC77" s="212">
        <v>0</v>
      </c>
      <c r="AD77" s="212">
        <v>0</v>
      </c>
      <c r="AE77" s="212">
        <v>0</v>
      </c>
      <c r="AF77" s="212">
        <v>0</v>
      </c>
      <c r="AG77" s="212">
        <v>0</v>
      </c>
      <c r="AH77" s="212">
        <v>0</v>
      </c>
      <c r="AI77" s="212">
        <v>0</v>
      </c>
      <c r="AJ77" s="212">
        <v>0</v>
      </c>
      <c r="AK77" s="212">
        <v>0</v>
      </c>
      <c r="AL77" s="212">
        <v>0</v>
      </c>
      <c r="AM77" s="212">
        <v>0</v>
      </c>
      <c r="AN77" s="212">
        <v>0</v>
      </c>
      <c r="AO77" s="212">
        <v>0</v>
      </c>
      <c r="AP77" s="212">
        <v>0</v>
      </c>
      <c r="AQ77" s="212">
        <v>0</v>
      </c>
      <c r="AR77" s="212">
        <v>0</v>
      </c>
      <c r="AS77" s="212">
        <v>0</v>
      </c>
      <c r="AT77" s="212">
        <v>0</v>
      </c>
      <c r="AU77" s="212">
        <v>0</v>
      </c>
      <c r="AV77" s="212">
        <v>2.5</v>
      </c>
      <c r="AW77" s="212">
        <v>2.5</v>
      </c>
      <c r="AX77" s="212">
        <v>2.5</v>
      </c>
      <c r="AY77" s="212">
        <v>2.5</v>
      </c>
      <c r="AZ77" s="212">
        <v>2.5</v>
      </c>
      <c r="BA77" s="212">
        <v>2.5</v>
      </c>
      <c r="BB77" s="212">
        <v>2.5</v>
      </c>
      <c r="BC77" s="212">
        <v>2.5</v>
      </c>
      <c r="BD77" s="212">
        <v>2.5</v>
      </c>
      <c r="BE77" s="212">
        <v>2.5</v>
      </c>
      <c r="BF77" s="212">
        <v>2.5</v>
      </c>
      <c r="BG77" s="212">
        <v>2.5</v>
      </c>
      <c r="BH77" s="212">
        <v>2.5</v>
      </c>
      <c r="BI77" s="212">
        <v>2.5</v>
      </c>
      <c r="BJ77" s="212">
        <v>2.5</v>
      </c>
      <c r="BK77" s="212">
        <v>2.5</v>
      </c>
      <c r="BL77" s="212">
        <v>2.5</v>
      </c>
      <c r="BM77" s="212">
        <v>2.5</v>
      </c>
      <c r="BN77" s="212">
        <v>2.5</v>
      </c>
      <c r="BO77" s="212">
        <v>2.5</v>
      </c>
      <c r="BP77" s="212">
        <v>2.5</v>
      </c>
      <c r="BQ77" s="212">
        <v>2.5</v>
      </c>
      <c r="BR77" s="212">
        <v>2.5</v>
      </c>
      <c r="BS77" s="212">
        <v>2.5</v>
      </c>
      <c r="BT77" s="212">
        <v>5</v>
      </c>
      <c r="BU77" s="212">
        <v>5</v>
      </c>
      <c r="BV77" s="212">
        <v>5</v>
      </c>
      <c r="BW77" s="212">
        <v>5</v>
      </c>
      <c r="BX77" s="212">
        <v>5</v>
      </c>
      <c r="BY77" s="212">
        <v>5</v>
      </c>
      <c r="BZ77" s="212">
        <v>5</v>
      </c>
      <c r="CA77" s="212">
        <v>5</v>
      </c>
      <c r="CB77" s="212">
        <v>5</v>
      </c>
      <c r="CC77" s="212">
        <v>5</v>
      </c>
      <c r="CD77" s="212">
        <v>5</v>
      </c>
      <c r="CE77" s="212">
        <v>5</v>
      </c>
      <c r="CF77" s="212">
        <v>5</v>
      </c>
      <c r="CG77" s="212">
        <v>5</v>
      </c>
      <c r="CH77" s="212">
        <v>5</v>
      </c>
      <c r="CI77" s="212">
        <v>5</v>
      </c>
      <c r="CJ77" s="212">
        <v>5</v>
      </c>
      <c r="CK77" s="212">
        <v>5</v>
      </c>
      <c r="CL77" s="212">
        <v>5</v>
      </c>
      <c r="CM77" s="212">
        <v>5</v>
      </c>
      <c r="CN77" s="212">
        <v>7.5</v>
      </c>
      <c r="CO77" s="212">
        <v>7.5</v>
      </c>
      <c r="CP77" s="212">
        <v>7.5</v>
      </c>
      <c r="CQ77" s="212">
        <v>7.5</v>
      </c>
      <c r="CR77" s="212">
        <v>7.5</v>
      </c>
      <c r="CS77" s="212">
        <v>7.5</v>
      </c>
      <c r="CT77" s="212">
        <v>7.5</v>
      </c>
      <c r="CU77" s="212">
        <v>7.5</v>
      </c>
      <c r="CV77" s="212">
        <v>7.5</v>
      </c>
      <c r="CW77" s="212">
        <v>7.5</v>
      </c>
      <c r="CX77" s="212">
        <v>7.5</v>
      </c>
      <c r="CY77" s="212">
        <v>7.5</v>
      </c>
      <c r="CZ77" s="212">
        <v>7.5</v>
      </c>
      <c r="DA77" s="212">
        <v>7.5</v>
      </c>
      <c r="DB77" s="212">
        <v>7.5</v>
      </c>
      <c r="DC77" s="212">
        <v>7.5</v>
      </c>
      <c r="DD77" s="212">
        <v>7.5</v>
      </c>
      <c r="DE77" s="212">
        <v>7.5</v>
      </c>
      <c r="DF77" s="212">
        <v>7.5</v>
      </c>
      <c r="DG77" s="212">
        <v>7.5</v>
      </c>
      <c r="DH77" s="212">
        <v>10</v>
      </c>
      <c r="DI77" s="212">
        <v>10</v>
      </c>
      <c r="DJ77" s="212">
        <v>10</v>
      </c>
      <c r="DK77" s="212">
        <v>10</v>
      </c>
      <c r="DL77" s="212">
        <v>10</v>
      </c>
      <c r="DM77" s="212">
        <v>10</v>
      </c>
      <c r="DN77" s="212">
        <v>10</v>
      </c>
      <c r="DO77" s="212">
        <v>10</v>
      </c>
      <c r="DP77" s="212">
        <v>10</v>
      </c>
      <c r="DQ77" s="212">
        <v>10</v>
      </c>
      <c r="DR77" s="212">
        <v>10</v>
      </c>
    </row>
    <row r="78" spans="1:122" ht="22.5" customHeight="1" x14ac:dyDescent="0.45">
      <c r="A78" s="211">
        <v>24</v>
      </c>
      <c r="B78" s="212">
        <v>-2.5</v>
      </c>
      <c r="C78" s="212">
        <v>-2.5</v>
      </c>
      <c r="D78" s="212">
        <v>-2.5</v>
      </c>
      <c r="E78" s="212">
        <v>-2.5</v>
      </c>
      <c r="F78" s="212">
        <v>-2.5</v>
      </c>
      <c r="G78" s="212">
        <v>-2.5</v>
      </c>
      <c r="H78" s="212">
        <v>-2.5</v>
      </c>
      <c r="I78" s="212">
        <v>-2.5</v>
      </c>
      <c r="J78" s="212">
        <v>-2.5</v>
      </c>
      <c r="K78" s="212">
        <v>-2.5</v>
      </c>
      <c r="L78" s="212">
        <v>-2.5</v>
      </c>
      <c r="M78" s="212">
        <v>-2.5</v>
      </c>
      <c r="N78" s="212">
        <v>-2.5</v>
      </c>
      <c r="O78" s="212">
        <v>-2.5</v>
      </c>
      <c r="P78" s="212">
        <v>-2.5</v>
      </c>
      <c r="Q78" s="212">
        <v>-2.5</v>
      </c>
      <c r="R78" s="212">
        <v>-2.5</v>
      </c>
      <c r="S78" s="212">
        <v>-2.5</v>
      </c>
      <c r="T78" s="212">
        <v>-2.5</v>
      </c>
      <c r="U78" s="212">
        <v>-2.5</v>
      </c>
      <c r="V78" s="212">
        <v>-2.5</v>
      </c>
      <c r="W78" s="212">
        <v>-2.5</v>
      </c>
      <c r="X78" s="212">
        <v>-2.5</v>
      </c>
      <c r="Y78" s="212">
        <v>0</v>
      </c>
      <c r="Z78" s="212">
        <v>0</v>
      </c>
      <c r="AA78" s="212">
        <v>0</v>
      </c>
      <c r="AB78" s="212">
        <v>0</v>
      </c>
      <c r="AC78" s="212">
        <v>0</v>
      </c>
      <c r="AD78" s="212">
        <v>0</v>
      </c>
      <c r="AE78" s="212">
        <v>0</v>
      </c>
      <c r="AF78" s="212">
        <v>0</v>
      </c>
      <c r="AG78" s="212">
        <v>0</v>
      </c>
      <c r="AH78" s="212">
        <v>0</v>
      </c>
      <c r="AI78" s="212">
        <v>0</v>
      </c>
      <c r="AJ78" s="212">
        <v>0</v>
      </c>
      <c r="AK78" s="212">
        <v>0</v>
      </c>
      <c r="AL78" s="212">
        <v>0</v>
      </c>
      <c r="AM78" s="212">
        <v>0</v>
      </c>
      <c r="AN78" s="212">
        <v>0</v>
      </c>
      <c r="AO78" s="212">
        <v>0</v>
      </c>
      <c r="AP78" s="212">
        <v>0</v>
      </c>
      <c r="AQ78" s="212">
        <v>0</v>
      </c>
      <c r="AR78" s="212">
        <v>0</v>
      </c>
      <c r="AS78" s="212">
        <v>0</v>
      </c>
      <c r="AT78" s="212">
        <v>0</v>
      </c>
      <c r="AU78" s="212">
        <v>0</v>
      </c>
      <c r="AV78" s="212">
        <v>0</v>
      </c>
      <c r="AW78" s="212">
        <v>0</v>
      </c>
      <c r="AX78" s="212">
        <v>0</v>
      </c>
      <c r="AY78" s="212">
        <v>2.5</v>
      </c>
      <c r="AZ78" s="212">
        <v>2.5</v>
      </c>
      <c r="BA78" s="212">
        <v>2.5</v>
      </c>
      <c r="BB78" s="212">
        <v>2.5</v>
      </c>
      <c r="BC78" s="212">
        <v>2.5</v>
      </c>
      <c r="BD78" s="212">
        <v>2.5</v>
      </c>
      <c r="BE78" s="212">
        <v>2.5</v>
      </c>
      <c r="BF78" s="212">
        <v>2.5</v>
      </c>
      <c r="BG78" s="212">
        <v>2.5</v>
      </c>
      <c r="BH78" s="212">
        <v>2.5</v>
      </c>
      <c r="BI78" s="212">
        <v>2.5</v>
      </c>
      <c r="BJ78" s="212">
        <v>2.5</v>
      </c>
      <c r="BK78" s="212">
        <v>2.5</v>
      </c>
      <c r="BL78" s="212">
        <v>2.5</v>
      </c>
      <c r="BM78" s="212">
        <v>2.5</v>
      </c>
      <c r="BN78" s="212">
        <v>2.5</v>
      </c>
      <c r="BO78" s="212">
        <v>2.5</v>
      </c>
      <c r="BP78" s="212">
        <v>2.5</v>
      </c>
      <c r="BQ78" s="212">
        <v>2.5</v>
      </c>
      <c r="BR78" s="212">
        <v>2.5</v>
      </c>
      <c r="BS78" s="212">
        <v>2.5</v>
      </c>
      <c r="BT78" s="212">
        <v>2.5</v>
      </c>
      <c r="BU78" s="212">
        <v>2.5</v>
      </c>
      <c r="BV78" s="212">
        <v>5</v>
      </c>
      <c r="BW78" s="212">
        <v>5</v>
      </c>
      <c r="BX78" s="212">
        <v>5</v>
      </c>
      <c r="BY78" s="212">
        <v>5</v>
      </c>
      <c r="BZ78" s="212">
        <v>5</v>
      </c>
      <c r="CA78" s="212">
        <v>5</v>
      </c>
      <c r="CB78" s="212">
        <v>5</v>
      </c>
      <c r="CC78" s="212">
        <v>5</v>
      </c>
      <c r="CD78" s="212">
        <v>5</v>
      </c>
      <c r="CE78" s="212">
        <v>5</v>
      </c>
      <c r="CF78" s="212">
        <v>5</v>
      </c>
      <c r="CG78" s="212">
        <v>5</v>
      </c>
      <c r="CH78" s="212">
        <v>5</v>
      </c>
      <c r="CI78" s="212">
        <v>5</v>
      </c>
      <c r="CJ78" s="212">
        <v>5</v>
      </c>
      <c r="CK78" s="212">
        <v>5</v>
      </c>
      <c r="CL78" s="212">
        <v>5</v>
      </c>
      <c r="CM78" s="212">
        <v>5</v>
      </c>
      <c r="CN78" s="212">
        <v>5</v>
      </c>
      <c r="CO78" s="212">
        <v>5</v>
      </c>
      <c r="CP78" s="212">
        <v>7.5</v>
      </c>
      <c r="CQ78" s="212">
        <v>7.5</v>
      </c>
      <c r="CR78" s="212">
        <v>7.5</v>
      </c>
      <c r="CS78" s="212">
        <v>7.5</v>
      </c>
      <c r="CT78" s="212">
        <v>7.5</v>
      </c>
      <c r="CU78" s="212">
        <v>7.5</v>
      </c>
      <c r="CV78" s="212">
        <v>7.5</v>
      </c>
      <c r="CW78" s="212">
        <v>7.5</v>
      </c>
      <c r="CX78" s="212">
        <v>7.5</v>
      </c>
      <c r="CY78" s="212">
        <v>7.5</v>
      </c>
      <c r="CZ78" s="212">
        <v>7.5</v>
      </c>
      <c r="DA78" s="212">
        <v>7.5</v>
      </c>
      <c r="DB78" s="212">
        <v>7.5</v>
      </c>
      <c r="DC78" s="212">
        <v>7.5</v>
      </c>
      <c r="DD78" s="212">
        <v>7.5</v>
      </c>
      <c r="DE78" s="212">
        <v>7.5</v>
      </c>
      <c r="DF78" s="212">
        <v>7.5</v>
      </c>
      <c r="DG78" s="212">
        <v>7.5</v>
      </c>
      <c r="DH78" s="212">
        <v>7.5</v>
      </c>
      <c r="DI78" s="212">
        <v>7.5</v>
      </c>
      <c r="DJ78" s="212">
        <v>10</v>
      </c>
      <c r="DK78" s="212">
        <v>10</v>
      </c>
      <c r="DL78" s="212">
        <v>10</v>
      </c>
      <c r="DM78" s="212">
        <v>10</v>
      </c>
      <c r="DN78" s="212">
        <v>10</v>
      </c>
      <c r="DO78" s="212">
        <v>10</v>
      </c>
      <c r="DP78" s="212">
        <v>10</v>
      </c>
      <c r="DQ78" s="212">
        <v>10</v>
      </c>
      <c r="DR78" s="212">
        <v>10</v>
      </c>
    </row>
    <row r="79" spans="1:122" ht="22.5" customHeight="1" x14ac:dyDescent="0.45">
      <c r="A79" s="211">
        <v>23</v>
      </c>
      <c r="B79" s="212">
        <v>-2.5</v>
      </c>
      <c r="C79" s="212">
        <v>-2.5</v>
      </c>
      <c r="D79" s="212">
        <v>-2.5</v>
      </c>
      <c r="E79" s="212">
        <v>-2.5</v>
      </c>
      <c r="F79" s="212">
        <v>-2.5</v>
      </c>
      <c r="G79" s="212">
        <v>-2.5</v>
      </c>
      <c r="H79" s="212">
        <v>-2.5</v>
      </c>
      <c r="I79" s="212">
        <v>-2.5</v>
      </c>
      <c r="J79" s="212">
        <v>-2.5</v>
      </c>
      <c r="K79" s="212">
        <v>-2.5</v>
      </c>
      <c r="L79" s="212">
        <v>-2.5</v>
      </c>
      <c r="M79" s="212">
        <v>-2.5</v>
      </c>
      <c r="N79" s="212">
        <v>-2.5</v>
      </c>
      <c r="O79" s="212">
        <v>-2.5</v>
      </c>
      <c r="P79" s="212">
        <v>-2.5</v>
      </c>
      <c r="Q79" s="212">
        <v>-2.5</v>
      </c>
      <c r="R79" s="212">
        <v>-2.5</v>
      </c>
      <c r="S79" s="212">
        <v>-2.5</v>
      </c>
      <c r="T79" s="212">
        <v>-2.5</v>
      </c>
      <c r="U79" s="212">
        <v>-2.5</v>
      </c>
      <c r="V79" s="212">
        <v>-2.5</v>
      </c>
      <c r="W79" s="212">
        <v>-2.5</v>
      </c>
      <c r="X79" s="212">
        <v>-2.5</v>
      </c>
      <c r="Y79" s="212">
        <v>-2.5</v>
      </c>
      <c r="Z79" s="212">
        <v>0</v>
      </c>
      <c r="AA79" s="212">
        <v>0</v>
      </c>
      <c r="AB79" s="212">
        <v>0</v>
      </c>
      <c r="AC79" s="212">
        <v>0</v>
      </c>
      <c r="AD79" s="212">
        <v>0</v>
      </c>
      <c r="AE79" s="212">
        <v>0</v>
      </c>
      <c r="AF79" s="212">
        <v>0</v>
      </c>
      <c r="AG79" s="212">
        <v>0</v>
      </c>
      <c r="AH79" s="212">
        <v>0</v>
      </c>
      <c r="AI79" s="212">
        <v>0</v>
      </c>
      <c r="AJ79" s="212">
        <v>0</v>
      </c>
      <c r="AK79" s="212">
        <v>0</v>
      </c>
      <c r="AL79" s="212">
        <v>0</v>
      </c>
      <c r="AM79" s="212">
        <v>0</v>
      </c>
      <c r="AN79" s="212">
        <v>0</v>
      </c>
      <c r="AO79" s="212">
        <v>0</v>
      </c>
      <c r="AP79" s="212">
        <v>0</v>
      </c>
      <c r="AQ79" s="212">
        <v>0</v>
      </c>
      <c r="AR79" s="212">
        <v>0</v>
      </c>
      <c r="AS79" s="212">
        <v>0</v>
      </c>
      <c r="AT79" s="212">
        <v>0</v>
      </c>
      <c r="AU79" s="212">
        <v>0</v>
      </c>
      <c r="AV79" s="212">
        <v>0</v>
      </c>
      <c r="AW79" s="212">
        <v>0</v>
      </c>
      <c r="AX79" s="212">
        <v>0</v>
      </c>
      <c r="AY79" s="212">
        <v>0</v>
      </c>
      <c r="AZ79" s="212">
        <v>0</v>
      </c>
      <c r="BA79" s="212">
        <v>2.5</v>
      </c>
      <c r="BB79" s="212">
        <v>2.5</v>
      </c>
      <c r="BC79" s="212">
        <v>2.5</v>
      </c>
      <c r="BD79" s="212">
        <v>2.5</v>
      </c>
      <c r="BE79" s="212">
        <v>2.5</v>
      </c>
      <c r="BF79" s="212">
        <v>2.5</v>
      </c>
      <c r="BG79" s="212">
        <v>2.5</v>
      </c>
      <c r="BH79" s="212">
        <v>2.5</v>
      </c>
      <c r="BI79" s="212">
        <v>2.5</v>
      </c>
      <c r="BJ79" s="212">
        <v>2.5</v>
      </c>
      <c r="BK79" s="212">
        <v>2.5</v>
      </c>
      <c r="BL79" s="212">
        <v>2.5</v>
      </c>
      <c r="BM79" s="212">
        <v>2.5</v>
      </c>
      <c r="BN79" s="212">
        <v>2.5</v>
      </c>
      <c r="BO79" s="212">
        <v>2.5</v>
      </c>
      <c r="BP79" s="212">
        <v>2.5</v>
      </c>
      <c r="BQ79" s="212">
        <v>2.5</v>
      </c>
      <c r="BR79" s="212">
        <v>2.5</v>
      </c>
      <c r="BS79" s="212">
        <v>2.5</v>
      </c>
      <c r="BT79" s="212">
        <v>2.5</v>
      </c>
      <c r="BU79" s="212">
        <v>2.5</v>
      </c>
      <c r="BV79" s="212">
        <v>2.5</v>
      </c>
      <c r="BW79" s="212">
        <v>2.5</v>
      </c>
      <c r="BX79" s="212">
        <v>5</v>
      </c>
      <c r="BY79" s="212">
        <v>5</v>
      </c>
      <c r="BZ79" s="212">
        <v>5</v>
      </c>
      <c r="CA79" s="212">
        <v>5</v>
      </c>
      <c r="CB79" s="212">
        <v>5</v>
      </c>
      <c r="CC79" s="212">
        <v>5</v>
      </c>
      <c r="CD79" s="212">
        <v>5</v>
      </c>
      <c r="CE79" s="212">
        <v>5</v>
      </c>
      <c r="CF79" s="212">
        <v>5</v>
      </c>
      <c r="CG79" s="212">
        <v>5</v>
      </c>
      <c r="CH79" s="212">
        <v>5</v>
      </c>
      <c r="CI79" s="212">
        <v>5</v>
      </c>
      <c r="CJ79" s="212">
        <v>5</v>
      </c>
      <c r="CK79" s="212">
        <v>5</v>
      </c>
      <c r="CL79" s="212">
        <v>5</v>
      </c>
      <c r="CM79" s="212">
        <v>5</v>
      </c>
      <c r="CN79" s="212">
        <v>5</v>
      </c>
      <c r="CO79" s="212">
        <v>5</v>
      </c>
      <c r="CP79" s="212">
        <v>5</v>
      </c>
      <c r="CQ79" s="212">
        <v>5</v>
      </c>
      <c r="CR79" s="212">
        <v>7.5</v>
      </c>
      <c r="CS79" s="212">
        <v>7.5</v>
      </c>
      <c r="CT79" s="212">
        <v>7.5</v>
      </c>
      <c r="CU79" s="212">
        <v>7.5</v>
      </c>
      <c r="CV79" s="212">
        <v>7.5</v>
      </c>
      <c r="CW79" s="212">
        <v>7.5</v>
      </c>
      <c r="CX79" s="212">
        <v>7.5</v>
      </c>
      <c r="CY79" s="212">
        <v>7.5</v>
      </c>
      <c r="CZ79" s="212">
        <v>7.5</v>
      </c>
      <c r="DA79" s="212">
        <v>7.5</v>
      </c>
      <c r="DB79" s="212">
        <v>7.5</v>
      </c>
      <c r="DC79" s="212">
        <v>7.5</v>
      </c>
      <c r="DD79" s="212">
        <v>7.5</v>
      </c>
      <c r="DE79" s="212">
        <v>7.5</v>
      </c>
      <c r="DF79" s="212">
        <v>7.5</v>
      </c>
      <c r="DG79" s="212">
        <v>7.5</v>
      </c>
      <c r="DH79" s="212">
        <v>7.5</v>
      </c>
      <c r="DI79" s="212">
        <v>7.5</v>
      </c>
      <c r="DJ79" s="212">
        <v>7.5</v>
      </c>
      <c r="DK79" s="212">
        <v>7.5</v>
      </c>
      <c r="DL79" s="212">
        <v>10</v>
      </c>
      <c r="DM79" s="212">
        <v>10</v>
      </c>
      <c r="DN79" s="212">
        <v>10</v>
      </c>
      <c r="DO79" s="212">
        <v>10</v>
      </c>
      <c r="DP79" s="212">
        <v>10</v>
      </c>
      <c r="DQ79" s="212">
        <v>10</v>
      </c>
      <c r="DR79" s="212">
        <v>10</v>
      </c>
    </row>
    <row r="80" spans="1:122" ht="22.5" customHeight="1" x14ac:dyDescent="0.45">
      <c r="A80" s="211">
        <v>22</v>
      </c>
      <c r="B80" s="212">
        <v>-2.5</v>
      </c>
      <c r="C80" s="212">
        <v>-2.5</v>
      </c>
      <c r="D80" s="212">
        <v>-2.5</v>
      </c>
      <c r="E80" s="212">
        <v>-2.5</v>
      </c>
      <c r="F80" s="212">
        <v>-2.5</v>
      </c>
      <c r="G80" s="212">
        <v>-2.5</v>
      </c>
      <c r="H80" s="212">
        <v>-2.5</v>
      </c>
      <c r="I80" s="212">
        <v>-2.5</v>
      </c>
      <c r="J80" s="212">
        <v>-2.5</v>
      </c>
      <c r="K80" s="212">
        <v>-2.5</v>
      </c>
      <c r="L80" s="212">
        <v>-2.5</v>
      </c>
      <c r="M80" s="212">
        <v>-2.5</v>
      </c>
      <c r="N80" s="212">
        <v>-2.5</v>
      </c>
      <c r="O80" s="212">
        <v>-2.5</v>
      </c>
      <c r="P80" s="212">
        <v>-2.5</v>
      </c>
      <c r="Q80" s="212">
        <v>-2.5</v>
      </c>
      <c r="R80" s="212">
        <v>-2.5</v>
      </c>
      <c r="S80" s="212">
        <v>-2.5</v>
      </c>
      <c r="T80" s="212">
        <v>-2.5</v>
      </c>
      <c r="U80" s="212">
        <v>-2.5</v>
      </c>
      <c r="V80" s="212">
        <v>-2.5</v>
      </c>
      <c r="W80" s="212">
        <v>-2.5</v>
      </c>
      <c r="X80" s="212">
        <v>-2.5</v>
      </c>
      <c r="Y80" s="212">
        <v>-2.5</v>
      </c>
      <c r="Z80" s="212">
        <v>0</v>
      </c>
      <c r="AA80" s="212">
        <v>0</v>
      </c>
      <c r="AB80" s="212">
        <v>0</v>
      </c>
      <c r="AC80" s="212">
        <v>0</v>
      </c>
      <c r="AD80" s="212">
        <v>0</v>
      </c>
      <c r="AE80" s="212">
        <v>0</v>
      </c>
      <c r="AF80" s="212">
        <v>0</v>
      </c>
      <c r="AG80" s="212">
        <v>0</v>
      </c>
      <c r="AH80" s="212">
        <v>0</v>
      </c>
      <c r="AI80" s="212">
        <v>0</v>
      </c>
      <c r="AJ80" s="212">
        <v>0</v>
      </c>
      <c r="AK80" s="212">
        <v>0</v>
      </c>
      <c r="AL80" s="212">
        <v>0</v>
      </c>
      <c r="AM80" s="212">
        <v>0</v>
      </c>
      <c r="AN80" s="212">
        <v>0</v>
      </c>
      <c r="AO80" s="212">
        <v>0</v>
      </c>
      <c r="AP80" s="212">
        <v>0</v>
      </c>
      <c r="AQ80" s="212">
        <v>0</v>
      </c>
      <c r="AR80" s="212">
        <v>0</v>
      </c>
      <c r="AS80" s="212">
        <v>0</v>
      </c>
      <c r="AT80" s="212">
        <v>0</v>
      </c>
      <c r="AU80" s="212">
        <v>0</v>
      </c>
      <c r="AV80" s="212">
        <v>0</v>
      </c>
      <c r="AW80" s="212">
        <v>0</v>
      </c>
      <c r="AX80" s="212">
        <v>0</v>
      </c>
      <c r="AY80" s="212">
        <v>0</v>
      </c>
      <c r="AZ80" s="212">
        <v>0</v>
      </c>
      <c r="BA80" s="212">
        <v>0</v>
      </c>
      <c r="BB80" s="212">
        <v>0</v>
      </c>
      <c r="BC80" s="212">
        <v>0</v>
      </c>
      <c r="BD80" s="212">
        <v>2.5</v>
      </c>
      <c r="BE80" s="212">
        <v>2.5</v>
      </c>
      <c r="BF80" s="212">
        <v>2.5</v>
      </c>
      <c r="BG80" s="212">
        <v>2.5</v>
      </c>
      <c r="BH80" s="212">
        <v>2.5</v>
      </c>
      <c r="BI80" s="212">
        <v>2.5</v>
      </c>
      <c r="BJ80" s="212">
        <v>2.5</v>
      </c>
      <c r="BK80" s="212">
        <v>2.5</v>
      </c>
      <c r="BL80" s="212">
        <v>2.5</v>
      </c>
      <c r="BM80" s="212">
        <v>2.5</v>
      </c>
      <c r="BN80" s="212">
        <v>2.5</v>
      </c>
      <c r="BO80" s="212">
        <v>2.5</v>
      </c>
      <c r="BP80" s="212">
        <v>2.5</v>
      </c>
      <c r="BQ80" s="212">
        <v>2.5</v>
      </c>
      <c r="BR80" s="212">
        <v>2.5</v>
      </c>
      <c r="BS80" s="212">
        <v>2.5</v>
      </c>
      <c r="BT80" s="212">
        <v>2.5</v>
      </c>
      <c r="BU80" s="212">
        <v>2.5</v>
      </c>
      <c r="BV80" s="212">
        <v>2.5</v>
      </c>
      <c r="BW80" s="212">
        <v>2.5</v>
      </c>
      <c r="BX80" s="212">
        <v>2.5</v>
      </c>
      <c r="BY80" s="212">
        <v>2.5</v>
      </c>
      <c r="BZ80" s="212">
        <v>5</v>
      </c>
      <c r="CA80" s="212">
        <v>5</v>
      </c>
      <c r="CB80" s="212">
        <v>5</v>
      </c>
      <c r="CC80" s="212">
        <v>5</v>
      </c>
      <c r="CD80" s="212">
        <v>5</v>
      </c>
      <c r="CE80" s="212">
        <v>5</v>
      </c>
      <c r="CF80" s="212">
        <v>5</v>
      </c>
      <c r="CG80" s="212">
        <v>5</v>
      </c>
      <c r="CH80" s="212">
        <v>5</v>
      </c>
      <c r="CI80" s="212">
        <v>5</v>
      </c>
      <c r="CJ80" s="212">
        <v>5</v>
      </c>
      <c r="CK80" s="212">
        <v>5</v>
      </c>
      <c r="CL80" s="212">
        <v>5</v>
      </c>
      <c r="CM80" s="212">
        <v>5</v>
      </c>
      <c r="CN80" s="212">
        <v>5</v>
      </c>
      <c r="CO80" s="212">
        <v>5</v>
      </c>
      <c r="CP80" s="212">
        <v>5</v>
      </c>
      <c r="CQ80" s="212">
        <v>5</v>
      </c>
      <c r="CR80" s="212">
        <v>5</v>
      </c>
      <c r="CS80" s="212">
        <v>5</v>
      </c>
      <c r="CT80" s="212">
        <v>7.5</v>
      </c>
      <c r="CU80" s="212">
        <v>7.5</v>
      </c>
      <c r="CV80" s="212">
        <v>7.5</v>
      </c>
      <c r="CW80" s="212">
        <v>7.5</v>
      </c>
      <c r="CX80" s="212">
        <v>7.5</v>
      </c>
      <c r="CY80" s="212">
        <v>7.5</v>
      </c>
      <c r="CZ80" s="212">
        <v>7.5</v>
      </c>
      <c r="DA80" s="212">
        <v>7.5</v>
      </c>
      <c r="DB80" s="212">
        <v>7.5</v>
      </c>
      <c r="DC80" s="212">
        <v>7.5</v>
      </c>
      <c r="DD80" s="212">
        <v>7.5</v>
      </c>
      <c r="DE80" s="212">
        <v>7.5</v>
      </c>
      <c r="DF80" s="212">
        <v>7.5</v>
      </c>
      <c r="DG80" s="212">
        <v>7.5</v>
      </c>
      <c r="DH80" s="212">
        <v>7.5</v>
      </c>
      <c r="DI80" s="212">
        <v>7.5</v>
      </c>
      <c r="DJ80" s="212">
        <v>7.5</v>
      </c>
      <c r="DK80" s="212">
        <v>7.5</v>
      </c>
      <c r="DL80" s="212">
        <v>7.5</v>
      </c>
      <c r="DM80" s="212">
        <v>7.5</v>
      </c>
      <c r="DN80" s="212">
        <v>10</v>
      </c>
      <c r="DO80" s="212">
        <v>10</v>
      </c>
      <c r="DP80" s="212">
        <v>10</v>
      </c>
      <c r="DQ80" s="212">
        <v>10</v>
      </c>
      <c r="DR80" s="212">
        <v>10</v>
      </c>
    </row>
    <row r="81" spans="1:122" ht="22.5" customHeight="1" x14ac:dyDescent="0.45">
      <c r="A81" s="211">
        <v>21</v>
      </c>
      <c r="B81" s="212">
        <v>-2.5</v>
      </c>
      <c r="C81" s="212">
        <v>-2.5</v>
      </c>
      <c r="D81" s="212">
        <v>-2.5</v>
      </c>
      <c r="E81" s="212">
        <v>-2.5</v>
      </c>
      <c r="F81" s="212">
        <v>-2.5</v>
      </c>
      <c r="G81" s="212">
        <v>-2.5</v>
      </c>
      <c r="H81" s="212">
        <v>-2.5</v>
      </c>
      <c r="I81" s="212">
        <v>-2.5</v>
      </c>
      <c r="J81" s="212">
        <v>-2.5</v>
      </c>
      <c r="K81" s="212">
        <v>-2.5</v>
      </c>
      <c r="L81" s="212">
        <v>-2.5</v>
      </c>
      <c r="M81" s="212">
        <v>-2.5</v>
      </c>
      <c r="N81" s="212">
        <v>-2.5</v>
      </c>
      <c r="O81" s="212">
        <v>-2.5</v>
      </c>
      <c r="P81" s="212">
        <v>-2.5</v>
      </c>
      <c r="Q81" s="212">
        <v>-2.5</v>
      </c>
      <c r="R81" s="212">
        <v>-2.5</v>
      </c>
      <c r="S81" s="212">
        <v>-2.5</v>
      </c>
      <c r="T81" s="212">
        <v>-2.5</v>
      </c>
      <c r="U81" s="212">
        <v>-2.5</v>
      </c>
      <c r="V81" s="212">
        <v>-2.5</v>
      </c>
      <c r="W81" s="212">
        <v>-2.5</v>
      </c>
      <c r="X81" s="212">
        <v>-2.5</v>
      </c>
      <c r="Y81" s="212">
        <v>-2.5</v>
      </c>
      <c r="Z81" s="212">
        <v>-2.5</v>
      </c>
      <c r="AA81" s="212">
        <v>0</v>
      </c>
      <c r="AB81" s="212">
        <v>0</v>
      </c>
      <c r="AC81" s="212">
        <v>0</v>
      </c>
      <c r="AD81" s="212">
        <v>0</v>
      </c>
      <c r="AE81" s="212">
        <v>0</v>
      </c>
      <c r="AF81" s="212">
        <v>0</v>
      </c>
      <c r="AG81" s="212">
        <v>0</v>
      </c>
      <c r="AH81" s="212">
        <v>0</v>
      </c>
      <c r="AI81" s="212">
        <v>0</v>
      </c>
      <c r="AJ81" s="212">
        <v>0</v>
      </c>
      <c r="AK81" s="212">
        <v>0</v>
      </c>
      <c r="AL81" s="212">
        <v>0</v>
      </c>
      <c r="AM81" s="212">
        <v>0</v>
      </c>
      <c r="AN81" s="212">
        <v>0</v>
      </c>
      <c r="AO81" s="212">
        <v>0</v>
      </c>
      <c r="AP81" s="212">
        <v>0</v>
      </c>
      <c r="AQ81" s="212">
        <v>0</v>
      </c>
      <c r="AR81" s="212">
        <v>0</v>
      </c>
      <c r="AS81" s="212">
        <v>0</v>
      </c>
      <c r="AT81" s="212">
        <v>0</v>
      </c>
      <c r="AU81" s="212">
        <v>0</v>
      </c>
      <c r="AV81" s="212">
        <v>0</v>
      </c>
      <c r="AW81" s="212">
        <v>0</v>
      </c>
      <c r="AX81" s="212">
        <v>0</v>
      </c>
      <c r="AY81" s="212">
        <v>0</v>
      </c>
      <c r="AZ81" s="212">
        <v>0</v>
      </c>
      <c r="BA81" s="212">
        <v>0</v>
      </c>
      <c r="BB81" s="212">
        <v>0</v>
      </c>
      <c r="BC81" s="212">
        <v>0</v>
      </c>
      <c r="BD81" s="212">
        <v>0</v>
      </c>
      <c r="BE81" s="212">
        <v>0</v>
      </c>
      <c r="BF81" s="212">
        <v>0</v>
      </c>
      <c r="BG81" s="212">
        <v>2.5</v>
      </c>
      <c r="BH81" s="212">
        <v>2.5</v>
      </c>
      <c r="BI81" s="212">
        <v>2.5</v>
      </c>
      <c r="BJ81" s="212">
        <v>2.5</v>
      </c>
      <c r="BK81" s="212">
        <v>2.5</v>
      </c>
      <c r="BL81" s="212">
        <v>2.5</v>
      </c>
      <c r="BM81" s="212">
        <v>2.5</v>
      </c>
      <c r="BN81" s="212">
        <v>2.5</v>
      </c>
      <c r="BO81" s="212">
        <v>2.5</v>
      </c>
      <c r="BP81" s="212">
        <v>2.5</v>
      </c>
      <c r="BQ81" s="212">
        <v>2.5</v>
      </c>
      <c r="BR81" s="212">
        <v>2.5</v>
      </c>
      <c r="BS81" s="212">
        <v>2.5</v>
      </c>
      <c r="BT81" s="212">
        <v>2.5</v>
      </c>
      <c r="BU81" s="212">
        <v>2.5</v>
      </c>
      <c r="BV81" s="212">
        <v>2.5</v>
      </c>
      <c r="BW81" s="212">
        <v>2.5</v>
      </c>
      <c r="BX81" s="212">
        <v>2.5</v>
      </c>
      <c r="BY81" s="212">
        <v>2.5</v>
      </c>
      <c r="BZ81" s="212">
        <v>2.5</v>
      </c>
      <c r="CA81" s="212">
        <v>2.5</v>
      </c>
      <c r="CB81" s="212">
        <v>5</v>
      </c>
      <c r="CC81" s="212">
        <v>5</v>
      </c>
      <c r="CD81" s="212">
        <v>5</v>
      </c>
      <c r="CE81" s="212">
        <v>5</v>
      </c>
      <c r="CF81" s="212">
        <v>5</v>
      </c>
      <c r="CG81" s="212">
        <v>5</v>
      </c>
      <c r="CH81" s="212">
        <v>5</v>
      </c>
      <c r="CI81" s="212">
        <v>5</v>
      </c>
      <c r="CJ81" s="212">
        <v>5</v>
      </c>
      <c r="CK81" s="212">
        <v>5</v>
      </c>
      <c r="CL81" s="212">
        <v>5</v>
      </c>
      <c r="CM81" s="212">
        <v>5</v>
      </c>
      <c r="CN81" s="212">
        <v>5</v>
      </c>
      <c r="CO81" s="212">
        <v>5</v>
      </c>
      <c r="CP81" s="212">
        <v>5</v>
      </c>
      <c r="CQ81" s="212">
        <v>5</v>
      </c>
      <c r="CR81" s="212">
        <v>5</v>
      </c>
      <c r="CS81" s="212">
        <v>5</v>
      </c>
      <c r="CT81" s="212">
        <v>5</v>
      </c>
      <c r="CU81" s="212">
        <v>5</v>
      </c>
      <c r="CV81" s="212">
        <v>7.5</v>
      </c>
      <c r="CW81" s="212">
        <v>7.5</v>
      </c>
      <c r="CX81" s="212">
        <v>7.5</v>
      </c>
      <c r="CY81" s="212">
        <v>7.5</v>
      </c>
      <c r="CZ81" s="212">
        <v>7.5</v>
      </c>
      <c r="DA81" s="212">
        <v>7.5</v>
      </c>
      <c r="DB81" s="212">
        <v>7.5</v>
      </c>
      <c r="DC81" s="212">
        <v>7.5</v>
      </c>
      <c r="DD81" s="212">
        <v>7.5</v>
      </c>
      <c r="DE81" s="212">
        <v>7.5</v>
      </c>
      <c r="DF81" s="212">
        <v>7.5</v>
      </c>
      <c r="DG81" s="212">
        <v>7.5</v>
      </c>
      <c r="DH81" s="212">
        <v>7.5</v>
      </c>
      <c r="DI81" s="212">
        <v>7.5</v>
      </c>
      <c r="DJ81" s="212">
        <v>7.5</v>
      </c>
      <c r="DK81" s="212">
        <v>7.5</v>
      </c>
      <c r="DL81" s="212">
        <v>7.5</v>
      </c>
      <c r="DM81" s="212">
        <v>7.5</v>
      </c>
      <c r="DN81" s="212">
        <v>7.5</v>
      </c>
      <c r="DO81" s="212">
        <v>7.5</v>
      </c>
      <c r="DP81" s="212">
        <v>10</v>
      </c>
      <c r="DQ81" s="212">
        <v>10</v>
      </c>
      <c r="DR81" s="212">
        <v>10</v>
      </c>
    </row>
    <row r="82" spans="1:122" ht="22.5" customHeight="1" x14ac:dyDescent="0.65">
      <c r="A82" s="211">
        <v>20</v>
      </c>
      <c r="B82" s="213" t="s">
        <v>272</v>
      </c>
      <c r="C82" s="213" t="s">
        <v>272</v>
      </c>
      <c r="D82" s="213" t="s">
        <v>272</v>
      </c>
      <c r="E82" s="213" t="s">
        <v>272</v>
      </c>
      <c r="F82" s="213" t="s">
        <v>272</v>
      </c>
      <c r="G82" s="213" t="s">
        <v>272</v>
      </c>
      <c r="H82" s="213" t="s">
        <v>272</v>
      </c>
      <c r="I82" s="213" t="s">
        <v>272</v>
      </c>
      <c r="J82" s="213" t="s">
        <v>272</v>
      </c>
      <c r="K82" s="213" t="s">
        <v>272</v>
      </c>
      <c r="L82" s="213" t="s">
        <v>272</v>
      </c>
      <c r="M82" s="213" t="s">
        <v>272</v>
      </c>
      <c r="N82" s="213" t="s">
        <v>272</v>
      </c>
      <c r="O82" s="213" t="s">
        <v>272</v>
      </c>
      <c r="P82" s="213" t="s">
        <v>272</v>
      </c>
      <c r="Q82" s="213" t="s">
        <v>272</v>
      </c>
      <c r="R82" s="213" t="s">
        <v>272</v>
      </c>
      <c r="S82" s="213" t="s">
        <v>272</v>
      </c>
      <c r="T82" s="213" t="s">
        <v>272</v>
      </c>
      <c r="U82" s="213" t="s">
        <v>272</v>
      </c>
      <c r="V82" s="213" t="s">
        <v>272</v>
      </c>
      <c r="W82" s="213" t="s">
        <v>272</v>
      </c>
      <c r="X82" s="213" t="s">
        <v>272</v>
      </c>
      <c r="Y82" s="213" t="s">
        <v>272</v>
      </c>
      <c r="Z82" s="213" t="s">
        <v>272</v>
      </c>
      <c r="AA82" s="213" t="s">
        <v>272</v>
      </c>
      <c r="AB82" s="213" t="s">
        <v>272</v>
      </c>
      <c r="AC82" s="213" t="s">
        <v>272</v>
      </c>
      <c r="AD82" s="213" t="s">
        <v>272</v>
      </c>
      <c r="AE82" s="213" t="s">
        <v>272</v>
      </c>
      <c r="AF82" s="213" t="s">
        <v>272</v>
      </c>
      <c r="AG82" s="213" t="s">
        <v>272</v>
      </c>
      <c r="AH82" s="213" t="s">
        <v>272</v>
      </c>
      <c r="AI82" s="213" t="s">
        <v>272</v>
      </c>
      <c r="AJ82" s="213" t="s">
        <v>272</v>
      </c>
      <c r="AK82" s="213" t="s">
        <v>272</v>
      </c>
      <c r="AL82" s="213" t="s">
        <v>272</v>
      </c>
      <c r="AM82" s="213" t="s">
        <v>272</v>
      </c>
      <c r="AN82" s="213" t="s">
        <v>272</v>
      </c>
      <c r="AO82" s="213" t="s">
        <v>272</v>
      </c>
      <c r="AP82" s="213" t="s">
        <v>272</v>
      </c>
      <c r="AQ82" s="212">
        <v>0</v>
      </c>
      <c r="AR82" s="212">
        <v>0</v>
      </c>
      <c r="AS82" s="212">
        <v>0</v>
      </c>
      <c r="AT82" s="212">
        <v>0</v>
      </c>
      <c r="AU82" s="212">
        <v>0</v>
      </c>
      <c r="AV82" s="212">
        <v>0</v>
      </c>
      <c r="AW82" s="212">
        <v>0</v>
      </c>
      <c r="AX82" s="212">
        <v>0</v>
      </c>
      <c r="AY82" s="212">
        <v>0</v>
      </c>
      <c r="AZ82" s="212">
        <v>0</v>
      </c>
      <c r="BA82" s="212">
        <v>0</v>
      </c>
      <c r="BB82" s="212">
        <v>0</v>
      </c>
      <c r="BC82" s="212">
        <v>0</v>
      </c>
      <c r="BD82" s="212">
        <v>0</v>
      </c>
      <c r="BE82" s="212">
        <v>0</v>
      </c>
      <c r="BF82" s="212">
        <v>0</v>
      </c>
      <c r="BG82" s="212">
        <v>0</v>
      </c>
      <c r="BH82" s="212">
        <v>2.5</v>
      </c>
      <c r="BI82" s="212">
        <v>2.5</v>
      </c>
      <c r="BJ82" s="212">
        <v>2.5</v>
      </c>
      <c r="BK82" s="212">
        <v>2.5</v>
      </c>
      <c r="BL82" s="212">
        <v>2.5</v>
      </c>
      <c r="BM82" s="212">
        <v>2.5</v>
      </c>
      <c r="BN82" s="212">
        <v>2.5</v>
      </c>
      <c r="BO82" s="212">
        <v>2.5</v>
      </c>
      <c r="BP82" s="212">
        <v>2.5</v>
      </c>
      <c r="BQ82" s="212">
        <v>2.5</v>
      </c>
      <c r="BR82" s="212">
        <v>2.5</v>
      </c>
      <c r="BS82" s="212">
        <v>2.5</v>
      </c>
      <c r="BT82" s="212">
        <v>2.5</v>
      </c>
      <c r="BU82" s="212">
        <v>2.5</v>
      </c>
      <c r="BV82" s="212">
        <v>2.5</v>
      </c>
      <c r="BW82" s="212">
        <v>2.5</v>
      </c>
      <c r="BX82" s="212">
        <v>2.5</v>
      </c>
      <c r="BY82" s="212">
        <v>2.5</v>
      </c>
      <c r="BZ82" s="212">
        <v>2.5</v>
      </c>
      <c r="CA82" s="212">
        <v>2.5</v>
      </c>
      <c r="CB82" s="212">
        <v>2.5</v>
      </c>
      <c r="CC82" s="212">
        <v>2.5</v>
      </c>
      <c r="CD82" s="212">
        <v>5</v>
      </c>
      <c r="CE82" s="212">
        <v>5</v>
      </c>
      <c r="CF82" s="212">
        <v>5</v>
      </c>
      <c r="CG82" s="212">
        <v>5</v>
      </c>
      <c r="CH82" s="212">
        <v>5</v>
      </c>
      <c r="CI82" s="212">
        <v>5</v>
      </c>
      <c r="CJ82" s="212">
        <v>5</v>
      </c>
      <c r="CK82" s="212">
        <v>5</v>
      </c>
      <c r="CL82" s="212">
        <v>5</v>
      </c>
      <c r="CM82" s="212">
        <v>5</v>
      </c>
      <c r="CN82" s="212">
        <v>5</v>
      </c>
      <c r="CO82" s="212">
        <v>5</v>
      </c>
      <c r="CP82" s="212">
        <v>5</v>
      </c>
      <c r="CQ82" s="212">
        <v>5</v>
      </c>
      <c r="CR82" s="212">
        <v>5</v>
      </c>
      <c r="CS82" s="212">
        <v>5</v>
      </c>
      <c r="CT82" s="212">
        <v>5</v>
      </c>
      <c r="CU82" s="212">
        <v>5</v>
      </c>
      <c r="CV82" s="212">
        <v>5</v>
      </c>
      <c r="CW82" s="212">
        <v>5</v>
      </c>
      <c r="CX82" s="212">
        <v>7.5</v>
      </c>
      <c r="CY82" s="212">
        <v>7.5</v>
      </c>
      <c r="CZ82" s="212">
        <v>7.5</v>
      </c>
      <c r="DA82" s="212">
        <v>7.5</v>
      </c>
      <c r="DB82" s="212">
        <v>7.5</v>
      </c>
      <c r="DC82" s="212">
        <v>7.5</v>
      </c>
      <c r="DD82" s="212">
        <v>7.5</v>
      </c>
      <c r="DE82" s="212">
        <v>7.5</v>
      </c>
      <c r="DF82" s="212">
        <v>7.5</v>
      </c>
      <c r="DG82" s="212">
        <v>7.5</v>
      </c>
      <c r="DH82" s="212">
        <v>7.5</v>
      </c>
      <c r="DI82" s="212">
        <v>7.5</v>
      </c>
      <c r="DJ82" s="212">
        <v>7.5</v>
      </c>
      <c r="DK82" s="212">
        <v>7.5</v>
      </c>
      <c r="DL82" s="212">
        <v>7.5</v>
      </c>
      <c r="DM82" s="212">
        <v>7.5</v>
      </c>
      <c r="DN82" s="212">
        <v>7.5</v>
      </c>
      <c r="DO82" s="212">
        <v>7.5</v>
      </c>
      <c r="DP82" s="212">
        <v>7.5</v>
      </c>
      <c r="DQ82" s="212">
        <v>7.5</v>
      </c>
      <c r="DR82" s="212">
        <v>10</v>
      </c>
    </row>
    <row r="83" spans="1:122" ht="22.5" customHeight="1" x14ac:dyDescent="0.65">
      <c r="A83" s="211">
        <v>19</v>
      </c>
      <c r="B83" s="212">
        <v>-2.5</v>
      </c>
      <c r="C83" s="212">
        <v>-2.5</v>
      </c>
      <c r="D83" s="212">
        <v>-2.5</v>
      </c>
      <c r="E83" s="212">
        <v>-2.5</v>
      </c>
      <c r="F83" s="212">
        <v>-5</v>
      </c>
      <c r="G83" s="212">
        <v>-5</v>
      </c>
      <c r="H83" s="212">
        <v>-5</v>
      </c>
      <c r="I83" s="212">
        <v>-5</v>
      </c>
      <c r="J83" s="212">
        <v>-5</v>
      </c>
      <c r="K83" s="212">
        <v>-5</v>
      </c>
      <c r="L83" s="212">
        <v>-5</v>
      </c>
      <c r="M83" s="212">
        <v>-5</v>
      </c>
      <c r="N83" s="212">
        <v>-5</v>
      </c>
      <c r="O83" s="212">
        <v>-5</v>
      </c>
      <c r="P83" s="212">
        <v>-5</v>
      </c>
      <c r="Q83" s="212">
        <v>-5</v>
      </c>
      <c r="R83" s="212">
        <v>-5</v>
      </c>
      <c r="S83" s="212">
        <v>-2.5</v>
      </c>
      <c r="T83" s="212">
        <v>-2.5</v>
      </c>
      <c r="U83" s="212">
        <v>-2.5</v>
      </c>
      <c r="V83" s="212">
        <v>-2.5</v>
      </c>
      <c r="W83" s="212">
        <v>-2.5</v>
      </c>
      <c r="X83" s="212">
        <v>-2.5</v>
      </c>
      <c r="Y83" s="212">
        <v>-2.5</v>
      </c>
      <c r="Z83" s="212">
        <v>-2.5</v>
      </c>
      <c r="AA83" s="212">
        <v>-2.5</v>
      </c>
      <c r="AB83" s="212">
        <v>-2.5</v>
      </c>
      <c r="AC83" s="212">
        <v>-2.5</v>
      </c>
      <c r="AD83" s="212">
        <v>0</v>
      </c>
      <c r="AE83" s="212">
        <v>0</v>
      </c>
      <c r="AF83" s="212">
        <v>0</v>
      </c>
      <c r="AG83" s="212">
        <v>0</v>
      </c>
      <c r="AH83" s="212">
        <v>0</v>
      </c>
      <c r="AI83" s="212">
        <v>0</v>
      </c>
      <c r="AJ83" s="212">
        <v>0</v>
      </c>
      <c r="AK83" s="212">
        <v>0</v>
      </c>
      <c r="AL83" s="212">
        <v>0</v>
      </c>
      <c r="AM83" s="212">
        <v>0</v>
      </c>
      <c r="AN83" s="212">
        <v>0</v>
      </c>
      <c r="AO83" s="212">
        <v>0</v>
      </c>
      <c r="AP83" s="213" t="s">
        <v>272</v>
      </c>
      <c r="AQ83" s="212">
        <v>0</v>
      </c>
      <c r="AR83" s="212">
        <v>0</v>
      </c>
      <c r="AS83" s="212">
        <v>0</v>
      </c>
      <c r="AT83" s="212">
        <v>0</v>
      </c>
      <c r="AU83" s="212">
        <v>0</v>
      </c>
      <c r="AV83" s="212">
        <v>0</v>
      </c>
      <c r="AW83" s="212">
        <v>0</v>
      </c>
      <c r="AX83" s="212">
        <v>0</v>
      </c>
      <c r="AY83" s="212">
        <v>0</v>
      </c>
      <c r="AZ83" s="212">
        <v>0</v>
      </c>
      <c r="BA83" s="212">
        <v>0</v>
      </c>
      <c r="BB83" s="212">
        <v>0</v>
      </c>
      <c r="BC83" s="212">
        <v>0</v>
      </c>
      <c r="BD83" s="212">
        <v>0</v>
      </c>
      <c r="BE83" s="212">
        <v>0</v>
      </c>
      <c r="BF83" s="212">
        <v>0</v>
      </c>
      <c r="BG83" s="212">
        <v>0</v>
      </c>
      <c r="BH83" s="212">
        <v>2.5</v>
      </c>
      <c r="BI83" s="212">
        <v>2.5</v>
      </c>
      <c r="BJ83" s="212">
        <v>2.5</v>
      </c>
      <c r="BK83" s="212">
        <v>2.5</v>
      </c>
      <c r="BL83" s="212">
        <v>2.5</v>
      </c>
      <c r="BM83" s="212">
        <v>2.5</v>
      </c>
      <c r="BN83" s="212">
        <v>2.5</v>
      </c>
      <c r="BO83" s="212">
        <v>2.5</v>
      </c>
      <c r="BP83" s="212">
        <v>2.5</v>
      </c>
      <c r="BQ83" s="212">
        <v>2.5</v>
      </c>
      <c r="BR83" s="212">
        <v>2.5</v>
      </c>
      <c r="BS83" s="212">
        <v>2.5</v>
      </c>
      <c r="BT83" s="212">
        <v>2.5</v>
      </c>
      <c r="BU83" s="212">
        <v>2.5</v>
      </c>
      <c r="BV83" s="212">
        <v>2.5</v>
      </c>
      <c r="BW83" s="212">
        <v>2.5</v>
      </c>
      <c r="BX83" s="212">
        <v>2.5</v>
      </c>
      <c r="BY83" s="212">
        <v>2.5</v>
      </c>
      <c r="BZ83" s="212">
        <v>2.5</v>
      </c>
      <c r="CA83" s="212">
        <v>2.5</v>
      </c>
      <c r="CB83" s="212">
        <v>2.5</v>
      </c>
      <c r="CC83" s="212">
        <v>2.5</v>
      </c>
      <c r="CD83" s="212">
        <v>5</v>
      </c>
      <c r="CE83" s="212">
        <v>5</v>
      </c>
      <c r="CF83" s="212">
        <v>5</v>
      </c>
      <c r="CG83" s="212">
        <v>5</v>
      </c>
      <c r="CH83" s="212">
        <v>5</v>
      </c>
      <c r="CI83" s="212">
        <v>5</v>
      </c>
      <c r="CJ83" s="212">
        <v>5</v>
      </c>
      <c r="CK83" s="212">
        <v>5</v>
      </c>
      <c r="CL83" s="212">
        <v>5</v>
      </c>
      <c r="CM83" s="212">
        <v>5</v>
      </c>
      <c r="CN83" s="212">
        <v>5</v>
      </c>
      <c r="CO83" s="212">
        <v>5</v>
      </c>
      <c r="CP83" s="212">
        <v>5</v>
      </c>
      <c r="CQ83" s="212">
        <v>5</v>
      </c>
      <c r="CR83" s="212">
        <v>5</v>
      </c>
      <c r="CS83" s="212">
        <v>5</v>
      </c>
      <c r="CT83" s="212">
        <v>5</v>
      </c>
      <c r="CU83" s="212">
        <v>5</v>
      </c>
      <c r="CV83" s="212">
        <v>5</v>
      </c>
      <c r="CW83" s="212">
        <v>5</v>
      </c>
      <c r="CX83" s="212">
        <v>5</v>
      </c>
      <c r="CY83" s="212">
        <v>7.5</v>
      </c>
      <c r="CZ83" s="212">
        <v>7.5</v>
      </c>
      <c r="DA83" s="212">
        <v>7.5</v>
      </c>
      <c r="DB83" s="212">
        <v>7.5</v>
      </c>
      <c r="DC83" s="212">
        <v>7.5</v>
      </c>
      <c r="DD83" s="212">
        <v>7.5</v>
      </c>
      <c r="DE83" s="212">
        <v>7.5</v>
      </c>
      <c r="DF83" s="212">
        <v>7.5</v>
      </c>
      <c r="DG83" s="212">
        <v>7.5</v>
      </c>
      <c r="DH83" s="212">
        <v>7.5</v>
      </c>
      <c r="DI83" s="212">
        <v>7.5</v>
      </c>
      <c r="DJ83" s="212">
        <v>7.5</v>
      </c>
      <c r="DK83" s="212">
        <v>7.5</v>
      </c>
      <c r="DL83" s="212">
        <v>7.5</v>
      </c>
      <c r="DM83" s="212">
        <v>7.5</v>
      </c>
      <c r="DN83" s="212">
        <v>7.5</v>
      </c>
      <c r="DO83" s="212">
        <v>7.5</v>
      </c>
      <c r="DP83" s="212">
        <v>7.5</v>
      </c>
      <c r="DQ83" s="212">
        <v>7.5</v>
      </c>
      <c r="DR83" s="212">
        <v>7.5</v>
      </c>
    </row>
    <row r="84" spans="1:122" ht="22.5" customHeight="1" x14ac:dyDescent="0.65">
      <c r="A84" s="211">
        <v>18</v>
      </c>
      <c r="B84" s="212">
        <v>-2.5</v>
      </c>
      <c r="C84" s="212">
        <v>-2.5</v>
      </c>
      <c r="D84" s="212">
        <v>-2.5</v>
      </c>
      <c r="E84" s="212">
        <v>-5</v>
      </c>
      <c r="F84" s="212">
        <v>-5</v>
      </c>
      <c r="G84" s="212">
        <v>-5</v>
      </c>
      <c r="H84" s="212">
        <v>-5</v>
      </c>
      <c r="I84" s="212">
        <v>-5</v>
      </c>
      <c r="J84" s="212">
        <v>-5</v>
      </c>
      <c r="K84" s="212">
        <v>-5</v>
      </c>
      <c r="L84" s="212">
        <v>-5</v>
      </c>
      <c r="M84" s="212">
        <v>-5</v>
      </c>
      <c r="N84" s="212">
        <v>-5</v>
      </c>
      <c r="O84" s="212">
        <v>-5</v>
      </c>
      <c r="P84" s="212">
        <v>-5</v>
      </c>
      <c r="Q84" s="212">
        <v>-5</v>
      </c>
      <c r="R84" s="212">
        <v>-5</v>
      </c>
      <c r="S84" s="212">
        <v>-5</v>
      </c>
      <c r="T84" s="212">
        <v>-2.5</v>
      </c>
      <c r="U84" s="212">
        <v>-2.5</v>
      </c>
      <c r="V84" s="212">
        <v>-2.5</v>
      </c>
      <c r="W84" s="212">
        <v>-2.5</v>
      </c>
      <c r="X84" s="212">
        <v>-2.5</v>
      </c>
      <c r="Y84" s="212">
        <v>-2.5</v>
      </c>
      <c r="Z84" s="212">
        <v>-2.5</v>
      </c>
      <c r="AA84" s="212">
        <v>-2.5</v>
      </c>
      <c r="AB84" s="212">
        <v>-2.5</v>
      </c>
      <c r="AC84" s="212">
        <v>-2.5</v>
      </c>
      <c r="AD84" s="212">
        <v>-2.5</v>
      </c>
      <c r="AE84" s="212">
        <v>0</v>
      </c>
      <c r="AF84" s="212">
        <v>0</v>
      </c>
      <c r="AG84" s="212">
        <v>0</v>
      </c>
      <c r="AH84" s="212">
        <v>0</v>
      </c>
      <c r="AI84" s="212">
        <v>0</v>
      </c>
      <c r="AJ84" s="212">
        <v>0</v>
      </c>
      <c r="AK84" s="212">
        <v>0</v>
      </c>
      <c r="AL84" s="212">
        <v>0</v>
      </c>
      <c r="AM84" s="212">
        <v>0</v>
      </c>
      <c r="AN84" s="212">
        <v>0</v>
      </c>
      <c r="AO84" s="212">
        <v>0</v>
      </c>
      <c r="AP84" s="213" t="s">
        <v>272</v>
      </c>
      <c r="AQ84" s="212">
        <v>0</v>
      </c>
      <c r="AR84" s="212">
        <v>0</v>
      </c>
      <c r="AS84" s="212">
        <v>0</v>
      </c>
      <c r="AT84" s="212">
        <v>0</v>
      </c>
      <c r="AU84" s="212">
        <v>0</v>
      </c>
      <c r="AV84" s="212">
        <v>0</v>
      </c>
      <c r="AW84" s="212">
        <v>0</v>
      </c>
      <c r="AX84" s="212">
        <v>0</v>
      </c>
      <c r="AY84" s="212">
        <v>0</v>
      </c>
      <c r="AZ84" s="212">
        <v>0</v>
      </c>
      <c r="BA84" s="212">
        <v>0</v>
      </c>
      <c r="BB84" s="212">
        <v>0</v>
      </c>
      <c r="BC84" s="212">
        <v>0</v>
      </c>
      <c r="BD84" s="212">
        <v>0</v>
      </c>
      <c r="BE84" s="212">
        <v>0</v>
      </c>
      <c r="BF84" s="212">
        <v>0</v>
      </c>
      <c r="BG84" s="212">
        <v>0</v>
      </c>
      <c r="BH84" s="212">
        <v>0</v>
      </c>
      <c r="BI84" s="212">
        <v>2.5</v>
      </c>
      <c r="BJ84" s="212">
        <v>2.5</v>
      </c>
      <c r="BK84" s="212">
        <v>2.5</v>
      </c>
      <c r="BL84" s="212">
        <v>2.5</v>
      </c>
      <c r="BM84" s="212">
        <v>2.5</v>
      </c>
      <c r="BN84" s="212">
        <v>2.5</v>
      </c>
      <c r="BO84" s="212">
        <v>2.5</v>
      </c>
      <c r="BP84" s="212">
        <v>2.5</v>
      </c>
      <c r="BQ84" s="212">
        <v>2.5</v>
      </c>
      <c r="BR84" s="212">
        <v>2.5</v>
      </c>
      <c r="BS84" s="212">
        <v>2.5</v>
      </c>
      <c r="BT84" s="212">
        <v>2.5</v>
      </c>
      <c r="BU84" s="212">
        <v>2.5</v>
      </c>
      <c r="BV84" s="212">
        <v>2.5</v>
      </c>
      <c r="BW84" s="212">
        <v>2.5</v>
      </c>
      <c r="BX84" s="212">
        <v>2.5</v>
      </c>
      <c r="BY84" s="212">
        <v>2.5</v>
      </c>
      <c r="BZ84" s="212">
        <v>2.5</v>
      </c>
      <c r="CA84" s="212">
        <v>2.5</v>
      </c>
      <c r="CB84" s="212">
        <v>2.5</v>
      </c>
      <c r="CC84" s="212">
        <v>2.5</v>
      </c>
      <c r="CD84" s="212">
        <v>5</v>
      </c>
      <c r="CE84" s="212">
        <v>5</v>
      </c>
      <c r="CF84" s="212">
        <v>5</v>
      </c>
      <c r="CG84" s="212">
        <v>5</v>
      </c>
      <c r="CH84" s="212">
        <v>5</v>
      </c>
      <c r="CI84" s="212">
        <v>5</v>
      </c>
      <c r="CJ84" s="212">
        <v>5</v>
      </c>
      <c r="CK84" s="212">
        <v>5</v>
      </c>
      <c r="CL84" s="212">
        <v>5</v>
      </c>
      <c r="CM84" s="212">
        <v>5</v>
      </c>
      <c r="CN84" s="212">
        <v>5</v>
      </c>
      <c r="CO84" s="212">
        <v>5</v>
      </c>
      <c r="CP84" s="212">
        <v>5</v>
      </c>
      <c r="CQ84" s="212">
        <v>5</v>
      </c>
      <c r="CR84" s="212">
        <v>5</v>
      </c>
      <c r="CS84" s="212">
        <v>5</v>
      </c>
      <c r="CT84" s="212">
        <v>5</v>
      </c>
      <c r="CU84" s="212">
        <v>5</v>
      </c>
      <c r="CV84" s="212">
        <v>5</v>
      </c>
      <c r="CW84" s="212">
        <v>5</v>
      </c>
      <c r="CX84" s="212">
        <v>5</v>
      </c>
      <c r="CY84" s="212">
        <v>5</v>
      </c>
      <c r="CZ84" s="212">
        <v>7.5</v>
      </c>
      <c r="DA84" s="212">
        <v>7.5</v>
      </c>
      <c r="DB84" s="212">
        <v>7.5</v>
      </c>
      <c r="DC84" s="212">
        <v>7.5</v>
      </c>
      <c r="DD84" s="212">
        <v>7.5</v>
      </c>
      <c r="DE84" s="212">
        <v>7.5</v>
      </c>
      <c r="DF84" s="212">
        <v>7.5</v>
      </c>
      <c r="DG84" s="212">
        <v>7.5</v>
      </c>
      <c r="DH84" s="212">
        <v>7.5</v>
      </c>
      <c r="DI84" s="212">
        <v>7.5</v>
      </c>
      <c r="DJ84" s="212">
        <v>7.5</v>
      </c>
      <c r="DK84" s="212">
        <v>7.5</v>
      </c>
      <c r="DL84" s="212">
        <v>7.5</v>
      </c>
      <c r="DM84" s="212">
        <v>7.5</v>
      </c>
      <c r="DN84" s="212">
        <v>7.5</v>
      </c>
      <c r="DO84" s="212">
        <v>7.5</v>
      </c>
      <c r="DP84" s="212">
        <v>7.5</v>
      </c>
      <c r="DQ84" s="212">
        <v>7.5</v>
      </c>
      <c r="DR84" s="212">
        <v>7.5</v>
      </c>
    </row>
    <row r="85" spans="1:122" ht="22.5" customHeight="1" x14ac:dyDescent="0.65">
      <c r="A85" s="211">
        <v>17</v>
      </c>
      <c r="B85" s="212">
        <v>-2.5</v>
      </c>
      <c r="C85" s="212">
        <v>-2.5</v>
      </c>
      <c r="D85" s="212">
        <v>-2.5</v>
      </c>
      <c r="E85" s="212">
        <v>-5</v>
      </c>
      <c r="F85" s="212">
        <v>-5</v>
      </c>
      <c r="G85" s="212">
        <v>-5</v>
      </c>
      <c r="H85" s="212">
        <v>-5</v>
      </c>
      <c r="I85" s="212">
        <v>-5</v>
      </c>
      <c r="J85" s="212">
        <v>-5</v>
      </c>
      <c r="K85" s="212">
        <v>-5</v>
      </c>
      <c r="L85" s="212">
        <v>-5</v>
      </c>
      <c r="M85" s="212">
        <v>-5</v>
      </c>
      <c r="N85" s="212">
        <v>-5</v>
      </c>
      <c r="O85" s="212">
        <v>-5</v>
      </c>
      <c r="P85" s="212">
        <v>-5</v>
      </c>
      <c r="Q85" s="212">
        <v>-5</v>
      </c>
      <c r="R85" s="212">
        <v>-5</v>
      </c>
      <c r="S85" s="212">
        <v>-5</v>
      </c>
      <c r="T85" s="212">
        <v>-2.5</v>
      </c>
      <c r="U85" s="212">
        <v>-2.5</v>
      </c>
      <c r="V85" s="212">
        <v>-2.5</v>
      </c>
      <c r="W85" s="212">
        <v>-2.5</v>
      </c>
      <c r="X85" s="212">
        <v>-2.5</v>
      </c>
      <c r="Y85" s="212">
        <v>-2.5</v>
      </c>
      <c r="Z85" s="212">
        <v>-2.5</v>
      </c>
      <c r="AA85" s="212">
        <v>-2.5</v>
      </c>
      <c r="AB85" s="212">
        <v>-2.5</v>
      </c>
      <c r="AC85" s="212">
        <v>-2.5</v>
      </c>
      <c r="AD85" s="212">
        <v>-2.5</v>
      </c>
      <c r="AE85" s="212">
        <v>-2.5</v>
      </c>
      <c r="AF85" s="212">
        <v>0</v>
      </c>
      <c r="AG85" s="212">
        <v>0</v>
      </c>
      <c r="AH85" s="212">
        <v>0</v>
      </c>
      <c r="AI85" s="212">
        <v>0</v>
      </c>
      <c r="AJ85" s="212">
        <v>0</v>
      </c>
      <c r="AK85" s="212">
        <v>0</v>
      </c>
      <c r="AL85" s="212">
        <v>0</v>
      </c>
      <c r="AM85" s="212">
        <v>0</v>
      </c>
      <c r="AN85" s="212">
        <v>0</v>
      </c>
      <c r="AO85" s="212">
        <v>0</v>
      </c>
      <c r="AP85" s="213" t="s">
        <v>272</v>
      </c>
      <c r="AQ85" s="212">
        <v>0</v>
      </c>
      <c r="AR85" s="212">
        <v>0</v>
      </c>
      <c r="AS85" s="212">
        <v>0</v>
      </c>
      <c r="AT85" s="212">
        <v>0</v>
      </c>
      <c r="AU85" s="212">
        <v>0</v>
      </c>
      <c r="AV85" s="212">
        <v>0</v>
      </c>
      <c r="AW85" s="212">
        <v>0</v>
      </c>
      <c r="AX85" s="212">
        <v>0</v>
      </c>
      <c r="AY85" s="212">
        <v>0</v>
      </c>
      <c r="AZ85" s="212">
        <v>0</v>
      </c>
      <c r="BA85" s="212">
        <v>0</v>
      </c>
      <c r="BB85" s="212">
        <v>0</v>
      </c>
      <c r="BC85" s="212">
        <v>0</v>
      </c>
      <c r="BD85" s="212">
        <v>0</v>
      </c>
      <c r="BE85" s="212">
        <v>0</v>
      </c>
      <c r="BF85" s="212">
        <v>0</v>
      </c>
      <c r="BG85" s="212">
        <v>0</v>
      </c>
      <c r="BH85" s="212">
        <v>0</v>
      </c>
      <c r="BI85" s="212">
        <v>2.5</v>
      </c>
      <c r="BJ85" s="212">
        <v>2.5</v>
      </c>
      <c r="BK85" s="212">
        <v>2.5</v>
      </c>
      <c r="BL85" s="212">
        <v>2.5</v>
      </c>
      <c r="BM85" s="212">
        <v>2.5</v>
      </c>
      <c r="BN85" s="212">
        <v>2.5</v>
      </c>
      <c r="BO85" s="212">
        <v>2.5</v>
      </c>
      <c r="BP85" s="212">
        <v>2.5</v>
      </c>
      <c r="BQ85" s="212">
        <v>2.5</v>
      </c>
      <c r="BR85" s="212">
        <v>2.5</v>
      </c>
      <c r="BS85" s="212">
        <v>2.5</v>
      </c>
      <c r="BT85" s="212">
        <v>2.5</v>
      </c>
      <c r="BU85" s="212">
        <v>2.5</v>
      </c>
      <c r="BV85" s="212">
        <v>2.5</v>
      </c>
      <c r="BW85" s="212">
        <v>2.5</v>
      </c>
      <c r="BX85" s="212">
        <v>2.5</v>
      </c>
      <c r="BY85" s="212">
        <v>2.5</v>
      </c>
      <c r="BZ85" s="212">
        <v>2.5</v>
      </c>
      <c r="CA85" s="212">
        <v>2.5</v>
      </c>
      <c r="CB85" s="212">
        <v>2.5</v>
      </c>
      <c r="CC85" s="212">
        <v>2.5</v>
      </c>
      <c r="CD85" s="212">
        <v>5</v>
      </c>
      <c r="CE85" s="212">
        <v>5</v>
      </c>
      <c r="CF85" s="212">
        <v>5</v>
      </c>
      <c r="CG85" s="212">
        <v>5</v>
      </c>
      <c r="CH85" s="212">
        <v>5</v>
      </c>
      <c r="CI85" s="212">
        <v>5</v>
      </c>
      <c r="CJ85" s="212">
        <v>5</v>
      </c>
      <c r="CK85" s="212">
        <v>5</v>
      </c>
      <c r="CL85" s="212">
        <v>5</v>
      </c>
      <c r="CM85" s="212">
        <v>5</v>
      </c>
      <c r="CN85" s="212">
        <v>5</v>
      </c>
      <c r="CO85" s="212">
        <v>5</v>
      </c>
      <c r="CP85" s="212">
        <v>5</v>
      </c>
      <c r="CQ85" s="212">
        <v>5</v>
      </c>
      <c r="CR85" s="212">
        <v>5</v>
      </c>
      <c r="CS85" s="212">
        <v>5</v>
      </c>
      <c r="CT85" s="212">
        <v>5</v>
      </c>
      <c r="CU85" s="212">
        <v>5</v>
      </c>
      <c r="CV85" s="212">
        <v>5</v>
      </c>
      <c r="CW85" s="212">
        <v>5</v>
      </c>
      <c r="CX85" s="212">
        <v>5</v>
      </c>
      <c r="CY85" s="212">
        <v>5</v>
      </c>
      <c r="CZ85" s="212">
        <v>5</v>
      </c>
      <c r="DA85" s="212">
        <v>7.5</v>
      </c>
      <c r="DB85" s="212">
        <v>7.5</v>
      </c>
      <c r="DC85" s="212">
        <v>7.5</v>
      </c>
      <c r="DD85" s="212">
        <v>7.5</v>
      </c>
      <c r="DE85" s="212">
        <v>7.5</v>
      </c>
      <c r="DF85" s="212">
        <v>7.5</v>
      </c>
      <c r="DG85" s="212">
        <v>7.5</v>
      </c>
      <c r="DH85" s="212">
        <v>7.5</v>
      </c>
      <c r="DI85" s="212">
        <v>7.5</v>
      </c>
      <c r="DJ85" s="212">
        <v>7.5</v>
      </c>
      <c r="DK85" s="212">
        <v>7.5</v>
      </c>
      <c r="DL85" s="212">
        <v>7.5</v>
      </c>
      <c r="DM85" s="212">
        <v>7.5</v>
      </c>
      <c r="DN85" s="212">
        <v>7.5</v>
      </c>
      <c r="DO85" s="212">
        <v>7.5</v>
      </c>
      <c r="DP85" s="212">
        <v>7.5</v>
      </c>
      <c r="DQ85" s="212">
        <v>7.5</v>
      </c>
      <c r="DR85" s="212">
        <v>7.5</v>
      </c>
    </row>
    <row r="86" spans="1:122" ht="22.5" customHeight="1" x14ac:dyDescent="0.65">
      <c r="A86" s="211">
        <v>16</v>
      </c>
      <c r="B86" s="212">
        <v>-2.5</v>
      </c>
      <c r="C86" s="212">
        <v>-2.5</v>
      </c>
      <c r="D86" s="212">
        <v>-2.5</v>
      </c>
      <c r="E86" s="212">
        <v>-5</v>
      </c>
      <c r="F86" s="212">
        <v>-5</v>
      </c>
      <c r="G86" s="212">
        <v>-5</v>
      </c>
      <c r="H86" s="212">
        <v>-5</v>
      </c>
      <c r="I86" s="212">
        <v>-5</v>
      </c>
      <c r="J86" s="212">
        <v>-5</v>
      </c>
      <c r="K86" s="212">
        <v>-5</v>
      </c>
      <c r="L86" s="212">
        <v>-5</v>
      </c>
      <c r="M86" s="212">
        <v>-5</v>
      </c>
      <c r="N86" s="212">
        <v>-5</v>
      </c>
      <c r="O86" s="212">
        <v>-5</v>
      </c>
      <c r="P86" s="212">
        <v>-5</v>
      </c>
      <c r="Q86" s="212">
        <v>-5</v>
      </c>
      <c r="R86" s="212">
        <v>-5</v>
      </c>
      <c r="S86" s="212">
        <v>-5</v>
      </c>
      <c r="T86" s="212">
        <v>-2.5</v>
      </c>
      <c r="U86" s="212">
        <v>-2.5</v>
      </c>
      <c r="V86" s="212">
        <v>-2.5</v>
      </c>
      <c r="W86" s="212">
        <v>-2.5</v>
      </c>
      <c r="X86" s="212">
        <v>-2.5</v>
      </c>
      <c r="Y86" s="212">
        <v>-2.5</v>
      </c>
      <c r="Z86" s="212">
        <v>-2.5</v>
      </c>
      <c r="AA86" s="212">
        <v>-2.5</v>
      </c>
      <c r="AB86" s="212">
        <v>-2.5</v>
      </c>
      <c r="AC86" s="212">
        <v>-2.5</v>
      </c>
      <c r="AD86" s="212">
        <v>-2.5</v>
      </c>
      <c r="AE86" s="212">
        <v>-2.5</v>
      </c>
      <c r="AF86" s="212">
        <v>-2.5</v>
      </c>
      <c r="AG86" s="212">
        <v>0</v>
      </c>
      <c r="AH86" s="212">
        <v>0</v>
      </c>
      <c r="AI86" s="212">
        <v>0</v>
      </c>
      <c r="AJ86" s="212">
        <v>0</v>
      </c>
      <c r="AK86" s="212">
        <v>0</v>
      </c>
      <c r="AL86" s="212">
        <v>0</v>
      </c>
      <c r="AM86" s="212">
        <v>0</v>
      </c>
      <c r="AN86" s="212">
        <v>0</v>
      </c>
      <c r="AO86" s="212">
        <v>0</v>
      </c>
      <c r="AP86" s="213" t="s">
        <v>272</v>
      </c>
      <c r="AQ86" s="212">
        <v>0</v>
      </c>
      <c r="AR86" s="212">
        <v>0</v>
      </c>
      <c r="AS86" s="212">
        <v>0</v>
      </c>
      <c r="AT86" s="212">
        <v>0</v>
      </c>
      <c r="AU86" s="212">
        <v>0</v>
      </c>
      <c r="AV86" s="212">
        <v>0</v>
      </c>
      <c r="AW86" s="212">
        <v>0</v>
      </c>
      <c r="AX86" s="212">
        <v>0</v>
      </c>
      <c r="AY86" s="212">
        <v>0</v>
      </c>
      <c r="AZ86" s="212">
        <v>0</v>
      </c>
      <c r="BA86" s="212">
        <v>0</v>
      </c>
      <c r="BB86" s="212">
        <v>0</v>
      </c>
      <c r="BC86" s="212">
        <v>0</v>
      </c>
      <c r="BD86" s="212">
        <v>0</v>
      </c>
      <c r="BE86" s="212">
        <v>0</v>
      </c>
      <c r="BF86" s="212">
        <v>0</v>
      </c>
      <c r="BG86" s="212">
        <v>0</v>
      </c>
      <c r="BH86" s="212">
        <v>0</v>
      </c>
      <c r="BI86" s="212">
        <v>2.5</v>
      </c>
      <c r="BJ86" s="212">
        <v>2.5</v>
      </c>
      <c r="BK86" s="212">
        <v>2.5</v>
      </c>
      <c r="BL86" s="212">
        <v>2.5</v>
      </c>
      <c r="BM86" s="212">
        <v>2.5</v>
      </c>
      <c r="BN86" s="212">
        <v>2.5</v>
      </c>
      <c r="BO86" s="212">
        <v>2.5</v>
      </c>
      <c r="BP86" s="212">
        <v>2.5</v>
      </c>
      <c r="BQ86" s="212">
        <v>2.5</v>
      </c>
      <c r="BR86" s="212">
        <v>2.5</v>
      </c>
      <c r="BS86" s="212">
        <v>2.5</v>
      </c>
      <c r="BT86" s="212">
        <v>2.5</v>
      </c>
      <c r="BU86" s="212">
        <v>2.5</v>
      </c>
      <c r="BV86" s="212">
        <v>2.5</v>
      </c>
      <c r="BW86" s="212">
        <v>2.5</v>
      </c>
      <c r="BX86" s="212">
        <v>2.5</v>
      </c>
      <c r="BY86" s="212">
        <v>2.5</v>
      </c>
      <c r="BZ86" s="212">
        <v>2.5</v>
      </c>
      <c r="CA86" s="212">
        <v>2.5</v>
      </c>
      <c r="CB86" s="212">
        <v>2.5</v>
      </c>
      <c r="CC86" s="212">
        <v>2.5</v>
      </c>
      <c r="CD86" s="212">
        <v>2.5</v>
      </c>
      <c r="CE86" s="212">
        <v>2.5</v>
      </c>
      <c r="CF86" s="212">
        <v>2.5</v>
      </c>
      <c r="CG86" s="212">
        <v>5</v>
      </c>
      <c r="CH86" s="212">
        <v>5</v>
      </c>
      <c r="CI86" s="212">
        <v>5</v>
      </c>
      <c r="CJ86" s="212">
        <v>5</v>
      </c>
      <c r="CK86" s="212">
        <v>5</v>
      </c>
      <c r="CL86" s="212">
        <v>5</v>
      </c>
      <c r="CM86" s="212">
        <v>5</v>
      </c>
      <c r="CN86" s="212">
        <v>5</v>
      </c>
      <c r="CO86" s="212">
        <v>5</v>
      </c>
      <c r="CP86" s="212">
        <v>5</v>
      </c>
      <c r="CQ86" s="212">
        <v>5</v>
      </c>
      <c r="CR86" s="212">
        <v>5</v>
      </c>
      <c r="CS86" s="212">
        <v>5</v>
      </c>
      <c r="CT86" s="212">
        <v>5</v>
      </c>
      <c r="CU86" s="212">
        <v>5</v>
      </c>
      <c r="CV86" s="212">
        <v>5</v>
      </c>
      <c r="CW86" s="212">
        <v>5</v>
      </c>
      <c r="CX86" s="212">
        <v>5</v>
      </c>
      <c r="CY86" s="212">
        <v>5</v>
      </c>
      <c r="CZ86" s="212">
        <v>5</v>
      </c>
      <c r="DA86" s="212">
        <v>5</v>
      </c>
      <c r="DB86" s="212">
        <v>7.5</v>
      </c>
      <c r="DC86" s="212">
        <v>7.5</v>
      </c>
      <c r="DD86" s="212">
        <v>7.5</v>
      </c>
      <c r="DE86" s="212">
        <v>7.5</v>
      </c>
      <c r="DF86" s="212">
        <v>7.5</v>
      </c>
      <c r="DG86" s="212">
        <v>7.5</v>
      </c>
      <c r="DH86" s="212">
        <v>7.5</v>
      </c>
      <c r="DI86" s="212">
        <v>7.5</v>
      </c>
      <c r="DJ86" s="212">
        <v>7.5</v>
      </c>
      <c r="DK86" s="212">
        <v>7.5</v>
      </c>
      <c r="DL86" s="212">
        <v>7.5</v>
      </c>
      <c r="DM86" s="212">
        <v>7.5</v>
      </c>
      <c r="DN86" s="212">
        <v>7.5</v>
      </c>
      <c r="DO86" s="212">
        <v>7.5</v>
      </c>
      <c r="DP86" s="212">
        <v>7.5</v>
      </c>
      <c r="DQ86" s="212">
        <v>7.5</v>
      </c>
      <c r="DR86" s="212">
        <v>7.5</v>
      </c>
    </row>
    <row r="87" spans="1:122" ht="22.5" customHeight="1" x14ac:dyDescent="0.65">
      <c r="A87" s="211">
        <v>15</v>
      </c>
      <c r="B87" s="212">
        <v>-2.5</v>
      </c>
      <c r="C87" s="212">
        <v>-2.5</v>
      </c>
      <c r="D87" s="212">
        <v>-2.5</v>
      </c>
      <c r="E87" s="212">
        <v>-5</v>
      </c>
      <c r="F87" s="212">
        <v>-5</v>
      </c>
      <c r="G87" s="212">
        <v>-5</v>
      </c>
      <c r="H87" s="212">
        <v>-5</v>
      </c>
      <c r="I87" s="212">
        <v>-5</v>
      </c>
      <c r="J87" s="212">
        <v>-5</v>
      </c>
      <c r="K87" s="212">
        <v>-5</v>
      </c>
      <c r="L87" s="212">
        <v>-5</v>
      </c>
      <c r="M87" s="212">
        <v>-5</v>
      </c>
      <c r="N87" s="212">
        <v>-5</v>
      </c>
      <c r="O87" s="212">
        <v>-5</v>
      </c>
      <c r="P87" s="212">
        <v>-5</v>
      </c>
      <c r="Q87" s="212">
        <v>-5</v>
      </c>
      <c r="R87" s="212">
        <v>-5</v>
      </c>
      <c r="S87" s="212">
        <v>-5</v>
      </c>
      <c r="T87" s="212">
        <v>-2.5</v>
      </c>
      <c r="U87" s="212">
        <v>-2.5</v>
      </c>
      <c r="V87" s="212">
        <v>-2.5</v>
      </c>
      <c r="W87" s="212">
        <v>-2.5</v>
      </c>
      <c r="X87" s="212">
        <v>-2.5</v>
      </c>
      <c r="Y87" s="212">
        <v>-2.5</v>
      </c>
      <c r="Z87" s="212">
        <v>-2.5</v>
      </c>
      <c r="AA87" s="212">
        <v>-2.5</v>
      </c>
      <c r="AB87" s="212">
        <v>-2.5</v>
      </c>
      <c r="AC87" s="212">
        <v>-2.5</v>
      </c>
      <c r="AD87" s="212">
        <v>-2.5</v>
      </c>
      <c r="AE87" s="212">
        <v>-2.5</v>
      </c>
      <c r="AF87" s="212">
        <v>-2.5</v>
      </c>
      <c r="AG87" s="212">
        <v>0</v>
      </c>
      <c r="AH87" s="212">
        <v>0</v>
      </c>
      <c r="AI87" s="212">
        <v>0</v>
      </c>
      <c r="AJ87" s="212">
        <v>0</v>
      </c>
      <c r="AK87" s="212">
        <v>0</v>
      </c>
      <c r="AL87" s="212">
        <v>0</v>
      </c>
      <c r="AM87" s="212">
        <v>0</v>
      </c>
      <c r="AN87" s="212">
        <v>0</v>
      </c>
      <c r="AO87" s="212">
        <v>0</v>
      </c>
      <c r="AP87" s="213" t="s">
        <v>272</v>
      </c>
      <c r="AQ87" s="212">
        <v>0</v>
      </c>
      <c r="AR87" s="212">
        <v>0</v>
      </c>
      <c r="AS87" s="212">
        <v>0</v>
      </c>
      <c r="AT87" s="212">
        <v>0</v>
      </c>
      <c r="AU87" s="212">
        <v>0</v>
      </c>
      <c r="AV87" s="212">
        <v>0</v>
      </c>
      <c r="AW87" s="212">
        <v>0</v>
      </c>
      <c r="AX87" s="212">
        <v>0</v>
      </c>
      <c r="AY87" s="212">
        <v>0</v>
      </c>
      <c r="AZ87" s="212">
        <v>0</v>
      </c>
      <c r="BA87" s="212">
        <v>0</v>
      </c>
      <c r="BB87" s="212">
        <v>0</v>
      </c>
      <c r="BC87" s="212">
        <v>0</v>
      </c>
      <c r="BD87" s="212">
        <v>0</v>
      </c>
      <c r="BE87" s="212">
        <v>0</v>
      </c>
      <c r="BF87" s="212">
        <v>0</v>
      </c>
      <c r="BG87" s="212">
        <v>0</v>
      </c>
      <c r="BH87" s="212">
        <v>0</v>
      </c>
      <c r="BI87" s="212">
        <v>0</v>
      </c>
      <c r="BJ87" s="212">
        <v>2.5</v>
      </c>
      <c r="BK87" s="212">
        <v>2.5</v>
      </c>
      <c r="BL87" s="212">
        <v>2.5</v>
      </c>
      <c r="BM87" s="212">
        <v>2.5</v>
      </c>
      <c r="BN87" s="212">
        <v>2.5</v>
      </c>
      <c r="BO87" s="212">
        <v>2.5</v>
      </c>
      <c r="BP87" s="212">
        <v>2.5</v>
      </c>
      <c r="BQ87" s="212">
        <v>2.5</v>
      </c>
      <c r="BR87" s="212">
        <v>2.5</v>
      </c>
      <c r="BS87" s="212">
        <v>2.5</v>
      </c>
      <c r="BT87" s="212">
        <v>2.5</v>
      </c>
      <c r="BU87" s="212">
        <v>2.5</v>
      </c>
      <c r="BV87" s="212">
        <v>2.5</v>
      </c>
      <c r="BW87" s="212">
        <v>2.5</v>
      </c>
      <c r="BX87" s="212">
        <v>2.5</v>
      </c>
      <c r="BY87" s="212">
        <v>2.5</v>
      </c>
      <c r="BZ87" s="212">
        <v>2.5</v>
      </c>
      <c r="CA87" s="212">
        <v>2.5</v>
      </c>
      <c r="CB87" s="212">
        <v>2.5</v>
      </c>
      <c r="CC87" s="212">
        <v>2.5</v>
      </c>
      <c r="CD87" s="212">
        <v>2.5</v>
      </c>
      <c r="CE87" s="212">
        <v>2.5</v>
      </c>
      <c r="CF87" s="212">
        <v>2.5</v>
      </c>
      <c r="CG87" s="212">
        <v>2.5</v>
      </c>
      <c r="CH87" s="212">
        <v>2.5</v>
      </c>
      <c r="CI87" s="212">
        <v>2.5</v>
      </c>
      <c r="CJ87" s="212">
        <v>2.5</v>
      </c>
      <c r="CK87" s="212">
        <v>2.5</v>
      </c>
      <c r="CL87" s="212">
        <v>2.5</v>
      </c>
      <c r="CM87" s="212">
        <v>2.5</v>
      </c>
      <c r="CN87" s="212">
        <v>2.5</v>
      </c>
      <c r="CO87" s="212">
        <v>5</v>
      </c>
      <c r="CP87" s="212">
        <v>5</v>
      </c>
      <c r="CQ87" s="212">
        <v>5</v>
      </c>
      <c r="CR87" s="212">
        <v>5</v>
      </c>
      <c r="CS87" s="212">
        <v>5</v>
      </c>
      <c r="CT87" s="212">
        <v>5</v>
      </c>
      <c r="CU87" s="212">
        <v>5</v>
      </c>
      <c r="CV87" s="212">
        <v>5</v>
      </c>
      <c r="CW87" s="212">
        <v>5</v>
      </c>
      <c r="CX87" s="212">
        <v>5</v>
      </c>
      <c r="CY87" s="212">
        <v>5</v>
      </c>
      <c r="CZ87" s="212">
        <v>5</v>
      </c>
      <c r="DA87" s="212">
        <v>5</v>
      </c>
      <c r="DB87" s="212">
        <v>5</v>
      </c>
      <c r="DC87" s="212">
        <v>7.5</v>
      </c>
      <c r="DD87" s="212">
        <v>7.5</v>
      </c>
      <c r="DE87" s="212">
        <v>7.5</v>
      </c>
      <c r="DF87" s="212">
        <v>7.5</v>
      </c>
      <c r="DG87" s="212">
        <v>7.5</v>
      </c>
      <c r="DH87" s="212">
        <v>7.5</v>
      </c>
      <c r="DI87" s="212">
        <v>7.5</v>
      </c>
      <c r="DJ87" s="212">
        <v>7.5</v>
      </c>
      <c r="DK87" s="212">
        <v>7.5</v>
      </c>
      <c r="DL87" s="212">
        <v>7.5</v>
      </c>
      <c r="DM87" s="212">
        <v>7.5</v>
      </c>
      <c r="DN87" s="212">
        <v>7.5</v>
      </c>
      <c r="DO87" s="212">
        <v>7.5</v>
      </c>
      <c r="DP87" s="212">
        <v>7.5</v>
      </c>
      <c r="DQ87" s="212">
        <v>7.5</v>
      </c>
      <c r="DR87" s="212">
        <v>7.5</v>
      </c>
    </row>
    <row r="88" spans="1:122" ht="22.5" customHeight="1" x14ac:dyDescent="0.65">
      <c r="A88" s="211">
        <v>14</v>
      </c>
      <c r="B88" s="212">
        <v>-2.5</v>
      </c>
      <c r="C88" s="212">
        <v>-2.5</v>
      </c>
      <c r="D88" s="212">
        <v>-2.5</v>
      </c>
      <c r="E88" s="212">
        <v>-2.5</v>
      </c>
      <c r="F88" s="212">
        <v>-5</v>
      </c>
      <c r="G88" s="212">
        <v>-5</v>
      </c>
      <c r="H88" s="212">
        <v>-5</v>
      </c>
      <c r="I88" s="212">
        <v>-5</v>
      </c>
      <c r="J88" s="212">
        <v>-5</v>
      </c>
      <c r="K88" s="212">
        <v>-5</v>
      </c>
      <c r="L88" s="212">
        <v>-5</v>
      </c>
      <c r="M88" s="212">
        <v>-5</v>
      </c>
      <c r="N88" s="212">
        <v>-5</v>
      </c>
      <c r="O88" s="212">
        <v>-5</v>
      </c>
      <c r="P88" s="212">
        <v>-5</v>
      </c>
      <c r="Q88" s="212">
        <v>-5</v>
      </c>
      <c r="R88" s="212">
        <v>-5</v>
      </c>
      <c r="S88" s="212">
        <v>-2.5</v>
      </c>
      <c r="T88" s="212">
        <v>-2.5</v>
      </c>
      <c r="U88" s="212">
        <v>-2.5</v>
      </c>
      <c r="V88" s="212">
        <v>-2.5</v>
      </c>
      <c r="W88" s="212">
        <v>-2.5</v>
      </c>
      <c r="X88" s="212">
        <v>-2.5</v>
      </c>
      <c r="Y88" s="212">
        <v>-2.5</v>
      </c>
      <c r="Z88" s="212">
        <v>-2.5</v>
      </c>
      <c r="AA88" s="212">
        <v>-2.5</v>
      </c>
      <c r="AB88" s="212">
        <v>-2.5</v>
      </c>
      <c r="AC88" s="212">
        <v>-2.5</v>
      </c>
      <c r="AD88" s="212">
        <v>-2.5</v>
      </c>
      <c r="AE88" s="212">
        <v>-2.5</v>
      </c>
      <c r="AF88" s="212">
        <v>-2.5</v>
      </c>
      <c r="AG88" s="212">
        <v>-2.5</v>
      </c>
      <c r="AH88" s="212">
        <v>0</v>
      </c>
      <c r="AI88" s="212">
        <v>0</v>
      </c>
      <c r="AJ88" s="212">
        <v>0</v>
      </c>
      <c r="AK88" s="212">
        <v>0</v>
      </c>
      <c r="AL88" s="212">
        <v>0</v>
      </c>
      <c r="AM88" s="212">
        <v>0</v>
      </c>
      <c r="AN88" s="212">
        <v>0</v>
      </c>
      <c r="AO88" s="212">
        <v>0</v>
      </c>
      <c r="AP88" s="213" t="s">
        <v>272</v>
      </c>
      <c r="AQ88" s="212">
        <v>0</v>
      </c>
      <c r="AR88" s="212">
        <v>0</v>
      </c>
      <c r="AS88" s="212">
        <v>0</v>
      </c>
      <c r="AT88" s="212">
        <v>0</v>
      </c>
      <c r="AU88" s="212">
        <v>0</v>
      </c>
      <c r="AV88" s="212">
        <v>0</v>
      </c>
      <c r="AW88" s="212">
        <v>0</v>
      </c>
      <c r="AX88" s="212">
        <v>0</v>
      </c>
      <c r="AY88" s="212">
        <v>0</v>
      </c>
      <c r="AZ88" s="212">
        <v>0</v>
      </c>
      <c r="BA88" s="212">
        <v>0</v>
      </c>
      <c r="BB88" s="212">
        <v>0</v>
      </c>
      <c r="BC88" s="212">
        <v>0</v>
      </c>
      <c r="BD88" s="212">
        <v>0</v>
      </c>
      <c r="BE88" s="212">
        <v>0</v>
      </c>
      <c r="BF88" s="212">
        <v>0</v>
      </c>
      <c r="BG88" s="212">
        <v>0</v>
      </c>
      <c r="BH88" s="212">
        <v>0</v>
      </c>
      <c r="BI88" s="212">
        <v>0</v>
      </c>
      <c r="BJ88" s="212">
        <v>2.5</v>
      </c>
      <c r="BK88" s="212">
        <v>2.5</v>
      </c>
      <c r="BL88" s="212">
        <v>2.5</v>
      </c>
      <c r="BM88" s="212">
        <v>2.5</v>
      </c>
      <c r="BN88" s="212">
        <v>2.5</v>
      </c>
      <c r="BO88" s="212">
        <v>2.5</v>
      </c>
      <c r="BP88" s="212">
        <v>2.5</v>
      </c>
      <c r="BQ88" s="212">
        <v>2.5</v>
      </c>
      <c r="BR88" s="212">
        <v>2.5</v>
      </c>
      <c r="BS88" s="212">
        <v>2.5</v>
      </c>
      <c r="BT88" s="212">
        <v>2.5</v>
      </c>
      <c r="BU88" s="212">
        <v>2.5</v>
      </c>
      <c r="BV88" s="212">
        <v>2.5</v>
      </c>
      <c r="BW88" s="212">
        <v>2.5</v>
      </c>
      <c r="BX88" s="212">
        <v>2.5</v>
      </c>
      <c r="BY88" s="212">
        <v>2.5</v>
      </c>
      <c r="BZ88" s="212">
        <v>2.5</v>
      </c>
      <c r="CA88" s="212">
        <v>2.5</v>
      </c>
      <c r="CB88" s="212">
        <v>2.5</v>
      </c>
      <c r="CC88" s="212">
        <v>2.5</v>
      </c>
      <c r="CD88" s="212">
        <v>2.5</v>
      </c>
      <c r="CE88" s="212">
        <v>2.5</v>
      </c>
      <c r="CF88" s="212">
        <v>2.5</v>
      </c>
      <c r="CG88" s="212">
        <v>2.5</v>
      </c>
      <c r="CH88" s="212">
        <v>2.5</v>
      </c>
      <c r="CI88" s="212">
        <v>2.5</v>
      </c>
      <c r="CJ88" s="212">
        <v>2.5</v>
      </c>
      <c r="CK88" s="212">
        <v>2.5</v>
      </c>
      <c r="CL88" s="212">
        <v>2.5</v>
      </c>
      <c r="CM88" s="212">
        <v>2.5</v>
      </c>
      <c r="CN88" s="212">
        <v>2.5</v>
      </c>
      <c r="CO88" s="212">
        <v>2.5</v>
      </c>
      <c r="CP88" s="212">
        <v>5</v>
      </c>
      <c r="CQ88" s="212">
        <v>5</v>
      </c>
      <c r="CR88" s="212">
        <v>5</v>
      </c>
      <c r="CS88" s="212">
        <v>5</v>
      </c>
      <c r="CT88" s="212">
        <v>5</v>
      </c>
      <c r="CU88" s="212">
        <v>5</v>
      </c>
      <c r="CV88" s="212">
        <v>5</v>
      </c>
      <c r="CW88" s="212">
        <v>5</v>
      </c>
      <c r="CX88" s="212">
        <v>5</v>
      </c>
      <c r="CY88" s="212">
        <v>5</v>
      </c>
      <c r="CZ88" s="212">
        <v>5</v>
      </c>
      <c r="DA88" s="212">
        <v>5</v>
      </c>
      <c r="DB88" s="212">
        <v>5</v>
      </c>
      <c r="DC88" s="212">
        <v>5</v>
      </c>
      <c r="DD88" s="212">
        <v>7.5</v>
      </c>
      <c r="DE88" s="212">
        <v>7.5</v>
      </c>
      <c r="DF88" s="212">
        <v>7.5</v>
      </c>
      <c r="DG88" s="212">
        <v>7.5</v>
      </c>
      <c r="DH88" s="212">
        <v>7.5</v>
      </c>
      <c r="DI88" s="212">
        <v>7.5</v>
      </c>
      <c r="DJ88" s="212">
        <v>7.5</v>
      </c>
      <c r="DK88" s="212">
        <v>7.5</v>
      </c>
      <c r="DL88" s="212">
        <v>7.5</v>
      </c>
      <c r="DM88" s="212">
        <v>7.5</v>
      </c>
      <c r="DN88" s="212">
        <v>7.5</v>
      </c>
      <c r="DO88" s="212">
        <v>7.5</v>
      </c>
      <c r="DP88" s="212">
        <v>7.5</v>
      </c>
      <c r="DQ88" s="212">
        <v>7.5</v>
      </c>
      <c r="DR88" s="212">
        <v>7.5</v>
      </c>
    </row>
    <row r="89" spans="1:122" ht="22.5" customHeight="1" x14ac:dyDescent="0.65">
      <c r="A89" s="211">
        <v>13</v>
      </c>
      <c r="B89" s="212">
        <v>-2.5</v>
      </c>
      <c r="C89" s="212">
        <v>-2.5</v>
      </c>
      <c r="D89" s="212">
        <v>-2.5</v>
      </c>
      <c r="E89" s="212">
        <v>-2.5</v>
      </c>
      <c r="F89" s="212">
        <v>-5</v>
      </c>
      <c r="G89" s="212">
        <v>-5</v>
      </c>
      <c r="H89" s="212">
        <v>-5</v>
      </c>
      <c r="I89" s="212">
        <v>-5</v>
      </c>
      <c r="J89" s="212">
        <v>-5</v>
      </c>
      <c r="K89" s="212">
        <v>-5</v>
      </c>
      <c r="L89" s="212">
        <v>-5</v>
      </c>
      <c r="M89" s="212">
        <v>-5</v>
      </c>
      <c r="N89" s="212">
        <v>-5</v>
      </c>
      <c r="O89" s="212">
        <v>-5</v>
      </c>
      <c r="P89" s="212">
        <v>-5</v>
      </c>
      <c r="Q89" s="212">
        <v>-5</v>
      </c>
      <c r="R89" s="212">
        <v>-5</v>
      </c>
      <c r="S89" s="212">
        <v>-2.5</v>
      </c>
      <c r="T89" s="212">
        <v>-2.5</v>
      </c>
      <c r="U89" s="212">
        <v>-2.5</v>
      </c>
      <c r="V89" s="212">
        <v>-2.5</v>
      </c>
      <c r="W89" s="212">
        <v>-2.5</v>
      </c>
      <c r="X89" s="212">
        <v>-2.5</v>
      </c>
      <c r="Y89" s="212">
        <v>-2.5</v>
      </c>
      <c r="Z89" s="212">
        <v>-2.5</v>
      </c>
      <c r="AA89" s="212">
        <v>-2.5</v>
      </c>
      <c r="AB89" s="212">
        <v>-2.5</v>
      </c>
      <c r="AC89" s="212">
        <v>-2.5</v>
      </c>
      <c r="AD89" s="212">
        <v>-2.5</v>
      </c>
      <c r="AE89" s="212">
        <v>-2.5</v>
      </c>
      <c r="AF89" s="212">
        <v>-2.5</v>
      </c>
      <c r="AG89" s="212">
        <v>-2.5</v>
      </c>
      <c r="AH89" s="212">
        <v>0</v>
      </c>
      <c r="AI89" s="212">
        <v>0</v>
      </c>
      <c r="AJ89" s="212">
        <v>0</v>
      </c>
      <c r="AK89" s="212">
        <v>0</v>
      </c>
      <c r="AL89" s="212">
        <v>0</v>
      </c>
      <c r="AM89" s="212">
        <v>0</v>
      </c>
      <c r="AN89" s="212">
        <v>0</v>
      </c>
      <c r="AO89" s="212">
        <v>0</v>
      </c>
      <c r="AP89" s="213" t="s">
        <v>272</v>
      </c>
      <c r="AQ89" s="212">
        <v>0</v>
      </c>
      <c r="AR89" s="212">
        <v>0</v>
      </c>
      <c r="AS89" s="212">
        <v>0</v>
      </c>
      <c r="AT89" s="212">
        <v>0</v>
      </c>
      <c r="AU89" s="212">
        <v>0</v>
      </c>
      <c r="AV89" s="212">
        <v>0</v>
      </c>
      <c r="AW89" s="212">
        <v>0</v>
      </c>
      <c r="AX89" s="212">
        <v>0</v>
      </c>
      <c r="AY89" s="212">
        <v>0</v>
      </c>
      <c r="AZ89" s="212">
        <v>0</v>
      </c>
      <c r="BA89" s="212">
        <v>0</v>
      </c>
      <c r="BB89" s="212">
        <v>0</v>
      </c>
      <c r="BC89" s="212">
        <v>0</v>
      </c>
      <c r="BD89" s="212">
        <v>0</v>
      </c>
      <c r="BE89" s="212">
        <v>0</v>
      </c>
      <c r="BF89" s="212">
        <v>0</v>
      </c>
      <c r="BG89" s="212">
        <v>0</v>
      </c>
      <c r="BH89" s="212">
        <v>0</v>
      </c>
      <c r="BI89" s="212">
        <v>0</v>
      </c>
      <c r="BJ89" s="212">
        <v>2.5</v>
      </c>
      <c r="BK89" s="212">
        <v>2.5</v>
      </c>
      <c r="BL89" s="212">
        <v>2.5</v>
      </c>
      <c r="BM89" s="212">
        <v>2.5</v>
      </c>
      <c r="BN89" s="212">
        <v>2.5</v>
      </c>
      <c r="BO89" s="212">
        <v>2.5</v>
      </c>
      <c r="BP89" s="212">
        <v>2.5</v>
      </c>
      <c r="BQ89" s="212">
        <v>2.5</v>
      </c>
      <c r="BR89" s="212">
        <v>2.5</v>
      </c>
      <c r="BS89" s="212">
        <v>2.5</v>
      </c>
      <c r="BT89" s="212">
        <v>2.5</v>
      </c>
      <c r="BU89" s="212">
        <v>2.5</v>
      </c>
      <c r="BV89" s="212">
        <v>2.5</v>
      </c>
      <c r="BW89" s="212">
        <v>2.5</v>
      </c>
      <c r="BX89" s="212">
        <v>2.5</v>
      </c>
      <c r="BY89" s="212">
        <v>2.5</v>
      </c>
      <c r="BZ89" s="212">
        <v>2.5</v>
      </c>
      <c r="CA89" s="212">
        <v>2.5</v>
      </c>
      <c r="CB89" s="212">
        <v>2.5</v>
      </c>
      <c r="CC89" s="212">
        <v>2.5</v>
      </c>
      <c r="CD89" s="212">
        <v>2.5</v>
      </c>
      <c r="CE89" s="212">
        <v>2.5</v>
      </c>
      <c r="CF89" s="212">
        <v>2.5</v>
      </c>
      <c r="CG89" s="212">
        <v>2.5</v>
      </c>
      <c r="CH89" s="212">
        <v>2.5</v>
      </c>
      <c r="CI89" s="212">
        <v>2.5</v>
      </c>
      <c r="CJ89" s="212">
        <v>2.5</v>
      </c>
      <c r="CK89" s="212">
        <v>2.5</v>
      </c>
      <c r="CL89" s="212">
        <v>2.5</v>
      </c>
      <c r="CM89" s="212">
        <v>2.5</v>
      </c>
      <c r="CN89" s="212">
        <v>2.5</v>
      </c>
      <c r="CO89" s="212">
        <v>2.5</v>
      </c>
      <c r="CP89" s="212">
        <v>2.5</v>
      </c>
      <c r="CQ89" s="212">
        <v>2.5</v>
      </c>
      <c r="CR89" s="212">
        <v>2.5</v>
      </c>
      <c r="CS89" s="212">
        <v>5</v>
      </c>
      <c r="CT89" s="212">
        <v>5</v>
      </c>
      <c r="CU89" s="212">
        <v>5</v>
      </c>
      <c r="CV89" s="212">
        <v>5</v>
      </c>
      <c r="CW89" s="212">
        <v>5</v>
      </c>
      <c r="CX89" s="212">
        <v>5</v>
      </c>
      <c r="CY89" s="212">
        <v>5</v>
      </c>
      <c r="CZ89" s="212">
        <v>5</v>
      </c>
      <c r="DA89" s="212">
        <v>5</v>
      </c>
      <c r="DB89" s="212">
        <v>5</v>
      </c>
      <c r="DC89" s="212">
        <v>5</v>
      </c>
      <c r="DD89" s="212">
        <v>5</v>
      </c>
      <c r="DE89" s="212">
        <v>7.5</v>
      </c>
      <c r="DF89" s="212">
        <v>7.5</v>
      </c>
      <c r="DG89" s="212">
        <v>7.5</v>
      </c>
      <c r="DH89" s="212">
        <v>7.5</v>
      </c>
      <c r="DI89" s="212">
        <v>7.5</v>
      </c>
      <c r="DJ89" s="212">
        <v>7.5</v>
      </c>
      <c r="DK89" s="212">
        <v>7.5</v>
      </c>
      <c r="DL89" s="212">
        <v>7.5</v>
      </c>
      <c r="DM89" s="212">
        <v>7.5</v>
      </c>
      <c r="DN89" s="212">
        <v>7.5</v>
      </c>
      <c r="DO89" s="212">
        <v>7.5</v>
      </c>
      <c r="DP89" s="212">
        <v>7.5</v>
      </c>
      <c r="DQ89" s="212">
        <v>7.5</v>
      </c>
      <c r="DR89" s="212">
        <v>7.5</v>
      </c>
    </row>
    <row r="90" spans="1:122" ht="22.5" customHeight="1" x14ac:dyDescent="0.65">
      <c r="A90" s="211">
        <v>12</v>
      </c>
      <c r="B90" s="212">
        <v>-2.5</v>
      </c>
      <c r="C90" s="212">
        <v>-2.5</v>
      </c>
      <c r="D90" s="212">
        <v>-2.5</v>
      </c>
      <c r="E90" s="212">
        <v>-2.5</v>
      </c>
      <c r="F90" s="212">
        <v>-2.5</v>
      </c>
      <c r="G90" s="212">
        <v>-5</v>
      </c>
      <c r="H90" s="212">
        <v>-5</v>
      </c>
      <c r="I90" s="212">
        <v>-5</v>
      </c>
      <c r="J90" s="212">
        <v>-5</v>
      </c>
      <c r="K90" s="212">
        <v>-5</v>
      </c>
      <c r="L90" s="212">
        <v>-5</v>
      </c>
      <c r="M90" s="212">
        <v>-5</v>
      </c>
      <c r="N90" s="212">
        <v>-5</v>
      </c>
      <c r="O90" s="212">
        <v>-5</v>
      </c>
      <c r="P90" s="212">
        <v>-5</v>
      </c>
      <c r="Q90" s="212">
        <v>-5</v>
      </c>
      <c r="R90" s="212">
        <v>-2.5</v>
      </c>
      <c r="S90" s="212">
        <v>-2.5</v>
      </c>
      <c r="T90" s="212">
        <v>-2.5</v>
      </c>
      <c r="U90" s="212">
        <v>-2.5</v>
      </c>
      <c r="V90" s="212">
        <v>-2.5</v>
      </c>
      <c r="W90" s="212">
        <v>-2.5</v>
      </c>
      <c r="X90" s="212">
        <v>-2.5</v>
      </c>
      <c r="Y90" s="212">
        <v>-2.5</v>
      </c>
      <c r="Z90" s="212">
        <v>-2.5</v>
      </c>
      <c r="AA90" s="212">
        <v>-2.5</v>
      </c>
      <c r="AB90" s="212">
        <v>-2.5</v>
      </c>
      <c r="AC90" s="212">
        <v>-2.5</v>
      </c>
      <c r="AD90" s="212">
        <v>-2.5</v>
      </c>
      <c r="AE90" s="212">
        <v>-2.5</v>
      </c>
      <c r="AF90" s="212">
        <v>-2.5</v>
      </c>
      <c r="AG90" s="212">
        <v>-2.5</v>
      </c>
      <c r="AH90" s="212">
        <v>-2.5</v>
      </c>
      <c r="AI90" s="212">
        <v>0</v>
      </c>
      <c r="AJ90" s="212">
        <v>0</v>
      </c>
      <c r="AK90" s="212">
        <v>0</v>
      </c>
      <c r="AL90" s="212">
        <v>0</v>
      </c>
      <c r="AM90" s="212">
        <v>0</v>
      </c>
      <c r="AN90" s="212">
        <v>0</v>
      </c>
      <c r="AO90" s="212">
        <v>0</v>
      </c>
      <c r="AP90" s="213" t="s">
        <v>272</v>
      </c>
      <c r="AQ90" s="212">
        <v>0</v>
      </c>
      <c r="AR90" s="212">
        <v>0</v>
      </c>
      <c r="AS90" s="212">
        <v>0</v>
      </c>
      <c r="AT90" s="212">
        <v>0</v>
      </c>
      <c r="AU90" s="212">
        <v>0</v>
      </c>
      <c r="AV90" s="212">
        <v>0</v>
      </c>
      <c r="AW90" s="212">
        <v>0</v>
      </c>
      <c r="AX90" s="212">
        <v>0</v>
      </c>
      <c r="AY90" s="212">
        <v>0</v>
      </c>
      <c r="AZ90" s="212">
        <v>0</v>
      </c>
      <c r="BA90" s="212">
        <v>0</v>
      </c>
      <c r="BB90" s="212">
        <v>0</v>
      </c>
      <c r="BC90" s="212">
        <v>0</v>
      </c>
      <c r="BD90" s="212">
        <v>0</v>
      </c>
      <c r="BE90" s="212">
        <v>0</v>
      </c>
      <c r="BF90" s="212">
        <v>0</v>
      </c>
      <c r="BG90" s="212">
        <v>0</v>
      </c>
      <c r="BH90" s="212">
        <v>0</v>
      </c>
      <c r="BI90" s="212">
        <v>0</v>
      </c>
      <c r="BJ90" s="212">
        <v>2.5</v>
      </c>
      <c r="BK90" s="212">
        <v>2.5</v>
      </c>
      <c r="BL90" s="212">
        <v>2.5</v>
      </c>
      <c r="BM90" s="212">
        <v>2.5</v>
      </c>
      <c r="BN90" s="212">
        <v>2.5</v>
      </c>
      <c r="BO90" s="212">
        <v>2.5</v>
      </c>
      <c r="BP90" s="212">
        <v>2.5</v>
      </c>
      <c r="BQ90" s="212">
        <v>2.5</v>
      </c>
      <c r="BR90" s="212">
        <v>2.5</v>
      </c>
      <c r="BS90" s="212">
        <v>2.5</v>
      </c>
      <c r="BT90" s="212">
        <v>2.5</v>
      </c>
      <c r="BU90" s="212">
        <v>2.5</v>
      </c>
      <c r="BV90" s="212">
        <v>2.5</v>
      </c>
      <c r="BW90" s="212">
        <v>2.5</v>
      </c>
      <c r="BX90" s="212">
        <v>2.5</v>
      </c>
      <c r="BY90" s="212">
        <v>2.5</v>
      </c>
      <c r="BZ90" s="212">
        <v>2.5</v>
      </c>
      <c r="CA90" s="212">
        <v>2.5</v>
      </c>
      <c r="CB90" s="212">
        <v>2.5</v>
      </c>
      <c r="CC90" s="212">
        <v>2.5</v>
      </c>
      <c r="CD90" s="212">
        <v>2.5</v>
      </c>
      <c r="CE90" s="212">
        <v>2.5</v>
      </c>
      <c r="CF90" s="212">
        <v>2.5</v>
      </c>
      <c r="CG90" s="212">
        <v>2.5</v>
      </c>
      <c r="CH90" s="212">
        <v>2.5</v>
      </c>
      <c r="CI90" s="212">
        <v>2.5</v>
      </c>
      <c r="CJ90" s="212">
        <v>2.5</v>
      </c>
      <c r="CK90" s="212">
        <v>2.5</v>
      </c>
      <c r="CL90" s="212">
        <v>2.5</v>
      </c>
      <c r="CM90" s="212">
        <v>2.5</v>
      </c>
      <c r="CN90" s="212">
        <v>2.5</v>
      </c>
      <c r="CO90" s="212">
        <v>2.5</v>
      </c>
      <c r="CP90" s="212">
        <v>2.5</v>
      </c>
      <c r="CQ90" s="212">
        <v>2.5</v>
      </c>
      <c r="CR90" s="212">
        <v>2.5</v>
      </c>
      <c r="CS90" s="212">
        <v>2.5</v>
      </c>
      <c r="CT90" s="212">
        <v>2.5</v>
      </c>
      <c r="CU90" s="212">
        <v>5</v>
      </c>
      <c r="CV90" s="212">
        <v>5</v>
      </c>
      <c r="CW90" s="212">
        <v>5</v>
      </c>
      <c r="CX90" s="212">
        <v>5</v>
      </c>
      <c r="CY90" s="212">
        <v>5</v>
      </c>
      <c r="CZ90" s="212">
        <v>5</v>
      </c>
      <c r="DA90" s="212">
        <v>5</v>
      </c>
      <c r="DB90" s="212">
        <v>5</v>
      </c>
      <c r="DC90" s="212">
        <v>5</v>
      </c>
      <c r="DD90" s="212">
        <v>5</v>
      </c>
      <c r="DE90" s="212">
        <v>5</v>
      </c>
      <c r="DF90" s="212">
        <v>7.5</v>
      </c>
      <c r="DG90" s="212">
        <v>7.5</v>
      </c>
      <c r="DH90" s="212">
        <v>7.5</v>
      </c>
      <c r="DI90" s="212">
        <v>7.5</v>
      </c>
      <c r="DJ90" s="212">
        <v>7.5</v>
      </c>
      <c r="DK90" s="212">
        <v>7.5</v>
      </c>
      <c r="DL90" s="212">
        <v>7.5</v>
      </c>
      <c r="DM90" s="212">
        <v>7.5</v>
      </c>
      <c r="DN90" s="212">
        <v>7.5</v>
      </c>
      <c r="DO90" s="212">
        <v>7.5</v>
      </c>
      <c r="DP90" s="212">
        <v>7.5</v>
      </c>
      <c r="DQ90" s="212">
        <v>7.5</v>
      </c>
      <c r="DR90" s="212">
        <v>7.5</v>
      </c>
    </row>
    <row r="91" spans="1:122" ht="22.5" customHeight="1" x14ac:dyDescent="0.65">
      <c r="A91" s="211">
        <v>11</v>
      </c>
      <c r="B91" s="212">
        <v>-2.5</v>
      </c>
      <c r="C91" s="212">
        <v>-2.5</v>
      </c>
      <c r="D91" s="212">
        <v>-2.5</v>
      </c>
      <c r="E91" s="212">
        <v>-2.5</v>
      </c>
      <c r="F91" s="212">
        <v>-2.5</v>
      </c>
      <c r="G91" s="212">
        <v>-5</v>
      </c>
      <c r="H91" s="212">
        <v>-5</v>
      </c>
      <c r="I91" s="212">
        <v>-5</v>
      </c>
      <c r="J91" s="212">
        <v>-5</v>
      </c>
      <c r="K91" s="212">
        <v>-5</v>
      </c>
      <c r="L91" s="212">
        <v>-5</v>
      </c>
      <c r="M91" s="212">
        <v>-5</v>
      </c>
      <c r="N91" s="212">
        <v>-5</v>
      </c>
      <c r="O91" s="212">
        <v>-5</v>
      </c>
      <c r="P91" s="212">
        <v>-5</v>
      </c>
      <c r="Q91" s="212">
        <v>-5</v>
      </c>
      <c r="R91" s="212">
        <v>-2.5</v>
      </c>
      <c r="S91" s="212">
        <v>-2.5</v>
      </c>
      <c r="T91" s="212">
        <v>-2.5</v>
      </c>
      <c r="U91" s="212">
        <v>-2.5</v>
      </c>
      <c r="V91" s="212">
        <v>-2.5</v>
      </c>
      <c r="W91" s="212">
        <v>-2.5</v>
      </c>
      <c r="X91" s="212">
        <v>-2.5</v>
      </c>
      <c r="Y91" s="212">
        <v>-2.5</v>
      </c>
      <c r="Z91" s="212">
        <v>-2.5</v>
      </c>
      <c r="AA91" s="212">
        <v>-2.5</v>
      </c>
      <c r="AB91" s="212">
        <v>-2.5</v>
      </c>
      <c r="AC91" s="212">
        <v>-2.5</v>
      </c>
      <c r="AD91" s="212">
        <v>-2.5</v>
      </c>
      <c r="AE91" s="212">
        <v>-2.5</v>
      </c>
      <c r="AF91" s="212">
        <v>-2.5</v>
      </c>
      <c r="AG91" s="212">
        <v>-2.5</v>
      </c>
      <c r="AH91" s="212">
        <v>0</v>
      </c>
      <c r="AI91" s="212">
        <v>0</v>
      </c>
      <c r="AJ91" s="212">
        <v>0</v>
      </c>
      <c r="AK91" s="212">
        <v>0</v>
      </c>
      <c r="AL91" s="212">
        <v>0</v>
      </c>
      <c r="AM91" s="212">
        <v>0</v>
      </c>
      <c r="AN91" s="212">
        <v>0</v>
      </c>
      <c r="AO91" s="212">
        <v>0</v>
      </c>
      <c r="AP91" s="213" t="s">
        <v>272</v>
      </c>
      <c r="AQ91" s="212">
        <v>0</v>
      </c>
      <c r="AR91" s="212">
        <v>0</v>
      </c>
      <c r="AS91" s="212">
        <v>0</v>
      </c>
      <c r="AT91" s="212">
        <v>0</v>
      </c>
      <c r="AU91" s="212">
        <v>0</v>
      </c>
      <c r="AV91" s="212">
        <v>0</v>
      </c>
      <c r="AW91" s="212">
        <v>0</v>
      </c>
      <c r="AX91" s="212">
        <v>0</v>
      </c>
      <c r="AY91" s="212">
        <v>0</v>
      </c>
      <c r="AZ91" s="212">
        <v>0</v>
      </c>
      <c r="BA91" s="212">
        <v>0</v>
      </c>
      <c r="BB91" s="212">
        <v>0</v>
      </c>
      <c r="BC91" s="212">
        <v>0</v>
      </c>
      <c r="BD91" s="212">
        <v>0</v>
      </c>
      <c r="BE91" s="212">
        <v>0</v>
      </c>
      <c r="BF91" s="212">
        <v>0</v>
      </c>
      <c r="BG91" s="212">
        <v>0</v>
      </c>
      <c r="BH91" s="212">
        <v>0</v>
      </c>
      <c r="BI91" s="212">
        <v>0</v>
      </c>
      <c r="BJ91" s="212">
        <v>2.5</v>
      </c>
      <c r="BK91" s="212">
        <v>2.5</v>
      </c>
      <c r="BL91" s="212">
        <v>2.5</v>
      </c>
      <c r="BM91" s="212">
        <v>2.5</v>
      </c>
      <c r="BN91" s="212">
        <v>2.5</v>
      </c>
      <c r="BO91" s="212">
        <v>2.5</v>
      </c>
      <c r="BP91" s="212">
        <v>2.5</v>
      </c>
      <c r="BQ91" s="212">
        <v>2.5</v>
      </c>
      <c r="BR91" s="212">
        <v>2.5</v>
      </c>
      <c r="BS91" s="212">
        <v>2.5</v>
      </c>
      <c r="BT91" s="212">
        <v>2.5</v>
      </c>
      <c r="BU91" s="212">
        <v>2.5</v>
      </c>
      <c r="BV91" s="212">
        <v>2.5</v>
      </c>
      <c r="BW91" s="212">
        <v>2.5</v>
      </c>
      <c r="BX91" s="212">
        <v>2.5</v>
      </c>
      <c r="BY91" s="212">
        <v>2.5</v>
      </c>
      <c r="BZ91" s="212">
        <v>2.5</v>
      </c>
      <c r="CA91" s="212">
        <v>2.5</v>
      </c>
      <c r="CB91" s="212">
        <v>2.5</v>
      </c>
      <c r="CC91" s="212">
        <v>2.5</v>
      </c>
      <c r="CD91" s="212">
        <v>2.5</v>
      </c>
      <c r="CE91" s="212">
        <v>2.5</v>
      </c>
      <c r="CF91" s="212">
        <v>2.5</v>
      </c>
      <c r="CG91" s="212">
        <v>2.5</v>
      </c>
      <c r="CH91" s="212">
        <v>2.5</v>
      </c>
      <c r="CI91" s="212">
        <v>2.5</v>
      </c>
      <c r="CJ91" s="212">
        <v>2.5</v>
      </c>
      <c r="CK91" s="212">
        <v>2.5</v>
      </c>
      <c r="CL91" s="212">
        <v>2.5</v>
      </c>
      <c r="CM91" s="212">
        <v>2.5</v>
      </c>
      <c r="CN91" s="212">
        <v>2.5</v>
      </c>
      <c r="CO91" s="212">
        <v>2.5</v>
      </c>
      <c r="CP91" s="212">
        <v>2.5</v>
      </c>
      <c r="CQ91" s="212">
        <v>2.5</v>
      </c>
      <c r="CR91" s="212">
        <v>2.5</v>
      </c>
      <c r="CS91" s="212">
        <v>2.5</v>
      </c>
      <c r="CT91" s="212">
        <v>2.5</v>
      </c>
      <c r="CU91" s="212">
        <v>2.5</v>
      </c>
      <c r="CV91" s="212">
        <v>5</v>
      </c>
      <c r="CW91" s="212">
        <v>5</v>
      </c>
      <c r="CX91" s="212">
        <v>5</v>
      </c>
      <c r="CY91" s="212">
        <v>5</v>
      </c>
      <c r="CZ91" s="212">
        <v>5</v>
      </c>
      <c r="DA91" s="212">
        <v>5</v>
      </c>
      <c r="DB91" s="212">
        <v>5</v>
      </c>
      <c r="DC91" s="212">
        <v>5</v>
      </c>
      <c r="DD91" s="212">
        <v>5</v>
      </c>
      <c r="DE91" s="212">
        <v>5</v>
      </c>
      <c r="DF91" s="212">
        <v>5</v>
      </c>
      <c r="DG91" s="212">
        <v>7.5</v>
      </c>
      <c r="DH91" s="212">
        <v>7.5</v>
      </c>
      <c r="DI91" s="212">
        <v>7.5</v>
      </c>
      <c r="DJ91" s="212">
        <v>7.5</v>
      </c>
      <c r="DK91" s="212">
        <v>7.5</v>
      </c>
      <c r="DL91" s="212">
        <v>7.5</v>
      </c>
      <c r="DM91" s="212">
        <v>7.5</v>
      </c>
      <c r="DN91" s="212">
        <v>7.5</v>
      </c>
      <c r="DO91" s="212">
        <v>7.5</v>
      </c>
      <c r="DP91" s="212">
        <v>7.5</v>
      </c>
      <c r="DQ91" s="212">
        <v>7.5</v>
      </c>
      <c r="DR91" s="212">
        <v>7.5</v>
      </c>
    </row>
    <row r="92" spans="1:122" ht="22.5" customHeight="1" x14ac:dyDescent="0.65">
      <c r="A92" s="211">
        <v>10</v>
      </c>
      <c r="B92" s="212">
        <v>-2.5</v>
      </c>
      <c r="C92" s="212">
        <v>-2.5</v>
      </c>
      <c r="D92" s="212">
        <v>-2.5</v>
      </c>
      <c r="E92" s="212">
        <v>-2.5</v>
      </c>
      <c r="F92" s="212">
        <v>-2.5</v>
      </c>
      <c r="G92" s="212">
        <v>-2.5</v>
      </c>
      <c r="H92" s="212">
        <v>-5</v>
      </c>
      <c r="I92" s="212">
        <v>-5</v>
      </c>
      <c r="J92" s="212">
        <v>-5</v>
      </c>
      <c r="K92" s="212">
        <v>-5</v>
      </c>
      <c r="L92" s="212">
        <v>-5</v>
      </c>
      <c r="M92" s="212">
        <v>-5</v>
      </c>
      <c r="N92" s="212">
        <v>-5</v>
      </c>
      <c r="O92" s="212">
        <v>-5</v>
      </c>
      <c r="P92" s="212">
        <v>-5</v>
      </c>
      <c r="Q92" s="212">
        <v>-2.5</v>
      </c>
      <c r="R92" s="212">
        <v>-2.5</v>
      </c>
      <c r="S92" s="212">
        <v>-2.5</v>
      </c>
      <c r="T92" s="212">
        <v>-2.5</v>
      </c>
      <c r="U92" s="212">
        <v>-2.5</v>
      </c>
      <c r="V92" s="212">
        <v>-2.5</v>
      </c>
      <c r="W92" s="212">
        <v>-2.5</v>
      </c>
      <c r="X92" s="212">
        <v>-2.5</v>
      </c>
      <c r="Y92" s="212">
        <v>-2.5</v>
      </c>
      <c r="Z92" s="212">
        <v>-2.5</v>
      </c>
      <c r="AA92" s="212">
        <v>-2.5</v>
      </c>
      <c r="AB92" s="212">
        <v>-2.5</v>
      </c>
      <c r="AC92" s="212">
        <v>-2.5</v>
      </c>
      <c r="AD92" s="212">
        <v>-2.5</v>
      </c>
      <c r="AE92" s="212">
        <v>-2.5</v>
      </c>
      <c r="AF92" s="212">
        <v>-2.5</v>
      </c>
      <c r="AG92" s="212">
        <v>-2.5</v>
      </c>
      <c r="AH92" s="212">
        <v>0</v>
      </c>
      <c r="AI92" s="212">
        <v>0</v>
      </c>
      <c r="AJ92" s="212">
        <v>0</v>
      </c>
      <c r="AK92" s="212">
        <v>0</v>
      </c>
      <c r="AL92" s="212">
        <v>0</v>
      </c>
      <c r="AM92" s="212">
        <v>0</v>
      </c>
      <c r="AN92" s="212">
        <v>0</v>
      </c>
      <c r="AO92" s="212">
        <v>0</v>
      </c>
      <c r="AP92" s="213" t="s">
        <v>272</v>
      </c>
      <c r="AQ92" s="212">
        <v>0</v>
      </c>
      <c r="AR92" s="212">
        <v>0</v>
      </c>
      <c r="AS92" s="212">
        <v>0</v>
      </c>
      <c r="AT92" s="212">
        <v>0</v>
      </c>
      <c r="AU92" s="212">
        <v>0</v>
      </c>
      <c r="AV92" s="212">
        <v>0</v>
      </c>
      <c r="AW92" s="212">
        <v>0</v>
      </c>
      <c r="AX92" s="212">
        <v>0</v>
      </c>
      <c r="AY92" s="212">
        <v>0</v>
      </c>
      <c r="AZ92" s="212">
        <v>0</v>
      </c>
      <c r="BA92" s="212">
        <v>0</v>
      </c>
      <c r="BB92" s="212">
        <v>0</v>
      </c>
      <c r="BC92" s="212">
        <v>0</v>
      </c>
      <c r="BD92" s="212">
        <v>0</v>
      </c>
      <c r="BE92" s="212">
        <v>0</v>
      </c>
      <c r="BF92" s="212">
        <v>0</v>
      </c>
      <c r="BG92" s="212">
        <v>0</v>
      </c>
      <c r="BH92" s="212">
        <v>0</v>
      </c>
      <c r="BI92" s="212">
        <v>0</v>
      </c>
      <c r="BJ92" s="212">
        <v>2.5</v>
      </c>
      <c r="BK92" s="212">
        <v>2.5</v>
      </c>
      <c r="BL92" s="212">
        <v>2.5</v>
      </c>
      <c r="BM92" s="212">
        <v>2.5</v>
      </c>
      <c r="BN92" s="212">
        <v>2.5</v>
      </c>
      <c r="BO92" s="212">
        <v>2.5</v>
      </c>
      <c r="BP92" s="212">
        <v>2.5</v>
      </c>
      <c r="BQ92" s="212">
        <v>2.5</v>
      </c>
      <c r="BR92" s="212">
        <v>2.5</v>
      </c>
      <c r="BS92" s="212">
        <v>2.5</v>
      </c>
      <c r="BT92" s="212">
        <v>2.5</v>
      </c>
      <c r="BU92" s="212">
        <v>2.5</v>
      </c>
      <c r="BV92" s="212">
        <v>2.5</v>
      </c>
      <c r="BW92" s="212">
        <v>2.5</v>
      </c>
      <c r="BX92" s="212">
        <v>2.5</v>
      </c>
      <c r="BY92" s="212">
        <v>2.5</v>
      </c>
      <c r="BZ92" s="212">
        <v>2.5</v>
      </c>
      <c r="CA92" s="212">
        <v>2.5</v>
      </c>
      <c r="CB92" s="212">
        <v>2.5</v>
      </c>
      <c r="CC92" s="212">
        <v>2.5</v>
      </c>
      <c r="CD92" s="212">
        <v>2.5</v>
      </c>
      <c r="CE92" s="212">
        <v>2.5</v>
      </c>
      <c r="CF92" s="212">
        <v>2.5</v>
      </c>
      <c r="CG92" s="212">
        <v>2.5</v>
      </c>
      <c r="CH92" s="212">
        <v>2.5</v>
      </c>
      <c r="CI92" s="212">
        <v>2.5</v>
      </c>
      <c r="CJ92" s="212">
        <v>2.5</v>
      </c>
      <c r="CK92" s="212">
        <v>2.5</v>
      </c>
      <c r="CL92" s="212">
        <v>2.5</v>
      </c>
      <c r="CM92" s="212">
        <v>2.5</v>
      </c>
      <c r="CN92" s="212">
        <v>2.5</v>
      </c>
      <c r="CO92" s="212">
        <v>2.5</v>
      </c>
      <c r="CP92" s="212">
        <v>2.5</v>
      </c>
      <c r="CQ92" s="212">
        <v>2.5</v>
      </c>
      <c r="CR92" s="212">
        <v>2.5</v>
      </c>
      <c r="CS92" s="212">
        <v>2.5</v>
      </c>
      <c r="CT92" s="212">
        <v>2.5</v>
      </c>
      <c r="CU92" s="212">
        <v>2.5</v>
      </c>
      <c r="CV92" s="212">
        <v>2.5</v>
      </c>
      <c r="CW92" s="212">
        <v>2.5</v>
      </c>
      <c r="CX92" s="212">
        <v>5</v>
      </c>
      <c r="CY92" s="212">
        <v>5</v>
      </c>
      <c r="CZ92" s="212">
        <v>5</v>
      </c>
      <c r="DA92" s="212">
        <v>5</v>
      </c>
      <c r="DB92" s="212">
        <v>5</v>
      </c>
      <c r="DC92" s="212">
        <v>5</v>
      </c>
      <c r="DD92" s="212">
        <v>5</v>
      </c>
      <c r="DE92" s="212">
        <v>5</v>
      </c>
      <c r="DF92" s="212">
        <v>5</v>
      </c>
      <c r="DG92" s="212">
        <v>5</v>
      </c>
      <c r="DH92" s="212">
        <v>7.5</v>
      </c>
      <c r="DI92" s="212">
        <v>7.5</v>
      </c>
      <c r="DJ92" s="212">
        <v>7.5</v>
      </c>
      <c r="DK92" s="212">
        <v>7.5</v>
      </c>
      <c r="DL92" s="212">
        <v>7.5</v>
      </c>
      <c r="DM92" s="212">
        <v>7.5</v>
      </c>
      <c r="DN92" s="212">
        <v>7.5</v>
      </c>
      <c r="DO92" s="212">
        <v>7.5</v>
      </c>
      <c r="DP92" s="212">
        <v>7.5</v>
      </c>
      <c r="DQ92" s="212">
        <v>7.5</v>
      </c>
      <c r="DR92" s="212">
        <v>7.5</v>
      </c>
    </row>
    <row r="93" spans="1:122" ht="22.5" customHeight="1" x14ac:dyDescent="0.65">
      <c r="A93" s="211">
        <v>9</v>
      </c>
      <c r="B93" s="212">
        <v>-2.5</v>
      </c>
      <c r="C93" s="212">
        <v>-2.5</v>
      </c>
      <c r="D93" s="212">
        <v>-2.5</v>
      </c>
      <c r="E93" s="212">
        <v>-2.5</v>
      </c>
      <c r="F93" s="212">
        <v>-2.5</v>
      </c>
      <c r="G93" s="212">
        <v>-2.5</v>
      </c>
      <c r="H93" s="212">
        <v>-2.5</v>
      </c>
      <c r="I93" s="212">
        <v>-5</v>
      </c>
      <c r="J93" s="212">
        <v>-5</v>
      </c>
      <c r="K93" s="212">
        <v>-5</v>
      </c>
      <c r="L93" s="212">
        <v>-5</v>
      </c>
      <c r="M93" s="212">
        <v>-5</v>
      </c>
      <c r="N93" s="212">
        <v>-5</v>
      </c>
      <c r="O93" s="212">
        <v>-5</v>
      </c>
      <c r="P93" s="212">
        <v>-2.5</v>
      </c>
      <c r="Q93" s="212">
        <v>-2.5</v>
      </c>
      <c r="R93" s="212">
        <v>-2.5</v>
      </c>
      <c r="S93" s="212">
        <v>-2.5</v>
      </c>
      <c r="T93" s="212">
        <v>-2.5</v>
      </c>
      <c r="U93" s="212">
        <v>-2.5</v>
      </c>
      <c r="V93" s="212">
        <v>-2.5</v>
      </c>
      <c r="W93" s="212">
        <v>-2.5</v>
      </c>
      <c r="X93" s="212">
        <v>-2.5</v>
      </c>
      <c r="Y93" s="212">
        <v>-2.5</v>
      </c>
      <c r="Z93" s="212">
        <v>-2.5</v>
      </c>
      <c r="AA93" s="212">
        <v>-2.5</v>
      </c>
      <c r="AB93" s="212">
        <v>-2.5</v>
      </c>
      <c r="AC93" s="212">
        <v>-2.5</v>
      </c>
      <c r="AD93" s="212">
        <v>-2.5</v>
      </c>
      <c r="AE93" s="212">
        <v>-2.5</v>
      </c>
      <c r="AF93" s="212">
        <v>-2.5</v>
      </c>
      <c r="AG93" s="212">
        <v>-2.5</v>
      </c>
      <c r="AH93" s="212">
        <v>0</v>
      </c>
      <c r="AI93" s="212">
        <v>0</v>
      </c>
      <c r="AJ93" s="212">
        <v>0</v>
      </c>
      <c r="AK93" s="212">
        <v>0</v>
      </c>
      <c r="AL93" s="212">
        <v>0</v>
      </c>
      <c r="AM93" s="212">
        <v>0</v>
      </c>
      <c r="AN93" s="212">
        <v>0</v>
      </c>
      <c r="AO93" s="212">
        <v>0</v>
      </c>
      <c r="AP93" s="213" t="s">
        <v>272</v>
      </c>
      <c r="AQ93" s="212">
        <v>0</v>
      </c>
      <c r="AR93" s="212">
        <v>0</v>
      </c>
      <c r="AS93" s="212">
        <v>0</v>
      </c>
      <c r="AT93" s="212">
        <v>0</v>
      </c>
      <c r="AU93" s="212">
        <v>0</v>
      </c>
      <c r="AV93" s="212">
        <v>0</v>
      </c>
      <c r="AW93" s="212">
        <v>0</v>
      </c>
      <c r="AX93" s="212">
        <v>0</v>
      </c>
      <c r="AY93" s="212">
        <v>0</v>
      </c>
      <c r="AZ93" s="212">
        <v>0</v>
      </c>
      <c r="BA93" s="212">
        <v>0</v>
      </c>
      <c r="BB93" s="212">
        <v>0</v>
      </c>
      <c r="BC93" s="212">
        <v>0</v>
      </c>
      <c r="BD93" s="212">
        <v>0</v>
      </c>
      <c r="BE93" s="212">
        <v>0</v>
      </c>
      <c r="BF93" s="212">
        <v>0</v>
      </c>
      <c r="BG93" s="212">
        <v>0</v>
      </c>
      <c r="BH93" s="212">
        <v>0</v>
      </c>
      <c r="BI93" s="212">
        <v>0</v>
      </c>
      <c r="BJ93" s="212">
        <v>2.5</v>
      </c>
      <c r="BK93" s="212">
        <v>2.5</v>
      </c>
      <c r="BL93" s="212">
        <v>2.5</v>
      </c>
      <c r="BM93" s="212">
        <v>2.5</v>
      </c>
      <c r="BN93" s="212">
        <v>2.5</v>
      </c>
      <c r="BO93" s="212">
        <v>2.5</v>
      </c>
      <c r="BP93" s="212">
        <v>2.5</v>
      </c>
      <c r="BQ93" s="212">
        <v>2.5</v>
      </c>
      <c r="BR93" s="212">
        <v>2.5</v>
      </c>
      <c r="BS93" s="212">
        <v>2.5</v>
      </c>
      <c r="BT93" s="212">
        <v>2.5</v>
      </c>
      <c r="BU93" s="212">
        <v>2.5</v>
      </c>
      <c r="BV93" s="212">
        <v>2.5</v>
      </c>
      <c r="BW93" s="212">
        <v>2.5</v>
      </c>
      <c r="BX93" s="212">
        <v>2.5</v>
      </c>
      <c r="BY93" s="212">
        <v>2.5</v>
      </c>
      <c r="BZ93" s="212">
        <v>2.5</v>
      </c>
      <c r="CA93" s="212">
        <v>2.5</v>
      </c>
      <c r="CB93" s="212">
        <v>2.5</v>
      </c>
      <c r="CC93" s="212">
        <v>2.5</v>
      </c>
      <c r="CD93" s="212">
        <v>2.5</v>
      </c>
      <c r="CE93" s="212">
        <v>2.5</v>
      </c>
      <c r="CF93" s="212">
        <v>2.5</v>
      </c>
      <c r="CG93" s="212">
        <v>2.5</v>
      </c>
      <c r="CH93" s="212">
        <v>2.5</v>
      </c>
      <c r="CI93" s="212">
        <v>2.5</v>
      </c>
      <c r="CJ93" s="212">
        <v>2.5</v>
      </c>
      <c r="CK93" s="212">
        <v>2.5</v>
      </c>
      <c r="CL93" s="212">
        <v>2.5</v>
      </c>
      <c r="CM93" s="212">
        <v>2.5</v>
      </c>
      <c r="CN93" s="212">
        <v>2.5</v>
      </c>
      <c r="CO93" s="212">
        <v>2.5</v>
      </c>
      <c r="CP93" s="212">
        <v>2.5</v>
      </c>
      <c r="CQ93" s="212">
        <v>2.5</v>
      </c>
      <c r="CR93" s="212">
        <v>2.5</v>
      </c>
      <c r="CS93" s="212">
        <v>2.5</v>
      </c>
      <c r="CT93" s="212">
        <v>2.5</v>
      </c>
      <c r="CU93" s="212">
        <v>2.5</v>
      </c>
      <c r="CV93" s="212">
        <v>2.5</v>
      </c>
      <c r="CW93" s="212">
        <v>5</v>
      </c>
      <c r="CX93" s="212">
        <v>5</v>
      </c>
      <c r="CY93" s="212">
        <v>5</v>
      </c>
      <c r="CZ93" s="212">
        <v>5</v>
      </c>
      <c r="DA93" s="212">
        <v>5</v>
      </c>
      <c r="DB93" s="212">
        <v>5</v>
      </c>
      <c r="DC93" s="212">
        <v>5</v>
      </c>
      <c r="DD93" s="212">
        <v>5</v>
      </c>
      <c r="DE93" s="212">
        <v>5</v>
      </c>
      <c r="DF93" s="212">
        <v>5</v>
      </c>
      <c r="DG93" s="212">
        <v>5</v>
      </c>
      <c r="DH93" s="212">
        <v>5</v>
      </c>
      <c r="DI93" s="212">
        <v>7.5</v>
      </c>
      <c r="DJ93" s="212">
        <v>7.5</v>
      </c>
      <c r="DK93" s="212">
        <v>7.5</v>
      </c>
      <c r="DL93" s="212">
        <v>7.5</v>
      </c>
      <c r="DM93" s="212">
        <v>7.5</v>
      </c>
      <c r="DN93" s="212">
        <v>7.5</v>
      </c>
      <c r="DO93" s="212">
        <v>7.5</v>
      </c>
      <c r="DP93" s="212">
        <v>7.5</v>
      </c>
      <c r="DQ93" s="212">
        <v>7.5</v>
      </c>
      <c r="DR93" s="212">
        <v>7.5</v>
      </c>
    </row>
    <row r="94" spans="1:122" ht="22.5" customHeight="1" x14ac:dyDescent="0.65">
      <c r="A94" s="211">
        <v>8</v>
      </c>
      <c r="B94" s="212">
        <v>-2.5</v>
      </c>
      <c r="C94" s="212">
        <v>-2.5</v>
      </c>
      <c r="D94" s="212">
        <v>-2.5</v>
      </c>
      <c r="E94" s="212">
        <v>-2.5</v>
      </c>
      <c r="F94" s="212">
        <v>-2.5</v>
      </c>
      <c r="G94" s="212">
        <v>-2.5</v>
      </c>
      <c r="H94" s="212">
        <v>-2.5</v>
      </c>
      <c r="I94" s="212">
        <v>-2.5</v>
      </c>
      <c r="J94" s="212">
        <v>-2.5</v>
      </c>
      <c r="K94" s="212">
        <v>-2.5</v>
      </c>
      <c r="L94" s="212">
        <v>-5</v>
      </c>
      <c r="M94" s="212">
        <v>-2.5</v>
      </c>
      <c r="N94" s="212">
        <v>-2.5</v>
      </c>
      <c r="O94" s="212">
        <v>-2.5</v>
      </c>
      <c r="P94" s="212">
        <v>-2.5</v>
      </c>
      <c r="Q94" s="212">
        <v>-2.5</v>
      </c>
      <c r="R94" s="212">
        <v>-2.5</v>
      </c>
      <c r="S94" s="212">
        <v>-2.5</v>
      </c>
      <c r="T94" s="212">
        <v>-2.5</v>
      </c>
      <c r="U94" s="212">
        <v>-2.5</v>
      </c>
      <c r="V94" s="212">
        <v>-2.5</v>
      </c>
      <c r="W94" s="212">
        <v>-2.5</v>
      </c>
      <c r="X94" s="212">
        <v>-2.5</v>
      </c>
      <c r="Y94" s="212">
        <v>-2.5</v>
      </c>
      <c r="Z94" s="212">
        <v>-2.5</v>
      </c>
      <c r="AA94" s="212">
        <v>-2.5</v>
      </c>
      <c r="AB94" s="212">
        <v>-2.5</v>
      </c>
      <c r="AC94" s="212">
        <v>-2.5</v>
      </c>
      <c r="AD94" s="212">
        <v>-2.5</v>
      </c>
      <c r="AE94" s="212">
        <v>-2.5</v>
      </c>
      <c r="AF94" s="212">
        <v>-2.5</v>
      </c>
      <c r="AG94" s="212">
        <v>-2.5</v>
      </c>
      <c r="AH94" s="212">
        <v>0</v>
      </c>
      <c r="AI94" s="212">
        <v>0</v>
      </c>
      <c r="AJ94" s="212">
        <v>0</v>
      </c>
      <c r="AK94" s="212">
        <v>0</v>
      </c>
      <c r="AL94" s="212">
        <v>0</v>
      </c>
      <c r="AM94" s="212">
        <v>0</v>
      </c>
      <c r="AN94" s="212">
        <v>0</v>
      </c>
      <c r="AO94" s="212">
        <v>0</v>
      </c>
      <c r="AP94" s="213" t="s">
        <v>272</v>
      </c>
      <c r="AQ94" s="212">
        <v>0</v>
      </c>
      <c r="AR94" s="212">
        <v>0</v>
      </c>
      <c r="AS94" s="212">
        <v>0</v>
      </c>
      <c r="AT94" s="212">
        <v>0</v>
      </c>
      <c r="AU94" s="212">
        <v>0</v>
      </c>
      <c r="AV94" s="212">
        <v>0</v>
      </c>
      <c r="AW94" s="212">
        <v>0</v>
      </c>
      <c r="AX94" s="212">
        <v>0</v>
      </c>
      <c r="AY94" s="212">
        <v>0</v>
      </c>
      <c r="AZ94" s="212">
        <v>0</v>
      </c>
      <c r="BA94" s="212">
        <v>0</v>
      </c>
      <c r="BB94" s="212">
        <v>0</v>
      </c>
      <c r="BC94" s="212">
        <v>0</v>
      </c>
      <c r="BD94" s="212">
        <v>0</v>
      </c>
      <c r="BE94" s="212">
        <v>0</v>
      </c>
      <c r="BF94" s="212">
        <v>0</v>
      </c>
      <c r="BG94" s="212">
        <v>0</v>
      </c>
      <c r="BH94" s="212">
        <v>0</v>
      </c>
      <c r="BI94" s="212">
        <v>0</v>
      </c>
      <c r="BJ94" s="212">
        <v>2.5</v>
      </c>
      <c r="BK94" s="212">
        <v>2.5</v>
      </c>
      <c r="BL94" s="212">
        <v>2.5</v>
      </c>
      <c r="BM94" s="212">
        <v>2.5</v>
      </c>
      <c r="BN94" s="212">
        <v>2.5</v>
      </c>
      <c r="BO94" s="212">
        <v>2.5</v>
      </c>
      <c r="BP94" s="212">
        <v>2.5</v>
      </c>
      <c r="BQ94" s="212">
        <v>2.5</v>
      </c>
      <c r="BR94" s="212">
        <v>2.5</v>
      </c>
      <c r="BS94" s="212">
        <v>2.5</v>
      </c>
      <c r="BT94" s="212">
        <v>2.5</v>
      </c>
      <c r="BU94" s="212">
        <v>2.5</v>
      </c>
      <c r="BV94" s="212">
        <v>2.5</v>
      </c>
      <c r="BW94" s="212">
        <v>2.5</v>
      </c>
      <c r="BX94" s="212">
        <v>2.5</v>
      </c>
      <c r="BY94" s="212">
        <v>2.5</v>
      </c>
      <c r="BZ94" s="212">
        <v>2.5</v>
      </c>
      <c r="CA94" s="212">
        <v>2.5</v>
      </c>
      <c r="CB94" s="212">
        <v>2.5</v>
      </c>
      <c r="CC94" s="212">
        <v>2.5</v>
      </c>
      <c r="CD94" s="212">
        <v>2.5</v>
      </c>
      <c r="CE94" s="212">
        <v>2.5</v>
      </c>
      <c r="CF94" s="212">
        <v>2.5</v>
      </c>
      <c r="CG94" s="212">
        <v>2.5</v>
      </c>
      <c r="CH94" s="212">
        <v>2.5</v>
      </c>
      <c r="CI94" s="212">
        <v>2.5</v>
      </c>
      <c r="CJ94" s="212">
        <v>2.5</v>
      </c>
      <c r="CK94" s="212">
        <v>2.5</v>
      </c>
      <c r="CL94" s="212">
        <v>2.5</v>
      </c>
      <c r="CM94" s="212">
        <v>2.5</v>
      </c>
      <c r="CN94" s="212">
        <v>2.5</v>
      </c>
      <c r="CO94" s="212">
        <v>2.5</v>
      </c>
      <c r="CP94" s="212">
        <v>2.5</v>
      </c>
      <c r="CQ94" s="212">
        <v>2.5</v>
      </c>
      <c r="CR94" s="212">
        <v>2.5</v>
      </c>
      <c r="CS94" s="212">
        <v>2.5</v>
      </c>
      <c r="CT94" s="212">
        <v>2.5</v>
      </c>
      <c r="CU94" s="212">
        <v>2.5</v>
      </c>
      <c r="CV94" s="212">
        <v>2.5</v>
      </c>
      <c r="CW94" s="212">
        <v>5</v>
      </c>
      <c r="CX94" s="212">
        <v>5</v>
      </c>
      <c r="CY94" s="212">
        <v>5</v>
      </c>
      <c r="CZ94" s="212">
        <v>5</v>
      </c>
      <c r="DA94" s="212">
        <v>5</v>
      </c>
      <c r="DB94" s="212">
        <v>5</v>
      </c>
      <c r="DC94" s="212">
        <v>5</v>
      </c>
      <c r="DD94" s="212">
        <v>5</v>
      </c>
      <c r="DE94" s="212">
        <v>5</v>
      </c>
      <c r="DF94" s="212">
        <v>5</v>
      </c>
      <c r="DG94" s="212">
        <v>5</v>
      </c>
      <c r="DH94" s="212">
        <v>5</v>
      </c>
      <c r="DI94" s="212">
        <v>5</v>
      </c>
      <c r="DJ94" s="212">
        <v>7.5</v>
      </c>
      <c r="DK94" s="212">
        <v>7.5</v>
      </c>
      <c r="DL94" s="212">
        <v>7.5</v>
      </c>
      <c r="DM94" s="212">
        <v>7.5</v>
      </c>
      <c r="DN94" s="212">
        <v>7.5</v>
      </c>
      <c r="DO94" s="212">
        <v>7.5</v>
      </c>
      <c r="DP94" s="212">
        <v>7.5</v>
      </c>
      <c r="DQ94" s="212">
        <v>7.5</v>
      </c>
      <c r="DR94" s="212">
        <v>7.5</v>
      </c>
    </row>
    <row r="95" spans="1:122" ht="22.5" customHeight="1" x14ac:dyDescent="0.65">
      <c r="A95" s="211">
        <v>7</v>
      </c>
      <c r="B95" s="212">
        <v>-2.5</v>
      </c>
      <c r="C95" s="212">
        <v>-2.5</v>
      </c>
      <c r="D95" s="212">
        <v>-2.5</v>
      </c>
      <c r="E95" s="212">
        <v>-2.5</v>
      </c>
      <c r="F95" s="212">
        <v>-2.5</v>
      </c>
      <c r="G95" s="212">
        <v>-2.5</v>
      </c>
      <c r="H95" s="212">
        <v>-2.5</v>
      </c>
      <c r="I95" s="212">
        <v>-2.5</v>
      </c>
      <c r="J95" s="212">
        <v>-2.5</v>
      </c>
      <c r="K95" s="212">
        <v>-2.5</v>
      </c>
      <c r="L95" s="212">
        <v>-2.5</v>
      </c>
      <c r="M95" s="212">
        <v>-2.5</v>
      </c>
      <c r="N95" s="212">
        <v>-2.5</v>
      </c>
      <c r="O95" s="212">
        <v>-2.5</v>
      </c>
      <c r="P95" s="212">
        <v>-2.5</v>
      </c>
      <c r="Q95" s="212">
        <v>-2.5</v>
      </c>
      <c r="R95" s="212">
        <v>-2.5</v>
      </c>
      <c r="S95" s="212">
        <v>-2.5</v>
      </c>
      <c r="T95" s="212">
        <v>-2.5</v>
      </c>
      <c r="U95" s="212">
        <v>-2.5</v>
      </c>
      <c r="V95" s="212">
        <v>-2.5</v>
      </c>
      <c r="W95" s="212">
        <v>-2.5</v>
      </c>
      <c r="X95" s="212">
        <v>-2.5</v>
      </c>
      <c r="Y95" s="212">
        <v>-2.5</v>
      </c>
      <c r="Z95" s="212">
        <v>-2.5</v>
      </c>
      <c r="AA95" s="212">
        <v>-2.5</v>
      </c>
      <c r="AB95" s="212">
        <v>-2.5</v>
      </c>
      <c r="AC95" s="212">
        <v>-2.5</v>
      </c>
      <c r="AD95" s="212">
        <v>-2.5</v>
      </c>
      <c r="AE95" s="212">
        <v>-2.5</v>
      </c>
      <c r="AF95" s="212">
        <v>-2.5</v>
      </c>
      <c r="AG95" s="212">
        <v>0</v>
      </c>
      <c r="AH95" s="212">
        <v>0</v>
      </c>
      <c r="AI95" s="212">
        <v>0</v>
      </c>
      <c r="AJ95" s="212">
        <v>0</v>
      </c>
      <c r="AK95" s="212">
        <v>0</v>
      </c>
      <c r="AL95" s="212">
        <v>0</v>
      </c>
      <c r="AM95" s="212">
        <v>0</v>
      </c>
      <c r="AN95" s="212">
        <v>0</v>
      </c>
      <c r="AO95" s="212">
        <v>0</v>
      </c>
      <c r="AP95" s="213" t="s">
        <v>272</v>
      </c>
      <c r="AQ95" s="212">
        <v>0</v>
      </c>
      <c r="AR95" s="212">
        <v>0</v>
      </c>
      <c r="AS95" s="212">
        <v>0</v>
      </c>
      <c r="AT95" s="212">
        <v>0</v>
      </c>
      <c r="AU95" s="212">
        <v>0</v>
      </c>
      <c r="AV95" s="212">
        <v>0</v>
      </c>
      <c r="AW95" s="212">
        <v>0</v>
      </c>
      <c r="AX95" s="212">
        <v>0</v>
      </c>
      <c r="AY95" s="212">
        <v>0</v>
      </c>
      <c r="AZ95" s="212">
        <v>0</v>
      </c>
      <c r="BA95" s="212">
        <v>0</v>
      </c>
      <c r="BB95" s="212">
        <v>0</v>
      </c>
      <c r="BC95" s="212">
        <v>0</v>
      </c>
      <c r="BD95" s="212">
        <v>0</v>
      </c>
      <c r="BE95" s="212">
        <v>0</v>
      </c>
      <c r="BF95" s="212">
        <v>0</v>
      </c>
      <c r="BG95" s="212">
        <v>0</v>
      </c>
      <c r="BH95" s="212">
        <v>0</v>
      </c>
      <c r="BI95" s="212">
        <v>0</v>
      </c>
      <c r="BJ95" s="212">
        <v>2.5</v>
      </c>
      <c r="BK95" s="212">
        <v>2.5</v>
      </c>
      <c r="BL95" s="212">
        <v>2.5</v>
      </c>
      <c r="BM95" s="212">
        <v>2.5</v>
      </c>
      <c r="BN95" s="212">
        <v>2.5</v>
      </c>
      <c r="BO95" s="212">
        <v>2.5</v>
      </c>
      <c r="BP95" s="212">
        <v>2.5</v>
      </c>
      <c r="BQ95" s="212">
        <v>2.5</v>
      </c>
      <c r="BR95" s="212">
        <v>2.5</v>
      </c>
      <c r="BS95" s="212">
        <v>2.5</v>
      </c>
      <c r="BT95" s="212">
        <v>2.5</v>
      </c>
      <c r="BU95" s="212">
        <v>2.5</v>
      </c>
      <c r="BV95" s="212">
        <v>2.5</v>
      </c>
      <c r="BW95" s="212">
        <v>2.5</v>
      </c>
      <c r="BX95" s="212">
        <v>2.5</v>
      </c>
      <c r="BY95" s="212">
        <v>2.5</v>
      </c>
      <c r="BZ95" s="212">
        <v>2.5</v>
      </c>
      <c r="CA95" s="212">
        <v>2.5</v>
      </c>
      <c r="CB95" s="212">
        <v>2.5</v>
      </c>
      <c r="CC95" s="212">
        <v>2.5</v>
      </c>
      <c r="CD95" s="212">
        <v>2.5</v>
      </c>
      <c r="CE95" s="212">
        <v>2.5</v>
      </c>
      <c r="CF95" s="212">
        <v>2.5</v>
      </c>
      <c r="CG95" s="212">
        <v>2.5</v>
      </c>
      <c r="CH95" s="212">
        <v>2.5</v>
      </c>
      <c r="CI95" s="212">
        <v>2.5</v>
      </c>
      <c r="CJ95" s="212">
        <v>2.5</v>
      </c>
      <c r="CK95" s="212">
        <v>2.5</v>
      </c>
      <c r="CL95" s="212">
        <v>2.5</v>
      </c>
      <c r="CM95" s="212">
        <v>2.5</v>
      </c>
      <c r="CN95" s="212">
        <v>2.5</v>
      </c>
      <c r="CO95" s="212">
        <v>2.5</v>
      </c>
      <c r="CP95" s="212">
        <v>2.5</v>
      </c>
      <c r="CQ95" s="212">
        <v>2.5</v>
      </c>
      <c r="CR95" s="212">
        <v>2.5</v>
      </c>
      <c r="CS95" s="212">
        <v>2.5</v>
      </c>
      <c r="CT95" s="212">
        <v>2.5</v>
      </c>
      <c r="CU95" s="212">
        <v>2.5</v>
      </c>
      <c r="CV95" s="212">
        <v>5</v>
      </c>
      <c r="CW95" s="212">
        <v>5</v>
      </c>
      <c r="CX95" s="212">
        <v>5</v>
      </c>
      <c r="CY95" s="212">
        <v>5</v>
      </c>
      <c r="CZ95" s="212">
        <v>5</v>
      </c>
      <c r="DA95" s="212">
        <v>5</v>
      </c>
      <c r="DB95" s="212">
        <v>5</v>
      </c>
      <c r="DC95" s="212">
        <v>5</v>
      </c>
      <c r="DD95" s="212">
        <v>5</v>
      </c>
      <c r="DE95" s="212">
        <v>5</v>
      </c>
      <c r="DF95" s="212">
        <v>5</v>
      </c>
      <c r="DG95" s="212">
        <v>5</v>
      </c>
      <c r="DH95" s="212">
        <v>5</v>
      </c>
      <c r="DI95" s="212">
        <v>5</v>
      </c>
      <c r="DJ95" s="212">
        <v>5</v>
      </c>
      <c r="DK95" s="212">
        <v>7.5</v>
      </c>
      <c r="DL95" s="212">
        <v>7.5</v>
      </c>
      <c r="DM95" s="212">
        <v>7.5</v>
      </c>
      <c r="DN95" s="212">
        <v>7.5</v>
      </c>
      <c r="DO95" s="212">
        <v>7.5</v>
      </c>
      <c r="DP95" s="212">
        <v>7.5</v>
      </c>
      <c r="DQ95" s="212">
        <v>7.5</v>
      </c>
      <c r="DR95" s="212">
        <v>7.5</v>
      </c>
    </row>
    <row r="96" spans="1:122" ht="22.5" customHeight="1" x14ac:dyDescent="0.65">
      <c r="A96" s="211">
        <v>6</v>
      </c>
      <c r="B96" s="212">
        <v>-2.5</v>
      </c>
      <c r="C96" s="212">
        <v>-2.5</v>
      </c>
      <c r="D96" s="212">
        <v>-2.5</v>
      </c>
      <c r="E96" s="212">
        <v>-2.5</v>
      </c>
      <c r="F96" s="212">
        <v>-2.5</v>
      </c>
      <c r="G96" s="212">
        <v>-2.5</v>
      </c>
      <c r="H96" s="212">
        <v>-2.5</v>
      </c>
      <c r="I96" s="212">
        <v>-2.5</v>
      </c>
      <c r="J96" s="212">
        <v>-2.5</v>
      </c>
      <c r="K96" s="212">
        <v>-2.5</v>
      </c>
      <c r="L96" s="212">
        <v>-2.5</v>
      </c>
      <c r="M96" s="212">
        <v>-2.5</v>
      </c>
      <c r="N96" s="212">
        <v>-2.5</v>
      </c>
      <c r="O96" s="212">
        <v>-2.5</v>
      </c>
      <c r="P96" s="212">
        <v>-2.5</v>
      </c>
      <c r="Q96" s="212">
        <v>-2.5</v>
      </c>
      <c r="R96" s="212">
        <v>-2.5</v>
      </c>
      <c r="S96" s="212">
        <v>-2.5</v>
      </c>
      <c r="T96" s="212">
        <v>-2.5</v>
      </c>
      <c r="U96" s="212">
        <v>-2.5</v>
      </c>
      <c r="V96" s="212">
        <v>-2.5</v>
      </c>
      <c r="W96" s="212">
        <v>-2.5</v>
      </c>
      <c r="X96" s="212">
        <v>-2.5</v>
      </c>
      <c r="Y96" s="212">
        <v>-2.5</v>
      </c>
      <c r="Z96" s="212">
        <v>-2.5</v>
      </c>
      <c r="AA96" s="212">
        <v>-2.5</v>
      </c>
      <c r="AB96" s="212">
        <v>-2.5</v>
      </c>
      <c r="AC96" s="212">
        <v>-2.5</v>
      </c>
      <c r="AD96" s="212">
        <v>-2.5</v>
      </c>
      <c r="AE96" s="212">
        <v>-2.5</v>
      </c>
      <c r="AF96" s="212">
        <v>-2.5</v>
      </c>
      <c r="AG96" s="212">
        <v>0</v>
      </c>
      <c r="AH96" s="212">
        <v>0</v>
      </c>
      <c r="AI96" s="212">
        <v>0</v>
      </c>
      <c r="AJ96" s="212">
        <v>0</v>
      </c>
      <c r="AK96" s="212">
        <v>0</v>
      </c>
      <c r="AL96" s="212">
        <v>0</v>
      </c>
      <c r="AM96" s="212">
        <v>0</v>
      </c>
      <c r="AN96" s="212">
        <v>0</v>
      </c>
      <c r="AO96" s="212">
        <v>0</v>
      </c>
      <c r="AP96" s="213" t="s">
        <v>272</v>
      </c>
      <c r="AQ96" s="212">
        <v>0</v>
      </c>
      <c r="AR96" s="212">
        <v>0</v>
      </c>
      <c r="AS96" s="212">
        <v>0</v>
      </c>
      <c r="AT96" s="212">
        <v>0</v>
      </c>
      <c r="AU96" s="212">
        <v>0</v>
      </c>
      <c r="AV96" s="212">
        <v>0</v>
      </c>
      <c r="AW96" s="212">
        <v>0</v>
      </c>
      <c r="AX96" s="212">
        <v>0</v>
      </c>
      <c r="AY96" s="212">
        <v>0</v>
      </c>
      <c r="AZ96" s="212">
        <v>0</v>
      </c>
      <c r="BA96" s="212">
        <v>0</v>
      </c>
      <c r="BB96" s="212">
        <v>0</v>
      </c>
      <c r="BC96" s="212">
        <v>0</v>
      </c>
      <c r="BD96" s="212">
        <v>0</v>
      </c>
      <c r="BE96" s="212">
        <v>0</v>
      </c>
      <c r="BF96" s="212">
        <v>0</v>
      </c>
      <c r="BG96" s="212">
        <v>0</v>
      </c>
      <c r="BH96" s="212">
        <v>0</v>
      </c>
      <c r="BI96" s="212">
        <v>0</v>
      </c>
      <c r="BJ96" s="212">
        <v>2.5</v>
      </c>
      <c r="BK96" s="212">
        <v>2.5</v>
      </c>
      <c r="BL96" s="212">
        <v>2.5</v>
      </c>
      <c r="BM96" s="212">
        <v>2.5</v>
      </c>
      <c r="BN96" s="212">
        <v>2.5</v>
      </c>
      <c r="BO96" s="212">
        <v>2.5</v>
      </c>
      <c r="BP96" s="212">
        <v>2.5</v>
      </c>
      <c r="BQ96" s="212">
        <v>2.5</v>
      </c>
      <c r="BR96" s="212">
        <v>2.5</v>
      </c>
      <c r="BS96" s="212">
        <v>2.5</v>
      </c>
      <c r="BT96" s="212">
        <v>2.5</v>
      </c>
      <c r="BU96" s="212">
        <v>2.5</v>
      </c>
      <c r="BV96" s="212">
        <v>2.5</v>
      </c>
      <c r="BW96" s="212">
        <v>2.5</v>
      </c>
      <c r="BX96" s="212">
        <v>2.5</v>
      </c>
      <c r="BY96" s="212">
        <v>2.5</v>
      </c>
      <c r="BZ96" s="212">
        <v>2.5</v>
      </c>
      <c r="CA96" s="212">
        <v>2.5</v>
      </c>
      <c r="CB96" s="212">
        <v>2.5</v>
      </c>
      <c r="CC96" s="212">
        <v>2.5</v>
      </c>
      <c r="CD96" s="212">
        <v>2.5</v>
      </c>
      <c r="CE96" s="212">
        <v>2.5</v>
      </c>
      <c r="CF96" s="212">
        <v>2.5</v>
      </c>
      <c r="CG96" s="212">
        <v>2.5</v>
      </c>
      <c r="CH96" s="212">
        <v>2.5</v>
      </c>
      <c r="CI96" s="212">
        <v>2.5</v>
      </c>
      <c r="CJ96" s="212">
        <v>2.5</v>
      </c>
      <c r="CK96" s="212">
        <v>2.5</v>
      </c>
      <c r="CL96" s="212">
        <v>2.5</v>
      </c>
      <c r="CM96" s="212">
        <v>2.5</v>
      </c>
      <c r="CN96" s="212">
        <v>2.5</v>
      </c>
      <c r="CO96" s="212">
        <v>2.5</v>
      </c>
      <c r="CP96" s="212">
        <v>2.5</v>
      </c>
      <c r="CQ96" s="212">
        <v>2.5</v>
      </c>
      <c r="CR96" s="212">
        <v>2.5</v>
      </c>
      <c r="CS96" s="212">
        <v>2.5</v>
      </c>
      <c r="CT96" s="212">
        <v>5</v>
      </c>
      <c r="CU96" s="212">
        <v>5</v>
      </c>
      <c r="CV96" s="212">
        <v>5</v>
      </c>
      <c r="CW96" s="212">
        <v>5</v>
      </c>
      <c r="CX96" s="212">
        <v>5</v>
      </c>
      <c r="CY96" s="212">
        <v>5</v>
      </c>
      <c r="CZ96" s="212">
        <v>5</v>
      </c>
      <c r="DA96" s="212">
        <v>5</v>
      </c>
      <c r="DB96" s="212">
        <v>5</v>
      </c>
      <c r="DC96" s="212">
        <v>5</v>
      </c>
      <c r="DD96" s="212">
        <v>5</v>
      </c>
      <c r="DE96" s="212">
        <v>5</v>
      </c>
      <c r="DF96" s="212">
        <v>5</v>
      </c>
      <c r="DG96" s="212">
        <v>5</v>
      </c>
      <c r="DH96" s="212">
        <v>5</v>
      </c>
      <c r="DI96" s="212">
        <v>5</v>
      </c>
      <c r="DJ96" s="212">
        <v>5</v>
      </c>
      <c r="DK96" s="212">
        <v>5</v>
      </c>
      <c r="DL96" s="212">
        <v>7.5</v>
      </c>
      <c r="DM96" s="212">
        <v>7.5</v>
      </c>
      <c r="DN96" s="212">
        <v>7.5</v>
      </c>
      <c r="DO96" s="212">
        <v>7.5</v>
      </c>
      <c r="DP96" s="212">
        <v>7.5</v>
      </c>
      <c r="DQ96" s="212">
        <v>7.5</v>
      </c>
      <c r="DR96" s="212">
        <v>7.5</v>
      </c>
    </row>
    <row r="97" spans="1:122" ht="22.5" customHeight="1" x14ac:dyDescent="0.65">
      <c r="A97" s="211">
        <v>5</v>
      </c>
      <c r="B97" s="212">
        <v>-2.5</v>
      </c>
      <c r="C97" s="212">
        <v>-2.5</v>
      </c>
      <c r="D97" s="212">
        <v>-2.5</v>
      </c>
      <c r="E97" s="212">
        <v>-2.5</v>
      </c>
      <c r="F97" s="212">
        <v>-2.5</v>
      </c>
      <c r="G97" s="212">
        <v>-2.5</v>
      </c>
      <c r="H97" s="212">
        <v>-2.5</v>
      </c>
      <c r="I97" s="212">
        <v>-2.5</v>
      </c>
      <c r="J97" s="212">
        <v>-2.5</v>
      </c>
      <c r="K97" s="212">
        <v>-2.5</v>
      </c>
      <c r="L97" s="212">
        <v>-2.5</v>
      </c>
      <c r="M97" s="212">
        <v>-2.5</v>
      </c>
      <c r="N97" s="212">
        <v>-2.5</v>
      </c>
      <c r="O97" s="212">
        <v>-2.5</v>
      </c>
      <c r="P97" s="212">
        <v>-2.5</v>
      </c>
      <c r="Q97" s="212">
        <v>-2.5</v>
      </c>
      <c r="R97" s="212">
        <v>-2.5</v>
      </c>
      <c r="S97" s="212">
        <v>-2.5</v>
      </c>
      <c r="T97" s="212">
        <v>-2.5</v>
      </c>
      <c r="U97" s="212">
        <v>-2.5</v>
      </c>
      <c r="V97" s="212">
        <v>-2.5</v>
      </c>
      <c r="W97" s="212">
        <v>-2.5</v>
      </c>
      <c r="X97" s="212">
        <v>-2.5</v>
      </c>
      <c r="Y97" s="212">
        <v>-2.5</v>
      </c>
      <c r="Z97" s="212">
        <v>-2.5</v>
      </c>
      <c r="AA97" s="212">
        <v>-2.5</v>
      </c>
      <c r="AB97" s="212">
        <v>-2.5</v>
      </c>
      <c r="AC97" s="212">
        <v>-2.5</v>
      </c>
      <c r="AD97" s="212">
        <v>-2.5</v>
      </c>
      <c r="AE97" s="212">
        <v>-2.5</v>
      </c>
      <c r="AF97" s="212">
        <v>0</v>
      </c>
      <c r="AG97" s="212">
        <v>0</v>
      </c>
      <c r="AH97" s="212">
        <v>0</v>
      </c>
      <c r="AI97" s="212">
        <v>0</v>
      </c>
      <c r="AJ97" s="212">
        <v>0</v>
      </c>
      <c r="AK97" s="212">
        <v>0</v>
      </c>
      <c r="AL97" s="212">
        <v>0</v>
      </c>
      <c r="AM97" s="212">
        <v>0</v>
      </c>
      <c r="AN97" s="212">
        <v>0</v>
      </c>
      <c r="AO97" s="212">
        <v>0</v>
      </c>
      <c r="AP97" s="213" t="s">
        <v>272</v>
      </c>
      <c r="AQ97" s="212">
        <v>0</v>
      </c>
      <c r="AR97" s="212">
        <v>0</v>
      </c>
      <c r="AS97" s="212">
        <v>0</v>
      </c>
      <c r="AT97" s="212">
        <v>0</v>
      </c>
      <c r="AU97" s="212">
        <v>0</v>
      </c>
      <c r="AV97" s="212">
        <v>0</v>
      </c>
      <c r="AW97" s="212">
        <v>0</v>
      </c>
      <c r="AX97" s="212">
        <v>0</v>
      </c>
      <c r="AY97" s="212">
        <v>0</v>
      </c>
      <c r="AZ97" s="212">
        <v>0</v>
      </c>
      <c r="BA97" s="212">
        <v>0</v>
      </c>
      <c r="BB97" s="212">
        <v>0</v>
      </c>
      <c r="BC97" s="212">
        <v>0</v>
      </c>
      <c r="BD97" s="212">
        <v>0</v>
      </c>
      <c r="BE97" s="212">
        <v>0</v>
      </c>
      <c r="BF97" s="212">
        <v>0</v>
      </c>
      <c r="BG97" s="212">
        <v>0</v>
      </c>
      <c r="BH97" s="212">
        <v>0</v>
      </c>
      <c r="BI97" s="212">
        <v>0</v>
      </c>
      <c r="BJ97" s="212">
        <v>2.5</v>
      </c>
      <c r="BK97" s="212">
        <v>2.5</v>
      </c>
      <c r="BL97" s="212">
        <v>2.5</v>
      </c>
      <c r="BM97" s="212">
        <v>2.5</v>
      </c>
      <c r="BN97" s="212">
        <v>2.5</v>
      </c>
      <c r="BO97" s="212">
        <v>2.5</v>
      </c>
      <c r="BP97" s="212">
        <v>2.5</v>
      </c>
      <c r="BQ97" s="212">
        <v>2.5</v>
      </c>
      <c r="BR97" s="212">
        <v>2.5</v>
      </c>
      <c r="BS97" s="212">
        <v>2.5</v>
      </c>
      <c r="BT97" s="212">
        <v>2.5</v>
      </c>
      <c r="BU97" s="212">
        <v>2.5</v>
      </c>
      <c r="BV97" s="212">
        <v>2.5</v>
      </c>
      <c r="BW97" s="212">
        <v>2.5</v>
      </c>
      <c r="BX97" s="212">
        <v>2.5</v>
      </c>
      <c r="BY97" s="212">
        <v>2.5</v>
      </c>
      <c r="BZ97" s="212">
        <v>2.5</v>
      </c>
      <c r="CA97" s="212">
        <v>2.5</v>
      </c>
      <c r="CB97" s="212">
        <v>2.5</v>
      </c>
      <c r="CC97" s="212">
        <v>2.5</v>
      </c>
      <c r="CD97" s="212">
        <v>2.5</v>
      </c>
      <c r="CE97" s="212">
        <v>2.5</v>
      </c>
      <c r="CF97" s="212">
        <v>2.5</v>
      </c>
      <c r="CG97" s="212">
        <v>2.5</v>
      </c>
      <c r="CH97" s="212">
        <v>2.5</v>
      </c>
      <c r="CI97" s="212">
        <v>2.5</v>
      </c>
      <c r="CJ97" s="212">
        <v>2.5</v>
      </c>
      <c r="CK97" s="212">
        <v>2.5</v>
      </c>
      <c r="CL97" s="212">
        <v>2.5</v>
      </c>
      <c r="CM97" s="212">
        <v>2.5</v>
      </c>
      <c r="CN97" s="212">
        <v>2.5</v>
      </c>
      <c r="CO97" s="212">
        <v>2.5</v>
      </c>
      <c r="CP97" s="212">
        <v>2.5</v>
      </c>
      <c r="CQ97" s="212">
        <v>2.5</v>
      </c>
      <c r="CR97" s="212">
        <v>2.5</v>
      </c>
      <c r="CS97" s="212">
        <v>2.5</v>
      </c>
      <c r="CT97" s="212">
        <v>5</v>
      </c>
      <c r="CU97" s="212">
        <v>5</v>
      </c>
      <c r="CV97" s="212">
        <v>5</v>
      </c>
      <c r="CW97" s="212">
        <v>5</v>
      </c>
      <c r="CX97" s="212">
        <v>5</v>
      </c>
      <c r="CY97" s="212">
        <v>5</v>
      </c>
      <c r="CZ97" s="212">
        <v>5</v>
      </c>
      <c r="DA97" s="212">
        <v>5</v>
      </c>
      <c r="DB97" s="212">
        <v>5</v>
      </c>
      <c r="DC97" s="212">
        <v>5</v>
      </c>
      <c r="DD97" s="212">
        <v>5</v>
      </c>
      <c r="DE97" s="212">
        <v>5</v>
      </c>
      <c r="DF97" s="212">
        <v>5</v>
      </c>
      <c r="DG97" s="212">
        <v>5</v>
      </c>
      <c r="DH97" s="212">
        <v>5</v>
      </c>
      <c r="DI97" s="212">
        <v>5</v>
      </c>
      <c r="DJ97" s="212">
        <v>5</v>
      </c>
      <c r="DK97" s="212">
        <v>5</v>
      </c>
      <c r="DL97" s="212">
        <v>5</v>
      </c>
      <c r="DM97" s="212">
        <v>7.5</v>
      </c>
      <c r="DN97" s="212">
        <v>7.5</v>
      </c>
      <c r="DO97" s="212">
        <v>7.5</v>
      </c>
      <c r="DP97" s="212">
        <v>7.5</v>
      </c>
      <c r="DQ97" s="212">
        <v>7.5</v>
      </c>
      <c r="DR97" s="212">
        <v>7.5</v>
      </c>
    </row>
    <row r="98" spans="1:122" ht="22.5" customHeight="1" x14ac:dyDescent="0.65">
      <c r="A98" s="211">
        <v>4</v>
      </c>
      <c r="B98" s="212">
        <v>-2.5</v>
      </c>
      <c r="C98" s="212">
        <v>-2.5</v>
      </c>
      <c r="D98" s="212">
        <v>-2.5</v>
      </c>
      <c r="E98" s="212">
        <v>-2.5</v>
      </c>
      <c r="F98" s="212">
        <v>-2.5</v>
      </c>
      <c r="G98" s="212">
        <v>-2.5</v>
      </c>
      <c r="H98" s="212">
        <v>-2.5</v>
      </c>
      <c r="I98" s="212">
        <v>-2.5</v>
      </c>
      <c r="J98" s="212">
        <v>-2.5</v>
      </c>
      <c r="K98" s="212">
        <v>-2.5</v>
      </c>
      <c r="L98" s="212">
        <v>-2.5</v>
      </c>
      <c r="M98" s="212">
        <v>-2.5</v>
      </c>
      <c r="N98" s="212">
        <v>-2.5</v>
      </c>
      <c r="O98" s="212">
        <v>-2.5</v>
      </c>
      <c r="P98" s="212">
        <v>-2.5</v>
      </c>
      <c r="Q98" s="212">
        <v>-2.5</v>
      </c>
      <c r="R98" s="212">
        <v>-2.5</v>
      </c>
      <c r="S98" s="212">
        <v>-2.5</v>
      </c>
      <c r="T98" s="212">
        <v>-2.5</v>
      </c>
      <c r="U98" s="212">
        <v>-2.5</v>
      </c>
      <c r="V98" s="212">
        <v>-2.5</v>
      </c>
      <c r="W98" s="212">
        <v>-2.5</v>
      </c>
      <c r="X98" s="212">
        <v>-2.5</v>
      </c>
      <c r="Y98" s="212">
        <v>-2.5</v>
      </c>
      <c r="Z98" s="212">
        <v>-2.5</v>
      </c>
      <c r="AA98" s="212">
        <v>-2.5</v>
      </c>
      <c r="AB98" s="212">
        <v>-2.5</v>
      </c>
      <c r="AC98" s="212">
        <v>-2.5</v>
      </c>
      <c r="AD98" s="212">
        <v>-2.5</v>
      </c>
      <c r="AE98" s="212">
        <v>0</v>
      </c>
      <c r="AF98" s="212">
        <v>0</v>
      </c>
      <c r="AG98" s="212">
        <v>0</v>
      </c>
      <c r="AH98" s="212">
        <v>0</v>
      </c>
      <c r="AI98" s="212">
        <v>0</v>
      </c>
      <c r="AJ98" s="212">
        <v>0</v>
      </c>
      <c r="AK98" s="212">
        <v>0</v>
      </c>
      <c r="AL98" s="212">
        <v>0</v>
      </c>
      <c r="AM98" s="212">
        <v>0</v>
      </c>
      <c r="AN98" s="212">
        <v>0</v>
      </c>
      <c r="AO98" s="212">
        <v>0</v>
      </c>
      <c r="AP98" s="213" t="s">
        <v>272</v>
      </c>
      <c r="AQ98" s="212">
        <v>0</v>
      </c>
      <c r="AR98" s="212">
        <v>0</v>
      </c>
      <c r="AS98" s="212">
        <v>0</v>
      </c>
      <c r="AT98" s="212">
        <v>0</v>
      </c>
      <c r="AU98" s="212">
        <v>0</v>
      </c>
      <c r="AV98" s="212">
        <v>0</v>
      </c>
      <c r="AW98" s="212">
        <v>0</v>
      </c>
      <c r="AX98" s="212">
        <v>0</v>
      </c>
      <c r="AY98" s="212">
        <v>0</v>
      </c>
      <c r="AZ98" s="212">
        <v>0</v>
      </c>
      <c r="BA98" s="212">
        <v>0</v>
      </c>
      <c r="BB98" s="212">
        <v>0</v>
      </c>
      <c r="BC98" s="212">
        <v>0</v>
      </c>
      <c r="BD98" s="212">
        <v>0</v>
      </c>
      <c r="BE98" s="212">
        <v>0</v>
      </c>
      <c r="BF98" s="212">
        <v>0</v>
      </c>
      <c r="BG98" s="212">
        <v>0</v>
      </c>
      <c r="BH98" s="212">
        <v>0</v>
      </c>
      <c r="BI98" s="212">
        <v>2.5</v>
      </c>
      <c r="BJ98" s="212">
        <v>2.5</v>
      </c>
      <c r="BK98" s="212">
        <v>2.5</v>
      </c>
      <c r="BL98" s="212">
        <v>2.5</v>
      </c>
      <c r="BM98" s="212">
        <v>2.5</v>
      </c>
      <c r="BN98" s="212">
        <v>2.5</v>
      </c>
      <c r="BO98" s="212">
        <v>2.5</v>
      </c>
      <c r="BP98" s="212">
        <v>2.5</v>
      </c>
      <c r="BQ98" s="212">
        <v>2.5</v>
      </c>
      <c r="BR98" s="212">
        <v>2.5</v>
      </c>
      <c r="BS98" s="212">
        <v>2.5</v>
      </c>
      <c r="BT98" s="212">
        <v>2.5</v>
      </c>
      <c r="BU98" s="212">
        <v>2.5</v>
      </c>
      <c r="BV98" s="212">
        <v>2.5</v>
      </c>
      <c r="BW98" s="212">
        <v>2.5</v>
      </c>
      <c r="BX98" s="212">
        <v>2.5</v>
      </c>
      <c r="BY98" s="212">
        <v>2.5</v>
      </c>
      <c r="BZ98" s="212">
        <v>2.5</v>
      </c>
      <c r="CA98" s="212">
        <v>2.5</v>
      </c>
      <c r="CB98" s="212">
        <v>2.5</v>
      </c>
      <c r="CC98" s="212">
        <v>2.5</v>
      </c>
      <c r="CD98" s="212">
        <v>2.5</v>
      </c>
      <c r="CE98" s="212">
        <v>2.5</v>
      </c>
      <c r="CF98" s="212">
        <v>2.5</v>
      </c>
      <c r="CG98" s="212">
        <v>2.5</v>
      </c>
      <c r="CH98" s="212">
        <v>2.5</v>
      </c>
      <c r="CI98" s="212">
        <v>2.5</v>
      </c>
      <c r="CJ98" s="212">
        <v>2.5</v>
      </c>
      <c r="CK98" s="212">
        <v>2.5</v>
      </c>
      <c r="CL98" s="212">
        <v>2.5</v>
      </c>
      <c r="CM98" s="212">
        <v>2.5</v>
      </c>
      <c r="CN98" s="212">
        <v>2.5</v>
      </c>
      <c r="CO98" s="212">
        <v>2.5</v>
      </c>
      <c r="CP98" s="212">
        <v>2.5</v>
      </c>
      <c r="CQ98" s="212">
        <v>5</v>
      </c>
      <c r="CR98" s="212">
        <v>5</v>
      </c>
      <c r="CS98" s="212">
        <v>5</v>
      </c>
      <c r="CT98" s="212">
        <v>5</v>
      </c>
      <c r="CU98" s="212">
        <v>5</v>
      </c>
      <c r="CV98" s="212">
        <v>5</v>
      </c>
      <c r="CW98" s="212">
        <v>5</v>
      </c>
      <c r="CX98" s="212">
        <v>5</v>
      </c>
      <c r="CY98" s="212">
        <v>5</v>
      </c>
      <c r="CZ98" s="212">
        <v>5</v>
      </c>
      <c r="DA98" s="212">
        <v>5</v>
      </c>
      <c r="DB98" s="212">
        <v>5</v>
      </c>
      <c r="DC98" s="212">
        <v>5</v>
      </c>
      <c r="DD98" s="212">
        <v>5</v>
      </c>
      <c r="DE98" s="212">
        <v>5</v>
      </c>
      <c r="DF98" s="212">
        <v>5</v>
      </c>
      <c r="DG98" s="212">
        <v>5</v>
      </c>
      <c r="DH98" s="212">
        <v>5</v>
      </c>
      <c r="DI98" s="212">
        <v>5</v>
      </c>
      <c r="DJ98" s="212">
        <v>5</v>
      </c>
      <c r="DK98" s="212">
        <v>5</v>
      </c>
      <c r="DL98" s="212">
        <v>5</v>
      </c>
      <c r="DM98" s="212">
        <v>5</v>
      </c>
      <c r="DN98" s="212">
        <v>7.5</v>
      </c>
      <c r="DO98" s="212">
        <v>7.5</v>
      </c>
      <c r="DP98" s="212">
        <v>7.5</v>
      </c>
      <c r="DQ98" s="212">
        <v>7.5</v>
      </c>
      <c r="DR98" s="212">
        <v>7.5</v>
      </c>
    </row>
    <row r="99" spans="1:122" ht="22.5" customHeight="1" x14ac:dyDescent="0.65">
      <c r="A99" s="211">
        <v>3</v>
      </c>
      <c r="B99" s="212">
        <v>-2.5</v>
      </c>
      <c r="C99" s="212">
        <v>-2.5</v>
      </c>
      <c r="D99" s="212">
        <v>-2.5</v>
      </c>
      <c r="E99" s="212">
        <v>-2.5</v>
      </c>
      <c r="F99" s="212">
        <v>-2.5</v>
      </c>
      <c r="G99" s="212">
        <v>-2.5</v>
      </c>
      <c r="H99" s="212">
        <v>-2.5</v>
      </c>
      <c r="I99" s="212">
        <v>-2.5</v>
      </c>
      <c r="J99" s="212">
        <v>-2.5</v>
      </c>
      <c r="K99" s="212">
        <v>-2.5</v>
      </c>
      <c r="L99" s="212">
        <v>-2.5</v>
      </c>
      <c r="M99" s="212">
        <v>-2.5</v>
      </c>
      <c r="N99" s="212">
        <v>-2.5</v>
      </c>
      <c r="O99" s="212">
        <v>-2.5</v>
      </c>
      <c r="P99" s="212">
        <v>-2.5</v>
      </c>
      <c r="Q99" s="212">
        <v>-2.5</v>
      </c>
      <c r="R99" s="212">
        <v>-2.5</v>
      </c>
      <c r="S99" s="212">
        <v>-2.5</v>
      </c>
      <c r="T99" s="212">
        <v>-2.5</v>
      </c>
      <c r="U99" s="212">
        <v>-2.5</v>
      </c>
      <c r="V99" s="212">
        <v>-2.5</v>
      </c>
      <c r="W99" s="212">
        <v>-2.5</v>
      </c>
      <c r="X99" s="212">
        <v>-2.5</v>
      </c>
      <c r="Y99" s="212">
        <v>-2.5</v>
      </c>
      <c r="Z99" s="212">
        <v>-2.5</v>
      </c>
      <c r="AA99" s="212">
        <v>-2.5</v>
      </c>
      <c r="AB99" s="212">
        <v>-2.5</v>
      </c>
      <c r="AC99" s="212">
        <v>0</v>
      </c>
      <c r="AD99" s="212">
        <v>0</v>
      </c>
      <c r="AE99" s="212">
        <v>0</v>
      </c>
      <c r="AF99" s="212">
        <v>0</v>
      </c>
      <c r="AG99" s="212">
        <v>0</v>
      </c>
      <c r="AH99" s="212">
        <v>0</v>
      </c>
      <c r="AI99" s="212">
        <v>0</v>
      </c>
      <c r="AJ99" s="212">
        <v>0</v>
      </c>
      <c r="AK99" s="212">
        <v>0</v>
      </c>
      <c r="AL99" s="212">
        <v>0</v>
      </c>
      <c r="AM99" s="212">
        <v>0</v>
      </c>
      <c r="AN99" s="212">
        <v>0</v>
      </c>
      <c r="AO99" s="212">
        <v>0</v>
      </c>
      <c r="AP99" s="213" t="s">
        <v>272</v>
      </c>
      <c r="AQ99" s="212">
        <v>0</v>
      </c>
      <c r="AR99" s="212">
        <v>0</v>
      </c>
      <c r="AS99" s="212">
        <v>0</v>
      </c>
      <c r="AT99" s="212">
        <v>0</v>
      </c>
      <c r="AU99" s="212">
        <v>0</v>
      </c>
      <c r="AV99" s="212">
        <v>0</v>
      </c>
      <c r="AW99" s="212">
        <v>0</v>
      </c>
      <c r="AX99" s="212">
        <v>0</v>
      </c>
      <c r="AY99" s="212">
        <v>0</v>
      </c>
      <c r="AZ99" s="212">
        <v>0</v>
      </c>
      <c r="BA99" s="212">
        <v>0</v>
      </c>
      <c r="BB99" s="212">
        <v>0</v>
      </c>
      <c r="BC99" s="212">
        <v>0</v>
      </c>
      <c r="BD99" s="212">
        <v>0</v>
      </c>
      <c r="BE99" s="212">
        <v>0</v>
      </c>
      <c r="BF99" s="212">
        <v>0</v>
      </c>
      <c r="BG99" s="212">
        <v>0</v>
      </c>
      <c r="BH99" s="212">
        <v>0</v>
      </c>
      <c r="BI99" s="212">
        <v>2.5</v>
      </c>
      <c r="BJ99" s="212">
        <v>2.5</v>
      </c>
      <c r="BK99" s="212">
        <v>2.5</v>
      </c>
      <c r="BL99" s="212">
        <v>2.5</v>
      </c>
      <c r="BM99" s="212">
        <v>2.5</v>
      </c>
      <c r="BN99" s="212">
        <v>2.5</v>
      </c>
      <c r="BO99" s="212">
        <v>2.5</v>
      </c>
      <c r="BP99" s="212">
        <v>2.5</v>
      </c>
      <c r="BQ99" s="212">
        <v>2.5</v>
      </c>
      <c r="BR99" s="212">
        <v>2.5</v>
      </c>
      <c r="BS99" s="212">
        <v>2.5</v>
      </c>
      <c r="BT99" s="212">
        <v>2.5</v>
      </c>
      <c r="BU99" s="212">
        <v>2.5</v>
      </c>
      <c r="BV99" s="212">
        <v>2.5</v>
      </c>
      <c r="BW99" s="212">
        <v>2.5</v>
      </c>
      <c r="BX99" s="212">
        <v>2.5</v>
      </c>
      <c r="BY99" s="212">
        <v>2.5</v>
      </c>
      <c r="BZ99" s="212">
        <v>2.5</v>
      </c>
      <c r="CA99" s="212">
        <v>2.5</v>
      </c>
      <c r="CB99" s="212">
        <v>2.5</v>
      </c>
      <c r="CC99" s="212">
        <v>2.5</v>
      </c>
      <c r="CD99" s="212">
        <v>2.5</v>
      </c>
      <c r="CE99" s="212">
        <v>2.5</v>
      </c>
      <c r="CF99" s="212">
        <v>2.5</v>
      </c>
      <c r="CG99" s="212">
        <v>2.5</v>
      </c>
      <c r="CH99" s="212">
        <v>2.5</v>
      </c>
      <c r="CI99" s="212">
        <v>2.5</v>
      </c>
      <c r="CJ99" s="212">
        <v>2.5</v>
      </c>
      <c r="CK99" s="212">
        <v>2.5</v>
      </c>
      <c r="CL99" s="212">
        <v>2.5</v>
      </c>
      <c r="CM99" s="212">
        <v>2.5</v>
      </c>
      <c r="CN99" s="212">
        <v>2.5</v>
      </c>
      <c r="CO99" s="212">
        <v>2.5</v>
      </c>
      <c r="CP99" s="212">
        <v>2.5</v>
      </c>
      <c r="CQ99" s="212">
        <v>5</v>
      </c>
      <c r="CR99" s="212">
        <v>5</v>
      </c>
      <c r="CS99" s="212">
        <v>5</v>
      </c>
      <c r="CT99" s="212">
        <v>5</v>
      </c>
      <c r="CU99" s="212">
        <v>5</v>
      </c>
      <c r="CV99" s="212">
        <v>5</v>
      </c>
      <c r="CW99" s="212">
        <v>5</v>
      </c>
      <c r="CX99" s="212">
        <v>5</v>
      </c>
      <c r="CY99" s="212">
        <v>5</v>
      </c>
      <c r="CZ99" s="212">
        <v>5</v>
      </c>
      <c r="DA99" s="212">
        <v>5</v>
      </c>
      <c r="DB99" s="212">
        <v>5</v>
      </c>
      <c r="DC99" s="212">
        <v>5</v>
      </c>
      <c r="DD99" s="212">
        <v>5</v>
      </c>
      <c r="DE99" s="212">
        <v>5</v>
      </c>
      <c r="DF99" s="212">
        <v>5</v>
      </c>
      <c r="DG99" s="212">
        <v>5</v>
      </c>
      <c r="DH99" s="212">
        <v>5</v>
      </c>
      <c r="DI99" s="212">
        <v>5</v>
      </c>
      <c r="DJ99" s="212">
        <v>5</v>
      </c>
      <c r="DK99" s="212">
        <v>5</v>
      </c>
      <c r="DL99" s="212">
        <v>5</v>
      </c>
      <c r="DM99" s="212">
        <v>5</v>
      </c>
      <c r="DN99" s="212">
        <v>5</v>
      </c>
      <c r="DO99" s="212">
        <v>7.5</v>
      </c>
      <c r="DP99" s="212">
        <v>7.5</v>
      </c>
      <c r="DQ99" s="212">
        <v>7.5</v>
      </c>
      <c r="DR99" s="212">
        <v>7.5</v>
      </c>
    </row>
    <row r="100" spans="1:122" ht="22.5" customHeight="1" x14ac:dyDescent="0.65">
      <c r="A100" s="211">
        <v>2</v>
      </c>
      <c r="B100" s="212">
        <v>-2.5</v>
      </c>
      <c r="C100" s="212">
        <v>-2.5</v>
      </c>
      <c r="D100" s="212">
        <v>-2.5</v>
      </c>
      <c r="E100" s="212">
        <v>-2.5</v>
      </c>
      <c r="F100" s="212">
        <v>-2.5</v>
      </c>
      <c r="G100" s="212">
        <v>-2.5</v>
      </c>
      <c r="H100" s="212">
        <v>-2.5</v>
      </c>
      <c r="I100" s="212">
        <v>-2.5</v>
      </c>
      <c r="J100" s="212">
        <v>-2.5</v>
      </c>
      <c r="K100" s="212">
        <v>-2.5</v>
      </c>
      <c r="L100" s="212">
        <v>-2.5</v>
      </c>
      <c r="M100" s="212">
        <v>-2.5</v>
      </c>
      <c r="N100" s="212">
        <v>-2.5</v>
      </c>
      <c r="O100" s="212">
        <v>-2.5</v>
      </c>
      <c r="P100" s="212">
        <v>-2.5</v>
      </c>
      <c r="Q100" s="212">
        <v>-2.5</v>
      </c>
      <c r="R100" s="212">
        <v>-2.5</v>
      </c>
      <c r="S100" s="212">
        <v>-2.5</v>
      </c>
      <c r="T100" s="212">
        <v>-2.5</v>
      </c>
      <c r="U100" s="212">
        <v>-2.5</v>
      </c>
      <c r="V100" s="212">
        <v>-2.5</v>
      </c>
      <c r="W100" s="212">
        <v>-2.5</v>
      </c>
      <c r="X100" s="212">
        <v>0</v>
      </c>
      <c r="Y100" s="212">
        <v>0</v>
      </c>
      <c r="Z100" s="212">
        <v>0</v>
      </c>
      <c r="AA100" s="212">
        <v>0</v>
      </c>
      <c r="AB100" s="212">
        <v>0</v>
      </c>
      <c r="AC100" s="212">
        <v>0</v>
      </c>
      <c r="AD100" s="212">
        <v>0</v>
      </c>
      <c r="AE100" s="212">
        <v>0</v>
      </c>
      <c r="AF100" s="212">
        <v>0</v>
      </c>
      <c r="AG100" s="212">
        <v>0</v>
      </c>
      <c r="AH100" s="212">
        <v>0</v>
      </c>
      <c r="AI100" s="212">
        <v>0</v>
      </c>
      <c r="AJ100" s="212">
        <v>0</v>
      </c>
      <c r="AK100" s="212">
        <v>0</v>
      </c>
      <c r="AL100" s="212">
        <v>0</v>
      </c>
      <c r="AM100" s="212">
        <v>0</v>
      </c>
      <c r="AN100" s="212">
        <v>0</v>
      </c>
      <c r="AO100" s="212">
        <v>0</v>
      </c>
      <c r="AP100" s="213" t="s">
        <v>272</v>
      </c>
      <c r="AQ100" s="212">
        <v>0</v>
      </c>
      <c r="AR100" s="212">
        <v>0</v>
      </c>
      <c r="AS100" s="212">
        <v>0</v>
      </c>
      <c r="AT100" s="212">
        <v>0</v>
      </c>
      <c r="AU100" s="212">
        <v>0</v>
      </c>
      <c r="AV100" s="212">
        <v>0</v>
      </c>
      <c r="AW100" s="212">
        <v>0</v>
      </c>
      <c r="AX100" s="212">
        <v>0</v>
      </c>
      <c r="AY100" s="212">
        <v>0</v>
      </c>
      <c r="AZ100" s="212">
        <v>0</v>
      </c>
      <c r="BA100" s="212">
        <v>0</v>
      </c>
      <c r="BB100" s="212">
        <v>0</v>
      </c>
      <c r="BC100" s="212">
        <v>0</v>
      </c>
      <c r="BD100" s="212">
        <v>0</v>
      </c>
      <c r="BE100" s="212">
        <v>0</v>
      </c>
      <c r="BF100" s="212">
        <v>0</v>
      </c>
      <c r="BG100" s="212">
        <v>0</v>
      </c>
      <c r="BH100" s="212">
        <v>0</v>
      </c>
      <c r="BI100" s="212">
        <v>2.5</v>
      </c>
      <c r="BJ100" s="212">
        <v>2.5</v>
      </c>
      <c r="BK100" s="212">
        <v>2.5</v>
      </c>
      <c r="BL100" s="212">
        <v>2.5</v>
      </c>
      <c r="BM100" s="212">
        <v>2.5</v>
      </c>
      <c r="BN100" s="212">
        <v>2.5</v>
      </c>
      <c r="BO100" s="212">
        <v>2.5</v>
      </c>
      <c r="BP100" s="212">
        <v>2.5</v>
      </c>
      <c r="BQ100" s="212">
        <v>2.5</v>
      </c>
      <c r="BR100" s="212">
        <v>2.5</v>
      </c>
      <c r="BS100" s="212">
        <v>2.5</v>
      </c>
      <c r="BT100" s="212">
        <v>2.5</v>
      </c>
      <c r="BU100" s="212">
        <v>2.5</v>
      </c>
      <c r="BV100" s="212">
        <v>2.5</v>
      </c>
      <c r="BW100" s="212">
        <v>2.5</v>
      </c>
      <c r="BX100" s="212">
        <v>2.5</v>
      </c>
      <c r="BY100" s="212">
        <v>2.5</v>
      </c>
      <c r="BZ100" s="212">
        <v>2.5</v>
      </c>
      <c r="CA100" s="212">
        <v>2.5</v>
      </c>
      <c r="CB100" s="212">
        <v>2.5</v>
      </c>
      <c r="CC100" s="212">
        <v>2.5</v>
      </c>
      <c r="CD100" s="212">
        <v>2.5</v>
      </c>
      <c r="CE100" s="212">
        <v>2.5</v>
      </c>
      <c r="CF100" s="212">
        <v>2.5</v>
      </c>
      <c r="CG100" s="212">
        <v>2.5</v>
      </c>
      <c r="CH100" s="212">
        <v>2.5</v>
      </c>
      <c r="CI100" s="212">
        <v>2.5</v>
      </c>
      <c r="CJ100" s="212">
        <v>2.5</v>
      </c>
      <c r="CK100" s="212">
        <v>2.5</v>
      </c>
      <c r="CL100" s="212">
        <v>2.5</v>
      </c>
      <c r="CM100" s="212">
        <v>2.5</v>
      </c>
      <c r="CN100" s="212">
        <v>2.5</v>
      </c>
      <c r="CO100" s="212">
        <v>2.5</v>
      </c>
      <c r="CP100" s="212">
        <v>2.5</v>
      </c>
      <c r="CQ100" s="212">
        <v>5</v>
      </c>
      <c r="CR100" s="212">
        <v>5</v>
      </c>
      <c r="CS100" s="212">
        <v>5</v>
      </c>
      <c r="CT100" s="212">
        <v>5</v>
      </c>
      <c r="CU100" s="212">
        <v>5</v>
      </c>
      <c r="CV100" s="212">
        <v>5</v>
      </c>
      <c r="CW100" s="212">
        <v>5</v>
      </c>
      <c r="CX100" s="212">
        <v>5</v>
      </c>
      <c r="CY100" s="212">
        <v>5</v>
      </c>
      <c r="CZ100" s="212">
        <v>5</v>
      </c>
      <c r="DA100" s="212">
        <v>5</v>
      </c>
      <c r="DB100" s="212">
        <v>5</v>
      </c>
      <c r="DC100" s="212">
        <v>5</v>
      </c>
      <c r="DD100" s="212">
        <v>5</v>
      </c>
      <c r="DE100" s="212">
        <v>5</v>
      </c>
      <c r="DF100" s="212">
        <v>5</v>
      </c>
      <c r="DG100" s="212">
        <v>5</v>
      </c>
      <c r="DH100" s="212">
        <v>5</v>
      </c>
      <c r="DI100" s="212">
        <v>5</v>
      </c>
      <c r="DJ100" s="212">
        <v>5</v>
      </c>
      <c r="DK100" s="212">
        <v>5</v>
      </c>
      <c r="DL100" s="212">
        <v>5</v>
      </c>
      <c r="DM100" s="212">
        <v>5</v>
      </c>
      <c r="DN100" s="212">
        <v>5</v>
      </c>
      <c r="DO100" s="212">
        <v>5</v>
      </c>
      <c r="DP100" s="212">
        <v>7.5</v>
      </c>
      <c r="DQ100" s="212">
        <v>7.5</v>
      </c>
      <c r="DR100" s="212">
        <v>7.5</v>
      </c>
    </row>
    <row r="101" spans="1:122" ht="22.5" customHeight="1" x14ac:dyDescent="0.65">
      <c r="A101" s="211">
        <v>1</v>
      </c>
      <c r="B101" s="212">
        <v>-2.5</v>
      </c>
      <c r="C101" s="212">
        <v>-2.5</v>
      </c>
      <c r="D101" s="212">
        <v>-2.5</v>
      </c>
      <c r="E101" s="212">
        <v>-2.5</v>
      </c>
      <c r="F101" s="212">
        <v>-2.5</v>
      </c>
      <c r="G101" s="212">
        <v>-2.5</v>
      </c>
      <c r="H101" s="212">
        <v>-2.5</v>
      </c>
      <c r="I101" s="212">
        <v>-2.5</v>
      </c>
      <c r="J101" s="212">
        <v>-2.5</v>
      </c>
      <c r="K101" s="212">
        <v>-2.5</v>
      </c>
      <c r="L101" s="212">
        <v>0</v>
      </c>
      <c r="M101" s="212">
        <v>0</v>
      </c>
      <c r="N101" s="212">
        <v>0</v>
      </c>
      <c r="O101" s="212">
        <v>0</v>
      </c>
      <c r="P101" s="212">
        <v>0</v>
      </c>
      <c r="Q101" s="212">
        <v>0</v>
      </c>
      <c r="R101" s="212">
        <v>0</v>
      </c>
      <c r="S101" s="212">
        <v>0</v>
      </c>
      <c r="T101" s="212">
        <v>0</v>
      </c>
      <c r="U101" s="212">
        <v>0</v>
      </c>
      <c r="V101" s="212">
        <v>0</v>
      </c>
      <c r="W101" s="212">
        <v>0</v>
      </c>
      <c r="X101" s="212">
        <v>0</v>
      </c>
      <c r="Y101" s="212">
        <v>0</v>
      </c>
      <c r="Z101" s="212">
        <v>0</v>
      </c>
      <c r="AA101" s="212">
        <v>0</v>
      </c>
      <c r="AB101" s="212">
        <v>0</v>
      </c>
      <c r="AC101" s="212">
        <v>0</v>
      </c>
      <c r="AD101" s="212">
        <v>0</v>
      </c>
      <c r="AE101" s="212">
        <v>0</v>
      </c>
      <c r="AF101" s="212">
        <v>0</v>
      </c>
      <c r="AG101" s="212">
        <v>0</v>
      </c>
      <c r="AH101" s="212">
        <v>0</v>
      </c>
      <c r="AI101" s="212">
        <v>0</v>
      </c>
      <c r="AJ101" s="212">
        <v>0</v>
      </c>
      <c r="AK101" s="212">
        <v>0</v>
      </c>
      <c r="AL101" s="212">
        <v>0</v>
      </c>
      <c r="AM101" s="212">
        <v>0</v>
      </c>
      <c r="AN101" s="212">
        <v>0</v>
      </c>
      <c r="AO101" s="212">
        <v>0</v>
      </c>
      <c r="AP101" s="213" t="s">
        <v>272</v>
      </c>
      <c r="AQ101" s="212">
        <v>0</v>
      </c>
      <c r="AR101" s="212">
        <v>0</v>
      </c>
      <c r="AS101" s="212">
        <v>0</v>
      </c>
      <c r="AT101" s="212">
        <v>0</v>
      </c>
      <c r="AU101" s="212">
        <v>0</v>
      </c>
      <c r="AV101" s="212">
        <v>0</v>
      </c>
      <c r="AW101" s="212">
        <v>0</v>
      </c>
      <c r="AX101" s="212">
        <v>0</v>
      </c>
      <c r="AY101" s="212">
        <v>0</v>
      </c>
      <c r="AZ101" s="212">
        <v>0</v>
      </c>
      <c r="BA101" s="212">
        <v>0</v>
      </c>
      <c r="BB101" s="212">
        <v>0</v>
      </c>
      <c r="BC101" s="212">
        <v>0</v>
      </c>
      <c r="BD101" s="212">
        <v>0</v>
      </c>
      <c r="BE101" s="212">
        <v>0</v>
      </c>
      <c r="BF101" s="212">
        <v>0</v>
      </c>
      <c r="BG101" s="212">
        <v>0</v>
      </c>
      <c r="BH101" s="212">
        <v>2.5</v>
      </c>
      <c r="BI101" s="212">
        <v>2.5</v>
      </c>
      <c r="BJ101" s="212">
        <v>2.5</v>
      </c>
      <c r="BK101" s="212">
        <v>2.5</v>
      </c>
      <c r="BL101" s="212">
        <v>2.5</v>
      </c>
      <c r="BM101" s="212">
        <v>2.5</v>
      </c>
      <c r="BN101" s="212">
        <v>2.5</v>
      </c>
      <c r="BO101" s="212">
        <v>2.5</v>
      </c>
      <c r="BP101" s="212">
        <v>2.5</v>
      </c>
      <c r="BQ101" s="212">
        <v>2.5</v>
      </c>
      <c r="BR101" s="212">
        <v>2.5</v>
      </c>
      <c r="BS101" s="212">
        <v>2.5</v>
      </c>
      <c r="BT101" s="212">
        <v>2.5</v>
      </c>
      <c r="BU101" s="212">
        <v>2.5</v>
      </c>
      <c r="BV101" s="212">
        <v>2.5</v>
      </c>
      <c r="BW101" s="212">
        <v>2.5</v>
      </c>
      <c r="BX101" s="212">
        <v>2.5</v>
      </c>
      <c r="BY101" s="212">
        <v>2.5</v>
      </c>
      <c r="BZ101" s="212">
        <v>2.5</v>
      </c>
      <c r="CA101" s="212">
        <v>2.5</v>
      </c>
      <c r="CB101" s="212">
        <v>2.5</v>
      </c>
      <c r="CC101" s="212">
        <v>2.5</v>
      </c>
      <c r="CD101" s="212">
        <v>2.5</v>
      </c>
      <c r="CE101" s="212">
        <v>2.5</v>
      </c>
      <c r="CF101" s="212">
        <v>2.5</v>
      </c>
      <c r="CG101" s="212">
        <v>2.5</v>
      </c>
      <c r="CH101" s="212">
        <v>2.5</v>
      </c>
      <c r="CI101" s="212">
        <v>2.5</v>
      </c>
      <c r="CJ101" s="212">
        <v>2.5</v>
      </c>
      <c r="CK101" s="212">
        <v>2.5</v>
      </c>
      <c r="CL101" s="212">
        <v>2.5</v>
      </c>
      <c r="CM101" s="212">
        <v>2.5</v>
      </c>
      <c r="CN101" s="212">
        <v>2.5</v>
      </c>
      <c r="CO101" s="212">
        <v>2.5</v>
      </c>
      <c r="CP101" s="212">
        <v>5</v>
      </c>
      <c r="CQ101" s="212">
        <v>5</v>
      </c>
      <c r="CR101" s="212">
        <v>5</v>
      </c>
      <c r="CS101" s="212">
        <v>5</v>
      </c>
      <c r="CT101" s="212">
        <v>5</v>
      </c>
      <c r="CU101" s="212">
        <v>5</v>
      </c>
      <c r="CV101" s="212">
        <v>5</v>
      </c>
      <c r="CW101" s="212">
        <v>5</v>
      </c>
      <c r="CX101" s="212">
        <v>5</v>
      </c>
      <c r="CY101" s="212">
        <v>5</v>
      </c>
      <c r="CZ101" s="212">
        <v>5</v>
      </c>
      <c r="DA101" s="212">
        <v>5</v>
      </c>
      <c r="DB101" s="212">
        <v>5</v>
      </c>
      <c r="DC101" s="212">
        <v>5</v>
      </c>
      <c r="DD101" s="212">
        <v>5</v>
      </c>
      <c r="DE101" s="212">
        <v>5</v>
      </c>
      <c r="DF101" s="212">
        <v>5</v>
      </c>
      <c r="DG101" s="212">
        <v>5</v>
      </c>
      <c r="DH101" s="212">
        <v>5</v>
      </c>
      <c r="DI101" s="212">
        <v>5</v>
      </c>
      <c r="DJ101" s="212">
        <v>5</v>
      </c>
      <c r="DK101" s="212">
        <v>5</v>
      </c>
      <c r="DL101" s="212">
        <v>5</v>
      </c>
      <c r="DM101" s="212">
        <v>5</v>
      </c>
      <c r="DN101" s="212">
        <v>5</v>
      </c>
      <c r="DO101" s="212">
        <v>5</v>
      </c>
      <c r="DP101" s="212">
        <v>7.5</v>
      </c>
      <c r="DQ101" s="212">
        <v>7.5</v>
      </c>
      <c r="DR101" s="212">
        <v>7.5</v>
      </c>
    </row>
    <row r="102" spans="1:122" ht="22.5" customHeight="1" x14ac:dyDescent="0.65">
      <c r="A102" s="211">
        <v>0</v>
      </c>
      <c r="B102" s="212">
        <v>0</v>
      </c>
      <c r="C102" s="212">
        <v>0</v>
      </c>
      <c r="D102" s="212">
        <v>0</v>
      </c>
      <c r="E102" s="212">
        <v>0</v>
      </c>
      <c r="F102" s="212">
        <v>0</v>
      </c>
      <c r="G102" s="212">
        <v>0</v>
      </c>
      <c r="H102" s="212">
        <v>0</v>
      </c>
      <c r="I102" s="212">
        <v>0</v>
      </c>
      <c r="J102" s="212">
        <v>0</v>
      </c>
      <c r="K102" s="212">
        <v>0</v>
      </c>
      <c r="L102" s="212">
        <v>0</v>
      </c>
      <c r="M102" s="212">
        <v>0</v>
      </c>
      <c r="N102" s="214" t="s">
        <v>273</v>
      </c>
      <c r="O102" s="214" t="s">
        <v>273</v>
      </c>
      <c r="P102" s="214" t="s">
        <v>273</v>
      </c>
      <c r="Q102" s="214" t="s">
        <v>273</v>
      </c>
      <c r="R102" s="214" t="s">
        <v>273</v>
      </c>
      <c r="S102" s="214" t="s">
        <v>273</v>
      </c>
      <c r="T102" s="214" t="s">
        <v>273</v>
      </c>
      <c r="U102" s="214" t="s">
        <v>273</v>
      </c>
      <c r="V102" s="126" t="s">
        <v>273</v>
      </c>
      <c r="W102" s="212">
        <v>0</v>
      </c>
      <c r="X102" s="212">
        <v>0</v>
      </c>
      <c r="Y102" s="212">
        <v>0</v>
      </c>
      <c r="Z102" s="212">
        <v>0</v>
      </c>
      <c r="AA102" s="212">
        <v>0</v>
      </c>
      <c r="AB102" s="212">
        <v>0</v>
      </c>
      <c r="AC102" s="212">
        <v>0</v>
      </c>
      <c r="AD102" s="212">
        <v>0</v>
      </c>
      <c r="AE102" s="212">
        <v>0</v>
      </c>
      <c r="AF102" s="212">
        <v>0</v>
      </c>
      <c r="AG102" s="212">
        <v>0</v>
      </c>
      <c r="AH102" s="212">
        <v>0</v>
      </c>
      <c r="AI102" s="212">
        <v>0</v>
      </c>
      <c r="AJ102" s="212">
        <v>0</v>
      </c>
      <c r="AK102" s="212">
        <v>0</v>
      </c>
      <c r="AL102" s="212">
        <v>0</v>
      </c>
      <c r="AM102" s="212">
        <v>0</v>
      </c>
      <c r="AN102" s="212">
        <v>0</v>
      </c>
      <c r="AO102" s="212">
        <v>0</v>
      </c>
      <c r="AP102" s="213" t="s">
        <v>272</v>
      </c>
      <c r="AQ102" s="212">
        <v>0</v>
      </c>
      <c r="AR102" s="212">
        <v>0</v>
      </c>
      <c r="AS102" s="212">
        <v>0</v>
      </c>
      <c r="AT102" s="212">
        <v>0</v>
      </c>
      <c r="AU102" s="212">
        <v>0</v>
      </c>
      <c r="AV102" s="212">
        <v>0</v>
      </c>
      <c r="AW102" s="212">
        <v>0</v>
      </c>
      <c r="AX102" s="212">
        <v>0</v>
      </c>
      <c r="AY102" s="212">
        <v>0</v>
      </c>
      <c r="AZ102" s="212">
        <v>0</v>
      </c>
      <c r="BA102" s="212">
        <v>0</v>
      </c>
      <c r="BB102" s="212">
        <v>0</v>
      </c>
      <c r="BC102" s="212">
        <v>0</v>
      </c>
      <c r="BD102" s="212">
        <v>0</v>
      </c>
      <c r="BE102" s="212">
        <v>0</v>
      </c>
      <c r="BF102" s="212">
        <v>0</v>
      </c>
      <c r="BG102" s="212">
        <v>0</v>
      </c>
      <c r="BH102" s="212">
        <v>2.5</v>
      </c>
      <c r="BI102" s="212">
        <v>2.5</v>
      </c>
      <c r="BJ102" s="212">
        <v>2.5</v>
      </c>
      <c r="BK102" s="212">
        <v>2.5</v>
      </c>
      <c r="BL102" s="212">
        <v>2.5</v>
      </c>
      <c r="BM102" s="212">
        <v>2.5</v>
      </c>
      <c r="BN102" s="212">
        <v>2.5</v>
      </c>
      <c r="BO102" s="212">
        <v>2.5</v>
      </c>
      <c r="BP102" s="212">
        <v>2.5</v>
      </c>
      <c r="BQ102" s="212">
        <v>2.5</v>
      </c>
      <c r="BR102" s="212">
        <v>2.5</v>
      </c>
      <c r="BS102" s="212">
        <v>2.5</v>
      </c>
      <c r="BT102" s="212">
        <v>2.5</v>
      </c>
      <c r="BU102" s="212">
        <v>2.5</v>
      </c>
      <c r="BV102" s="212">
        <v>2.5</v>
      </c>
      <c r="BW102" s="212">
        <v>2.5</v>
      </c>
      <c r="BX102" s="212">
        <v>2.5</v>
      </c>
      <c r="BY102" s="212">
        <v>2.5</v>
      </c>
      <c r="BZ102" s="212">
        <v>2.5</v>
      </c>
      <c r="CA102" s="212">
        <v>2.5</v>
      </c>
      <c r="CB102" s="212">
        <v>2.5</v>
      </c>
      <c r="CC102" s="212">
        <v>2.5</v>
      </c>
      <c r="CD102" s="212">
        <v>2.5</v>
      </c>
      <c r="CE102" s="212">
        <v>2.5</v>
      </c>
      <c r="CF102" s="212">
        <v>2.5</v>
      </c>
      <c r="CG102" s="212">
        <v>2.5</v>
      </c>
      <c r="CH102" s="212">
        <v>2.5</v>
      </c>
      <c r="CI102" s="212">
        <v>2.5</v>
      </c>
      <c r="CJ102" s="212">
        <v>2.5</v>
      </c>
      <c r="CK102" s="212">
        <v>2.5</v>
      </c>
      <c r="CL102" s="212">
        <v>2.5</v>
      </c>
      <c r="CM102" s="212">
        <v>2.5</v>
      </c>
      <c r="CN102" s="212">
        <v>2.5</v>
      </c>
      <c r="CO102" s="212">
        <v>5</v>
      </c>
      <c r="CP102" s="212">
        <v>5</v>
      </c>
      <c r="CQ102" s="212">
        <v>5</v>
      </c>
      <c r="CR102" s="212">
        <v>5</v>
      </c>
      <c r="CS102" s="212">
        <v>5</v>
      </c>
      <c r="CT102" s="212">
        <v>5</v>
      </c>
      <c r="CU102" s="212">
        <v>5</v>
      </c>
      <c r="CV102" s="212">
        <v>5</v>
      </c>
      <c r="CW102" s="212">
        <v>5</v>
      </c>
      <c r="CX102" s="212">
        <v>5</v>
      </c>
      <c r="CY102" s="212">
        <v>5</v>
      </c>
      <c r="CZ102" s="212">
        <v>5</v>
      </c>
      <c r="DA102" s="212">
        <v>5</v>
      </c>
      <c r="DB102" s="212">
        <v>5</v>
      </c>
      <c r="DC102" s="212">
        <v>5</v>
      </c>
      <c r="DD102" s="212">
        <v>5</v>
      </c>
      <c r="DE102" s="212">
        <v>5</v>
      </c>
      <c r="DF102" s="212">
        <v>5</v>
      </c>
      <c r="DG102" s="212">
        <v>5</v>
      </c>
      <c r="DH102" s="212">
        <v>5</v>
      </c>
      <c r="DI102" s="212">
        <v>5</v>
      </c>
      <c r="DJ102" s="212">
        <v>5</v>
      </c>
      <c r="DK102" s="212">
        <v>5</v>
      </c>
      <c r="DL102" s="212">
        <v>5</v>
      </c>
      <c r="DM102" s="212">
        <v>5</v>
      </c>
      <c r="DN102" s="212">
        <v>5</v>
      </c>
      <c r="DO102" s="212">
        <v>5</v>
      </c>
      <c r="DP102" s="212">
        <v>7.5</v>
      </c>
      <c r="DQ102" s="212">
        <v>7.5</v>
      </c>
      <c r="DR102" s="212">
        <v>7.5</v>
      </c>
    </row>
    <row r="103" spans="1:122" ht="22.5" customHeight="1" x14ac:dyDescent="0.65">
      <c r="A103" s="211">
        <v>-1</v>
      </c>
      <c r="B103" s="212">
        <v>0</v>
      </c>
      <c r="C103" s="212">
        <v>0</v>
      </c>
      <c r="D103" s="212">
        <v>0</v>
      </c>
      <c r="E103" s="212">
        <v>0</v>
      </c>
      <c r="F103" s="212">
        <v>0</v>
      </c>
      <c r="G103" s="212">
        <v>0</v>
      </c>
      <c r="H103" s="212">
        <v>0</v>
      </c>
      <c r="I103" s="212">
        <v>0</v>
      </c>
      <c r="J103" s="212">
        <v>0</v>
      </c>
      <c r="K103" s="212">
        <v>0</v>
      </c>
      <c r="L103" s="212">
        <v>0</v>
      </c>
      <c r="M103" s="212">
        <v>0</v>
      </c>
      <c r="N103" s="214" t="s">
        <v>273</v>
      </c>
      <c r="O103" s="214" t="s">
        <v>273</v>
      </c>
      <c r="P103" s="214" t="s">
        <v>273</v>
      </c>
      <c r="Q103" s="214" t="s">
        <v>273</v>
      </c>
      <c r="R103" s="214" t="s">
        <v>273</v>
      </c>
      <c r="S103" s="214" t="s">
        <v>273</v>
      </c>
      <c r="T103" s="214" t="s">
        <v>273</v>
      </c>
      <c r="U103" s="214" t="s">
        <v>273</v>
      </c>
      <c r="V103" s="214" t="s">
        <v>273</v>
      </c>
      <c r="W103" s="212">
        <v>0</v>
      </c>
      <c r="X103" s="212">
        <v>0</v>
      </c>
      <c r="Y103" s="212">
        <v>0</v>
      </c>
      <c r="Z103" s="212">
        <v>0</v>
      </c>
      <c r="AA103" s="212">
        <v>0</v>
      </c>
      <c r="AB103" s="212">
        <v>0</v>
      </c>
      <c r="AC103" s="212">
        <v>0</v>
      </c>
      <c r="AD103" s="212">
        <v>0</v>
      </c>
      <c r="AE103" s="212">
        <v>0</v>
      </c>
      <c r="AF103" s="212">
        <v>0</v>
      </c>
      <c r="AG103" s="212">
        <v>0</v>
      </c>
      <c r="AH103" s="212">
        <v>0</v>
      </c>
      <c r="AI103" s="212">
        <v>0</v>
      </c>
      <c r="AJ103" s="212">
        <v>0</v>
      </c>
      <c r="AK103" s="212">
        <v>0</v>
      </c>
      <c r="AL103" s="212">
        <v>0</v>
      </c>
      <c r="AM103" s="212">
        <v>0</v>
      </c>
      <c r="AN103" s="212">
        <v>0</v>
      </c>
      <c r="AO103" s="212">
        <v>0</v>
      </c>
      <c r="AP103" s="213" t="s">
        <v>272</v>
      </c>
      <c r="AQ103" s="212">
        <v>0</v>
      </c>
      <c r="AR103" s="212">
        <v>0</v>
      </c>
      <c r="AS103" s="212">
        <v>0</v>
      </c>
      <c r="AT103" s="212">
        <v>0</v>
      </c>
      <c r="AU103" s="212">
        <v>0</v>
      </c>
      <c r="AV103" s="212">
        <v>0</v>
      </c>
      <c r="AW103" s="212">
        <v>0</v>
      </c>
      <c r="AX103" s="212">
        <v>0</v>
      </c>
      <c r="AY103" s="212">
        <v>0</v>
      </c>
      <c r="AZ103" s="212">
        <v>0</v>
      </c>
      <c r="BA103" s="212">
        <v>0</v>
      </c>
      <c r="BB103" s="212">
        <v>0</v>
      </c>
      <c r="BC103" s="212">
        <v>0</v>
      </c>
      <c r="BD103" s="212">
        <v>0</v>
      </c>
      <c r="BE103" s="212">
        <v>0</v>
      </c>
      <c r="BF103" s="212">
        <v>0</v>
      </c>
      <c r="BG103" s="212">
        <v>2.5</v>
      </c>
      <c r="BH103" s="212">
        <v>2.5</v>
      </c>
      <c r="BI103" s="212">
        <v>2.5</v>
      </c>
      <c r="BJ103" s="212">
        <v>2.5</v>
      </c>
      <c r="BK103" s="212">
        <v>2.5</v>
      </c>
      <c r="BL103" s="212">
        <v>2.5</v>
      </c>
      <c r="BM103" s="212">
        <v>2.5</v>
      </c>
      <c r="BN103" s="212">
        <v>2.5</v>
      </c>
      <c r="BO103" s="212">
        <v>2.5</v>
      </c>
      <c r="BP103" s="212">
        <v>2.5</v>
      </c>
      <c r="BQ103" s="212">
        <v>2.5</v>
      </c>
      <c r="BR103" s="212">
        <v>2.5</v>
      </c>
      <c r="BS103" s="212">
        <v>2.5</v>
      </c>
      <c r="BT103" s="212">
        <v>2.5</v>
      </c>
      <c r="BU103" s="212">
        <v>2.5</v>
      </c>
      <c r="BV103" s="212">
        <v>2.5</v>
      </c>
      <c r="BW103" s="212">
        <v>2.5</v>
      </c>
      <c r="BX103" s="212">
        <v>2.5</v>
      </c>
      <c r="BY103" s="212">
        <v>2.5</v>
      </c>
      <c r="BZ103" s="212">
        <v>2.5</v>
      </c>
      <c r="CA103" s="212">
        <v>2.5</v>
      </c>
      <c r="CB103" s="212">
        <v>2.5</v>
      </c>
      <c r="CC103" s="212">
        <v>2.5</v>
      </c>
      <c r="CD103" s="212">
        <v>2.5</v>
      </c>
      <c r="CE103" s="212">
        <v>2.5</v>
      </c>
      <c r="CF103" s="212">
        <v>2.5</v>
      </c>
      <c r="CG103" s="212">
        <v>2.5</v>
      </c>
      <c r="CH103" s="212">
        <v>2.5</v>
      </c>
      <c r="CI103" s="212">
        <v>2.5</v>
      </c>
      <c r="CJ103" s="212">
        <v>2.5</v>
      </c>
      <c r="CK103" s="212">
        <v>2.5</v>
      </c>
      <c r="CL103" s="212">
        <v>5</v>
      </c>
      <c r="CM103" s="212">
        <v>5</v>
      </c>
      <c r="CN103" s="212">
        <v>5</v>
      </c>
      <c r="CO103" s="212">
        <v>5</v>
      </c>
      <c r="CP103" s="212">
        <v>5</v>
      </c>
      <c r="CQ103" s="212">
        <v>5</v>
      </c>
      <c r="CR103" s="212">
        <v>5</v>
      </c>
      <c r="CS103" s="212">
        <v>5</v>
      </c>
      <c r="CT103" s="212">
        <v>5</v>
      </c>
      <c r="CU103" s="212">
        <v>5</v>
      </c>
      <c r="CV103" s="212">
        <v>5</v>
      </c>
      <c r="CW103" s="212">
        <v>5</v>
      </c>
      <c r="CX103" s="212">
        <v>5</v>
      </c>
      <c r="CY103" s="212">
        <v>5</v>
      </c>
      <c r="CZ103" s="212">
        <v>5</v>
      </c>
      <c r="DA103" s="212">
        <v>5</v>
      </c>
      <c r="DB103" s="212">
        <v>5</v>
      </c>
      <c r="DC103" s="212">
        <v>5</v>
      </c>
      <c r="DD103" s="212">
        <v>5</v>
      </c>
      <c r="DE103" s="212">
        <v>5</v>
      </c>
      <c r="DF103" s="212">
        <v>5</v>
      </c>
      <c r="DG103" s="212">
        <v>5</v>
      </c>
      <c r="DH103" s="212">
        <v>5</v>
      </c>
      <c r="DI103" s="212">
        <v>5</v>
      </c>
      <c r="DJ103" s="212">
        <v>5</v>
      </c>
      <c r="DK103" s="212">
        <v>5</v>
      </c>
      <c r="DL103" s="212">
        <v>5</v>
      </c>
      <c r="DM103" s="212">
        <v>5</v>
      </c>
      <c r="DN103" s="212">
        <v>5</v>
      </c>
      <c r="DO103" s="212">
        <v>5</v>
      </c>
      <c r="DP103" s="212">
        <v>7.5</v>
      </c>
      <c r="DQ103" s="212">
        <v>7.5</v>
      </c>
      <c r="DR103" s="212">
        <v>7.5</v>
      </c>
    </row>
    <row r="104" spans="1:122" ht="22.5" customHeight="1" x14ac:dyDescent="0.65">
      <c r="A104" s="211">
        <v>-2</v>
      </c>
      <c r="B104" s="212">
        <v>0</v>
      </c>
      <c r="C104" s="212">
        <v>0</v>
      </c>
      <c r="D104" s="212">
        <v>0</v>
      </c>
      <c r="E104" s="212">
        <v>0</v>
      </c>
      <c r="F104" s="212">
        <v>0</v>
      </c>
      <c r="G104" s="212">
        <v>0</v>
      </c>
      <c r="H104" s="212">
        <v>0</v>
      </c>
      <c r="I104" s="212">
        <v>0</v>
      </c>
      <c r="J104" s="212">
        <v>0</v>
      </c>
      <c r="K104" s="212">
        <v>0</v>
      </c>
      <c r="L104" s="212">
        <v>0</v>
      </c>
      <c r="M104" s="212">
        <v>0</v>
      </c>
      <c r="N104" s="214" t="s">
        <v>273</v>
      </c>
      <c r="O104" s="214" t="s">
        <v>273</v>
      </c>
      <c r="P104" s="214" t="s">
        <v>273</v>
      </c>
      <c r="Q104" s="214" t="s">
        <v>273</v>
      </c>
      <c r="R104" s="214" t="s">
        <v>273</v>
      </c>
      <c r="S104" s="214" t="s">
        <v>273</v>
      </c>
      <c r="T104" s="214" t="s">
        <v>273</v>
      </c>
      <c r="U104" s="214" t="s">
        <v>273</v>
      </c>
      <c r="V104" s="214" t="s">
        <v>273</v>
      </c>
      <c r="W104" s="212">
        <v>0</v>
      </c>
      <c r="X104" s="212">
        <v>0</v>
      </c>
      <c r="Y104" s="212">
        <v>0</v>
      </c>
      <c r="Z104" s="212">
        <v>0</v>
      </c>
      <c r="AA104" s="212">
        <v>0</v>
      </c>
      <c r="AB104" s="212">
        <v>0</v>
      </c>
      <c r="AC104" s="212">
        <v>0</v>
      </c>
      <c r="AD104" s="212">
        <v>0</v>
      </c>
      <c r="AE104" s="212">
        <v>0</v>
      </c>
      <c r="AF104" s="212">
        <v>0</v>
      </c>
      <c r="AG104" s="212">
        <v>0</v>
      </c>
      <c r="AH104" s="212">
        <v>0</v>
      </c>
      <c r="AI104" s="212">
        <v>0</v>
      </c>
      <c r="AJ104" s="212">
        <v>0</v>
      </c>
      <c r="AK104" s="212">
        <v>0</v>
      </c>
      <c r="AL104" s="212">
        <v>0</v>
      </c>
      <c r="AM104" s="212">
        <v>0</v>
      </c>
      <c r="AN104" s="212">
        <v>0</v>
      </c>
      <c r="AO104" s="212">
        <v>0</v>
      </c>
      <c r="AP104" s="213" t="s">
        <v>272</v>
      </c>
      <c r="AQ104" s="212">
        <v>0</v>
      </c>
      <c r="AR104" s="212">
        <v>0</v>
      </c>
      <c r="AS104" s="212">
        <v>0</v>
      </c>
      <c r="AT104" s="212">
        <v>0</v>
      </c>
      <c r="AU104" s="212">
        <v>0</v>
      </c>
      <c r="AV104" s="212">
        <v>0</v>
      </c>
      <c r="AW104" s="212">
        <v>0</v>
      </c>
      <c r="AX104" s="212">
        <v>0</v>
      </c>
      <c r="AY104" s="212">
        <v>0</v>
      </c>
      <c r="AZ104" s="212">
        <v>0</v>
      </c>
      <c r="BA104" s="212">
        <v>0</v>
      </c>
      <c r="BB104" s="212">
        <v>0</v>
      </c>
      <c r="BC104" s="212">
        <v>0</v>
      </c>
      <c r="BD104" s="212">
        <v>2.5</v>
      </c>
      <c r="BE104" s="212">
        <v>2.5</v>
      </c>
      <c r="BF104" s="212">
        <v>2.5</v>
      </c>
      <c r="BG104" s="212">
        <v>2.5</v>
      </c>
      <c r="BH104" s="212">
        <v>2.5</v>
      </c>
      <c r="BI104" s="212">
        <v>2.5</v>
      </c>
      <c r="BJ104" s="212">
        <v>2.5</v>
      </c>
      <c r="BK104" s="212">
        <v>2.5</v>
      </c>
      <c r="BL104" s="212">
        <v>2.5</v>
      </c>
      <c r="BM104" s="212">
        <v>2.5</v>
      </c>
      <c r="BN104" s="212">
        <v>2.5</v>
      </c>
      <c r="BO104" s="212">
        <v>2.5</v>
      </c>
      <c r="BP104" s="212">
        <v>2.5</v>
      </c>
      <c r="BQ104" s="212">
        <v>2.5</v>
      </c>
      <c r="BR104" s="212">
        <v>2.5</v>
      </c>
      <c r="BS104" s="212">
        <v>2.5</v>
      </c>
      <c r="BT104" s="212">
        <v>2.5</v>
      </c>
      <c r="BU104" s="212">
        <v>2.5</v>
      </c>
      <c r="BV104" s="212">
        <v>2.5</v>
      </c>
      <c r="BW104" s="212">
        <v>2.5</v>
      </c>
      <c r="BX104" s="212">
        <v>2.5</v>
      </c>
      <c r="BY104" s="212">
        <v>2.5</v>
      </c>
      <c r="BZ104" s="212">
        <v>2.5</v>
      </c>
      <c r="CA104" s="212">
        <v>2.5</v>
      </c>
      <c r="CB104" s="212">
        <v>2.5</v>
      </c>
      <c r="CC104" s="212">
        <v>2.5</v>
      </c>
      <c r="CD104" s="212">
        <v>2.5</v>
      </c>
      <c r="CE104" s="212">
        <v>2.5</v>
      </c>
      <c r="CF104" s="212">
        <v>2.5</v>
      </c>
      <c r="CG104" s="212">
        <v>2.5</v>
      </c>
      <c r="CH104" s="212">
        <v>2.5</v>
      </c>
      <c r="CI104" s="212">
        <v>2.5</v>
      </c>
      <c r="CJ104" s="212">
        <v>2.5</v>
      </c>
      <c r="CK104" s="212">
        <v>5</v>
      </c>
      <c r="CL104" s="212">
        <v>5</v>
      </c>
      <c r="CM104" s="212">
        <v>5</v>
      </c>
      <c r="CN104" s="212">
        <v>5</v>
      </c>
      <c r="CO104" s="212">
        <v>5</v>
      </c>
      <c r="CP104" s="212">
        <v>5</v>
      </c>
      <c r="CQ104" s="212">
        <v>5</v>
      </c>
      <c r="CR104" s="212">
        <v>5</v>
      </c>
      <c r="CS104" s="212">
        <v>5</v>
      </c>
      <c r="CT104" s="212">
        <v>5</v>
      </c>
      <c r="CU104" s="212">
        <v>5</v>
      </c>
      <c r="CV104" s="212">
        <v>5</v>
      </c>
      <c r="CW104" s="212">
        <v>5</v>
      </c>
      <c r="CX104" s="212">
        <v>5</v>
      </c>
      <c r="CY104" s="212">
        <v>5</v>
      </c>
      <c r="CZ104" s="212">
        <v>5</v>
      </c>
      <c r="DA104" s="212">
        <v>5</v>
      </c>
      <c r="DB104" s="212">
        <v>5</v>
      </c>
      <c r="DC104" s="212">
        <v>5</v>
      </c>
      <c r="DD104" s="212">
        <v>5</v>
      </c>
      <c r="DE104" s="212">
        <v>5</v>
      </c>
      <c r="DF104" s="212">
        <v>5</v>
      </c>
      <c r="DG104" s="212">
        <v>5</v>
      </c>
      <c r="DH104" s="212">
        <v>5</v>
      </c>
      <c r="DI104" s="212">
        <v>5</v>
      </c>
      <c r="DJ104" s="212">
        <v>5</v>
      </c>
      <c r="DK104" s="212">
        <v>5</v>
      </c>
      <c r="DL104" s="212">
        <v>5</v>
      </c>
      <c r="DM104" s="212">
        <v>5</v>
      </c>
      <c r="DN104" s="212">
        <v>5</v>
      </c>
      <c r="DO104" s="212">
        <v>5</v>
      </c>
      <c r="DP104" s="212">
        <v>7.5</v>
      </c>
      <c r="DQ104" s="212">
        <v>7.5</v>
      </c>
      <c r="DR104" s="212">
        <v>7.5</v>
      </c>
    </row>
    <row r="105" spans="1:122" ht="22.5" customHeight="1" x14ac:dyDescent="0.65">
      <c r="A105" s="211">
        <v>-3</v>
      </c>
      <c r="B105" s="212">
        <v>0</v>
      </c>
      <c r="C105" s="212">
        <v>0</v>
      </c>
      <c r="D105" s="212">
        <v>0</v>
      </c>
      <c r="E105" s="212">
        <v>0</v>
      </c>
      <c r="F105" s="212">
        <v>0</v>
      </c>
      <c r="G105" s="212">
        <v>0</v>
      </c>
      <c r="H105" s="212">
        <v>0</v>
      </c>
      <c r="I105" s="212">
        <v>0</v>
      </c>
      <c r="J105" s="212">
        <v>0</v>
      </c>
      <c r="K105" s="212">
        <v>0</v>
      </c>
      <c r="L105" s="212">
        <v>0</v>
      </c>
      <c r="M105" s="212">
        <v>0</v>
      </c>
      <c r="N105" s="214" t="s">
        <v>273</v>
      </c>
      <c r="O105" s="214" t="s">
        <v>273</v>
      </c>
      <c r="P105" s="214" t="s">
        <v>273</v>
      </c>
      <c r="Q105" s="214" t="s">
        <v>273</v>
      </c>
      <c r="R105" s="214" t="s">
        <v>273</v>
      </c>
      <c r="S105" s="214" t="s">
        <v>273</v>
      </c>
      <c r="T105" s="214" t="s">
        <v>273</v>
      </c>
      <c r="U105" s="214" t="s">
        <v>273</v>
      </c>
      <c r="V105" s="214" t="s">
        <v>273</v>
      </c>
      <c r="W105" s="212">
        <v>0</v>
      </c>
      <c r="X105" s="212">
        <v>0</v>
      </c>
      <c r="Y105" s="212">
        <v>0</v>
      </c>
      <c r="Z105" s="212">
        <v>0</v>
      </c>
      <c r="AA105" s="212">
        <v>0</v>
      </c>
      <c r="AB105" s="212">
        <v>0</v>
      </c>
      <c r="AC105" s="212">
        <v>0</v>
      </c>
      <c r="AD105" s="212">
        <v>0</v>
      </c>
      <c r="AE105" s="212">
        <v>0</v>
      </c>
      <c r="AF105" s="212">
        <v>0</v>
      </c>
      <c r="AG105" s="212">
        <v>0</v>
      </c>
      <c r="AH105" s="212">
        <v>0</v>
      </c>
      <c r="AI105" s="212">
        <v>0</v>
      </c>
      <c r="AJ105" s="212">
        <v>0</v>
      </c>
      <c r="AK105" s="212">
        <v>0</v>
      </c>
      <c r="AL105" s="212">
        <v>0</v>
      </c>
      <c r="AM105" s="212">
        <v>0</v>
      </c>
      <c r="AN105" s="212">
        <v>0</v>
      </c>
      <c r="AO105" s="212">
        <v>0</v>
      </c>
      <c r="AP105" s="213" t="s">
        <v>272</v>
      </c>
      <c r="AQ105" s="212">
        <v>0</v>
      </c>
      <c r="AR105" s="212">
        <v>0</v>
      </c>
      <c r="AS105" s="212">
        <v>0</v>
      </c>
      <c r="AT105" s="212">
        <v>0</v>
      </c>
      <c r="AU105" s="212">
        <v>0</v>
      </c>
      <c r="AV105" s="212">
        <v>0</v>
      </c>
      <c r="AW105" s="212">
        <v>0</v>
      </c>
      <c r="AX105" s="212">
        <v>0</v>
      </c>
      <c r="AY105" s="212">
        <v>0</v>
      </c>
      <c r="AZ105" s="212">
        <v>0</v>
      </c>
      <c r="BA105" s="212">
        <v>2.5</v>
      </c>
      <c r="BB105" s="212">
        <v>2.5</v>
      </c>
      <c r="BC105" s="212">
        <v>2.5</v>
      </c>
      <c r="BD105" s="212">
        <v>2.5</v>
      </c>
      <c r="BE105" s="212">
        <v>2.5</v>
      </c>
      <c r="BF105" s="212">
        <v>2.5</v>
      </c>
      <c r="BG105" s="212">
        <v>2.5</v>
      </c>
      <c r="BH105" s="212">
        <v>2.5</v>
      </c>
      <c r="BI105" s="212">
        <v>2.5</v>
      </c>
      <c r="BJ105" s="212">
        <v>2.5</v>
      </c>
      <c r="BK105" s="212">
        <v>2.5</v>
      </c>
      <c r="BL105" s="212">
        <v>2.5</v>
      </c>
      <c r="BM105" s="212">
        <v>2.5</v>
      </c>
      <c r="BN105" s="212">
        <v>2.5</v>
      </c>
      <c r="BO105" s="212">
        <v>2.5</v>
      </c>
      <c r="BP105" s="212">
        <v>2.5</v>
      </c>
      <c r="BQ105" s="212">
        <v>2.5</v>
      </c>
      <c r="BR105" s="212">
        <v>2.5</v>
      </c>
      <c r="BS105" s="212">
        <v>2.5</v>
      </c>
      <c r="BT105" s="212">
        <v>2.5</v>
      </c>
      <c r="BU105" s="212">
        <v>2.5</v>
      </c>
      <c r="BV105" s="212">
        <v>2.5</v>
      </c>
      <c r="BW105" s="212">
        <v>2.5</v>
      </c>
      <c r="BX105" s="212">
        <v>2.5</v>
      </c>
      <c r="BY105" s="212">
        <v>2.5</v>
      </c>
      <c r="BZ105" s="212">
        <v>2.5</v>
      </c>
      <c r="CA105" s="212">
        <v>2.5</v>
      </c>
      <c r="CB105" s="212">
        <v>2.5</v>
      </c>
      <c r="CC105" s="212">
        <v>2.5</v>
      </c>
      <c r="CD105" s="212">
        <v>2.5</v>
      </c>
      <c r="CE105" s="212">
        <v>2.5</v>
      </c>
      <c r="CF105" s="212">
        <v>2.5</v>
      </c>
      <c r="CG105" s="212">
        <v>5</v>
      </c>
      <c r="CH105" s="212">
        <v>5</v>
      </c>
      <c r="CI105" s="212">
        <v>5</v>
      </c>
      <c r="CJ105" s="212">
        <v>5</v>
      </c>
      <c r="CK105" s="212">
        <v>5</v>
      </c>
      <c r="CL105" s="212">
        <v>5</v>
      </c>
      <c r="CM105" s="212">
        <v>5</v>
      </c>
      <c r="CN105" s="212">
        <v>5</v>
      </c>
      <c r="CO105" s="212">
        <v>5</v>
      </c>
      <c r="CP105" s="212">
        <v>5</v>
      </c>
      <c r="CQ105" s="212">
        <v>5</v>
      </c>
      <c r="CR105" s="212">
        <v>5</v>
      </c>
      <c r="CS105" s="212">
        <v>5</v>
      </c>
      <c r="CT105" s="212">
        <v>5</v>
      </c>
      <c r="CU105" s="212">
        <v>5</v>
      </c>
      <c r="CV105" s="212">
        <v>5</v>
      </c>
      <c r="CW105" s="212">
        <v>5</v>
      </c>
      <c r="CX105" s="212">
        <v>5</v>
      </c>
      <c r="CY105" s="212">
        <v>5</v>
      </c>
      <c r="CZ105" s="212">
        <v>5</v>
      </c>
      <c r="DA105" s="212">
        <v>5</v>
      </c>
      <c r="DB105" s="212">
        <v>5</v>
      </c>
      <c r="DC105" s="212">
        <v>5</v>
      </c>
      <c r="DD105" s="212">
        <v>5</v>
      </c>
      <c r="DE105" s="212">
        <v>5</v>
      </c>
      <c r="DF105" s="212">
        <v>5</v>
      </c>
      <c r="DG105" s="212">
        <v>5</v>
      </c>
      <c r="DH105" s="212">
        <v>5</v>
      </c>
      <c r="DI105" s="212">
        <v>5</v>
      </c>
      <c r="DJ105" s="212">
        <v>5</v>
      </c>
      <c r="DK105" s="212">
        <v>5</v>
      </c>
      <c r="DL105" s="212">
        <v>5</v>
      </c>
      <c r="DM105" s="212">
        <v>5</v>
      </c>
      <c r="DN105" s="212">
        <v>5</v>
      </c>
      <c r="DO105" s="212">
        <v>5</v>
      </c>
      <c r="DP105" s="212">
        <v>7.5</v>
      </c>
      <c r="DQ105" s="212">
        <v>7.5</v>
      </c>
      <c r="DR105" s="212">
        <v>7.5</v>
      </c>
    </row>
    <row r="106" spans="1:122" ht="22.5" customHeight="1" x14ac:dyDescent="0.65">
      <c r="A106" s="211">
        <v>-4</v>
      </c>
      <c r="B106" s="212">
        <v>0</v>
      </c>
      <c r="C106" s="212">
        <v>0</v>
      </c>
      <c r="D106" s="212">
        <v>0</v>
      </c>
      <c r="E106" s="212">
        <v>0</v>
      </c>
      <c r="F106" s="212">
        <v>0</v>
      </c>
      <c r="G106" s="212">
        <v>0</v>
      </c>
      <c r="H106" s="212">
        <v>0</v>
      </c>
      <c r="I106" s="212">
        <v>0</v>
      </c>
      <c r="J106" s="212">
        <v>0</v>
      </c>
      <c r="K106" s="212">
        <v>0</v>
      </c>
      <c r="L106" s="212">
        <v>0</v>
      </c>
      <c r="M106" s="212">
        <v>0</v>
      </c>
      <c r="N106" s="214" t="s">
        <v>273</v>
      </c>
      <c r="O106" s="214" t="s">
        <v>273</v>
      </c>
      <c r="P106" s="214" t="s">
        <v>273</v>
      </c>
      <c r="Q106" s="214" t="s">
        <v>273</v>
      </c>
      <c r="R106" s="214" t="s">
        <v>273</v>
      </c>
      <c r="S106" s="214" t="s">
        <v>273</v>
      </c>
      <c r="T106" s="214" t="s">
        <v>273</v>
      </c>
      <c r="U106" s="214" t="s">
        <v>273</v>
      </c>
      <c r="V106" s="214" t="s">
        <v>273</v>
      </c>
      <c r="W106" s="212">
        <v>0</v>
      </c>
      <c r="X106" s="212">
        <v>0</v>
      </c>
      <c r="Y106" s="212">
        <v>0</v>
      </c>
      <c r="Z106" s="212">
        <v>0</v>
      </c>
      <c r="AA106" s="212">
        <v>0</v>
      </c>
      <c r="AB106" s="212">
        <v>0</v>
      </c>
      <c r="AC106" s="212">
        <v>0</v>
      </c>
      <c r="AD106" s="212">
        <v>0</v>
      </c>
      <c r="AE106" s="212">
        <v>0</v>
      </c>
      <c r="AF106" s="212">
        <v>0</v>
      </c>
      <c r="AG106" s="212">
        <v>0</v>
      </c>
      <c r="AH106" s="212">
        <v>0</v>
      </c>
      <c r="AI106" s="212">
        <v>0</v>
      </c>
      <c r="AJ106" s="212">
        <v>0</v>
      </c>
      <c r="AK106" s="212">
        <v>0</v>
      </c>
      <c r="AL106" s="212">
        <v>0</v>
      </c>
      <c r="AM106" s="212">
        <v>0</v>
      </c>
      <c r="AN106" s="212">
        <v>0</v>
      </c>
      <c r="AO106" s="212">
        <v>0</v>
      </c>
      <c r="AP106" s="213" t="s">
        <v>272</v>
      </c>
      <c r="AQ106" s="212">
        <v>0</v>
      </c>
      <c r="AR106" s="212">
        <v>0</v>
      </c>
      <c r="AS106" s="212">
        <v>0</v>
      </c>
      <c r="AT106" s="212">
        <v>0</v>
      </c>
      <c r="AU106" s="212">
        <v>0</v>
      </c>
      <c r="AV106" s="212">
        <v>0</v>
      </c>
      <c r="AW106" s="212">
        <v>0</v>
      </c>
      <c r="AX106" s="212">
        <v>0</v>
      </c>
      <c r="AY106" s="212">
        <v>2.5</v>
      </c>
      <c r="AZ106" s="212">
        <v>2.5</v>
      </c>
      <c r="BA106" s="212">
        <v>2.5</v>
      </c>
      <c r="BB106" s="212">
        <v>2.5</v>
      </c>
      <c r="BC106" s="212">
        <v>2.5</v>
      </c>
      <c r="BD106" s="212">
        <v>2.5</v>
      </c>
      <c r="BE106" s="212">
        <v>2.5</v>
      </c>
      <c r="BF106" s="212">
        <v>2.5</v>
      </c>
      <c r="BG106" s="212">
        <v>2.5</v>
      </c>
      <c r="BH106" s="212">
        <v>2.5</v>
      </c>
      <c r="BI106" s="212">
        <v>2.5</v>
      </c>
      <c r="BJ106" s="212">
        <v>2.5</v>
      </c>
      <c r="BK106" s="212">
        <v>2.5</v>
      </c>
      <c r="BL106" s="212">
        <v>2.5</v>
      </c>
      <c r="BM106" s="212">
        <v>2.5</v>
      </c>
      <c r="BN106" s="212">
        <v>2.5</v>
      </c>
      <c r="BO106" s="212">
        <v>2.5</v>
      </c>
      <c r="BP106" s="212">
        <v>2.5</v>
      </c>
      <c r="BQ106" s="212">
        <v>2.5</v>
      </c>
      <c r="BR106" s="212">
        <v>2.5</v>
      </c>
      <c r="BS106" s="212">
        <v>2.5</v>
      </c>
      <c r="BT106" s="212">
        <v>2.5</v>
      </c>
      <c r="BU106" s="212">
        <v>2.5</v>
      </c>
      <c r="BV106" s="212">
        <v>2.5</v>
      </c>
      <c r="BW106" s="212">
        <v>2.5</v>
      </c>
      <c r="BX106" s="212">
        <v>2.5</v>
      </c>
      <c r="BY106" s="212">
        <v>2.5</v>
      </c>
      <c r="BZ106" s="212">
        <v>2.5</v>
      </c>
      <c r="CA106" s="212">
        <v>2.5</v>
      </c>
      <c r="CB106" s="212">
        <v>2.5</v>
      </c>
      <c r="CC106" s="212">
        <v>2.5</v>
      </c>
      <c r="CD106" s="212">
        <v>2.5</v>
      </c>
      <c r="CE106" s="212">
        <v>2.5</v>
      </c>
      <c r="CF106" s="212">
        <v>2.5</v>
      </c>
      <c r="CG106" s="212">
        <v>5</v>
      </c>
      <c r="CH106" s="212">
        <v>5</v>
      </c>
      <c r="CI106" s="212">
        <v>5</v>
      </c>
      <c r="CJ106" s="212">
        <v>5</v>
      </c>
      <c r="CK106" s="212">
        <v>5</v>
      </c>
      <c r="CL106" s="212">
        <v>5</v>
      </c>
      <c r="CM106" s="212">
        <v>5</v>
      </c>
      <c r="CN106" s="212">
        <v>5</v>
      </c>
      <c r="CO106" s="212">
        <v>5</v>
      </c>
      <c r="CP106" s="212">
        <v>5</v>
      </c>
      <c r="CQ106" s="212">
        <v>5</v>
      </c>
      <c r="CR106" s="212">
        <v>5</v>
      </c>
      <c r="CS106" s="212">
        <v>5</v>
      </c>
      <c r="CT106" s="212">
        <v>5</v>
      </c>
      <c r="CU106" s="212">
        <v>5</v>
      </c>
      <c r="CV106" s="212">
        <v>5</v>
      </c>
      <c r="CW106" s="212">
        <v>5</v>
      </c>
      <c r="CX106" s="212">
        <v>5</v>
      </c>
      <c r="CY106" s="212">
        <v>5</v>
      </c>
      <c r="CZ106" s="212">
        <v>5</v>
      </c>
      <c r="DA106" s="212">
        <v>5</v>
      </c>
      <c r="DB106" s="212">
        <v>5</v>
      </c>
      <c r="DC106" s="212">
        <v>5</v>
      </c>
      <c r="DD106" s="212">
        <v>5</v>
      </c>
      <c r="DE106" s="212">
        <v>5</v>
      </c>
      <c r="DF106" s="212">
        <v>5</v>
      </c>
      <c r="DG106" s="212">
        <v>5</v>
      </c>
      <c r="DH106" s="212">
        <v>5</v>
      </c>
      <c r="DI106" s="212">
        <v>5</v>
      </c>
      <c r="DJ106" s="212">
        <v>5</v>
      </c>
      <c r="DK106" s="212">
        <v>5</v>
      </c>
      <c r="DL106" s="212">
        <v>5</v>
      </c>
      <c r="DM106" s="212">
        <v>5</v>
      </c>
      <c r="DN106" s="212">
        <v>5</v>
      </c>
      <c r="DO106" s="212">
        <v>5</v>
      </c>
      <c r="DP106" s="212">
        <v>7.5</v>
      </c>
      <c r="DQ106" s="212">
        <v>7.5</v>
      </c>
      <c r="DR106" s="212">
        <v>7.5</v>
      </c>
    </row>
    <row r="107" spans="1:122" ht="22.5" customHeight="1" x14ac:dyDescent="0.65">
      <c r="A107" s="211">
        <v>-5</v>
      </c>
      <c r="B107" s="212">
        <v>0</v>
      </c>
      <c r="C107" s="212">
        <v>0</v>
      </c>
      <c r="D107" s="212">
        <v>0</v>
      </c>
      <c r="E107" s="212">
        <v>0</v>
      </c>
      <c r="F107" s="212">
        <v>0</v>
      </c>
      <c r="G107" s="212">
        <v>0</v>
      </c>
      <c r="H107" s="212">
        <v>0</v>
      </c>
      <c r="I107" s="212">
        <v>0</v>
      </c>
      <c r="J107" s="212">
        <v>0</v>
      </c>
      <c r="K107" s="212">
        <v>0</v>
      </c>
      <c r="L107" s="212">
        <v>0</v>
      </c>
      <c r="M107" s="212">
        <v>0</v>
      </c>
      <c r="N107" s="214" t="s">
        <v>273</v>
      </c>
      <c r="O107" s="214" t="s">
        <v>273</v>
      </c>
      <c r="P107" s="214" t="s">
        <v>273</v>
      </c>
      <c r="Q107" s="214" t="s">
        <v>273</v>
      </c>
      <c r="R107" s="214" t="s">
        <v>273</v>
      </c>
      <c r="S107" s="214" t="s">
        <v>273</v>
      </c>
      <c r="T107" s="214" t="s">
        <v>273</v>
      </c>
      <c r="U107" s="214" t="s">
        <v>273</v>
      </c>
      <c r="V107" s="214" t="s">
        <v>273</v>
      </c>
      <c r="W107" s="212">
        <v>0</v>
      </c>
      <c r="X107" s="212">
        <v>0</v>
      </c>
      <c r="Y107" s="212">
        <v>0</v>
      </c>
      <c r="Z107" s="212">
        <v>0</v>
      </c>
      <c r="AA107" s="212">
        <v>0</v>
      </c>
      <c r="AB107" s="212">
        <v>0</v>
      </c>
      <c r="AC107" s="212">
        <v>0</v>
      </c>
      <c r="AD107" s="212">
        <v>0</v>
      </c>
      <c r="AE107" s="212">
        <v>0</v>
      </c>
      <c r="AF107" s="212">
        <v>0</v>
      </c>
      <c r="AG107" s="212">
        <v>0</v>
      </c>
      <c r="AH107" s="212">
        <v>0</v>
      </c>
      <c r="AI107" s="212">
        <v>0</v>
      </c>
      <c r="AJ107" s="212">
        <v>0</v>
      </c>
      <c r="AK107" s="212">
        <v>0</v>
      </c>
      <c r="AL107" s="212">
        <v>0</v>
      </c>
      <c r="AM107" s="212">
        <v>0</v>
      </c>
      <c r="AN107" s="212">
        <v>0</v>
      </c>
      <c r="AO107" s="212">
        <v>0</v>
      </c>
      <c r="AP107" s="213" t="s">
        <v>272</v>
      </c>
      <c r="AQ107" s="212">
        <v>0</v>
      </c>
      <c r="AR107" s="212">
        <v>0</v>
      </c>
      <c r="AS107" s="212">
        <v>0</v>
      </c>
      <c r="AT107" s="212">
        <v>0</v>
      </c>
      <c r="AU107" s="212">
        <v>0</v>
      </c>
      <c r="AV107" s="212">
        <v>0</v>
      </c>
      <c r="AW107" s="212">
        <v>2.5</v>
      </c>
      <c r="AX107" s="212">
        <v>2.5</v>
      </c>
      <c r="AY107" s="212">
        <v>2.5</v>
      </c>
      <c r="AZ107" s="212">
        <v>2.5</v>
      </c>
      <c r="BA107" s="212">
        <v>2.5</v>
      </c>
      <c r="BB107" s="212">
        <v>2.5</v>
      </c>
      <c r="BC107" s="212">
        <v>2.5</v>
      </c>
      <c r="BD107" s="212">
        <v>2.5</v>
      </c>
      <c r="BE107" s="212">
        <v>2.5</v>
      </c>
      <c r="BF107" s="212">
        <v>2.5</v>
      </c>
      <c r="BG107" s="212">
        <v>2.5</v>
      </c>
      <c r="BH107" s="212">
        <v>2.5</v>
      </c>
      <c r="BI107" s="212">
        <v>2.5</v>
      </c>
      <c r="BJ107" s="212">
        <v>2.5</v>
      </c>
      <c r="BK107" s="212">
        <v>2.5</v>
      </c>
      <c r="BL107" s="212">
        <v>2.5</v>
      </c>
      <c r="BM107" s="212">
        <v>2.5</v>
      </c>
      <c r="BN107" s="212">
        <v>2.5</v>
      </c>
      <c r="BO107" s="212">
        <v>2.5</v>
      </c>
      <c r="BP107" s="212">
        <v>2.5</v>
      </c>
      <c r="BQ107" s="212">
        <v>2.5</v>
      </c>
      <c r="BR107" s="212">
        <v>2.5</v>
      </c>
      <c r="BS107" s="212">
        <v>2.5</v>
      </c>
      <c r="BT107" s="212">
        <v>2.5</v>
      </c>
      <c r="BU107" s="212">
        <v>2.5</v>
      </c>
      <c r="BV107" s="212">
        <v>2.5</v>
      </c>
      <c r="BW107" s="212">
        <v>2.5</v>
      </c>
      <c r="BX107" s="212">
        <v>2.5</v>
      </c>
      <c r="BY107" s="212">
        <v>2.5</v>
      </c>
      <c r="BZ107" s="212">
        <v>2.5</v>
      </c>
      <c r="CA107" s="212">
        <v>2.5</v>
      </c>
      <c r="CB107" s="212">
        <v>2.5</v>
      </c>
      <c r="CC107" s="212">
        <v>2.5</v>
      </c>
      <c r="CD107" s="212">
        <v>2.5</v>
      </c>
      <c r="CE107" s="212">
        <v>2.5</v>
      </c>
      <c r="CF107" s="212">
        <v>2.5</v>
      </c>
      <c r="CG107" s="212">
        <v>5</v>
      </c>
      <c r="CH107" s="212">
        <v>5</v>
      </c>
      <c r="CI107" s="212">
        <v>5</v>
      </c>
      <c r="CJ107" s="212">
        <v>5</v>
      </c>
      <c r="CK107" s="212">
        <v>5</v>
      </c>
      <c r="CL107" s="212">
        <v>5</v>
      </c>
      <c r="CM107" s="212">
        <v>5</v>
      </c>
      <c r="CN107" s="212">
        <v>5</v>
      </c>
      <c r="CO107" s="212">
        <v>5</v>
      </c>
      <c r="CP107" s="212">
        <v>5</v>
      </c>
      <c r="CQ107" s="212">
        <v>5</v>
      </c>
      <c r="CR107" s="212">
        <v>5</v>
      </c>
      <c r="CS107" s="212">
        <v>5</v>
      </c>
      <c r="CT107" s="212">
        <v>5</v>
      </c>
      <c r="CU107" s="212">
        <v>5</v>
      </c>
      <c r="CV107" s="212">
        <v>5</v>
      </c>
      <c r="CW107" s="212">
        <v>5</v>
      </c>
      <c r="CX107" s="212">
        <v>5</v>
      </c>
      <c r="CY107" s="212">
        <v>5</v>
      </c>
      <c r="CZ107" s="212">
        <v>5</v>
      </c>
      <c r="DA107" s="212">
        <v>5</v>
      </c>
      <c r="DB107" s="212">
        <v>5</v>
      </c>
      <c r="DC107" s="212">
        <v>5</v>
      </c>
      <c r="DD107" s="212">
        <v>5</v>
      </c>
      <c r="DE107" s="212">
        <v>5</v>
      </c>
      <c r="DF107" s="212">
        <v>5</v>
      </c>
      <c r="DG107" s="212">
        <v>5</v>
      </c>
      <c r="DH107" s="212">
        <v>5</v>
      </c>
      <c r="DI107" s="212">
        <v>5</v>
      </c>
      <c r="DJ107" s="212">
        <v>5</v>
      </c>
      <c r="DK107" s="212">
        <v>5</v>
      </c>
      <c r="DL107" s="212">
        <v>5</v>
      </c>
      <c r="DM107" s="212">
        <v>5</v>
      </c>
      <c r="DN107" s="212">
        <v>7.5</v>
      </c>
      <c r="DO107" s="212">
        <v>7.5</v>
      </c>
      <c r="DP107" s="212">
        <v>7.5</v>
      </c>
      <c r="DQ107" s="212">
        <v>7.5</v>
      </c>
      <c r="DR107" s="212">
        <v>7.5</v>
      </c>
    </row>
    <row r="108" spans="1:122" ht="22.5" customHeight="1" x14ac:dyDescent="0.65">
      <c r="A108" s="211">
        <v>-6</v>
      </c>
      <c r="B108" s="212">
        <v>0</v>
      </c>
      <c r="C108" s="212">
        <v>0</v>
      </c>
      <c r="D108" s="212">
        <v>0</v>
      </c>
      <c r="E108" s="212">
        <v>0</v>
      </c>
      <c r="F108" s="212">
        <v>0</v>
      </c>
      <c r="G108" s="212">
        <v>0</v>
      </c>
      <c r="H108" s="212">
        <v>0</v>
      </c>
      <c r="I108" s="212">
        <v>0</v>
      </c>
      <c r="J108" s="212">
        <v>0</v>
      </c>
      <c r="K108" s="212">
        <v>0</v>
      </c>
      <c r="L108" s="212">
        <v>0</v>
      </c>
      <c r="M108" s="212">
        <v>0</v>
      </c>
      <c r="N108" s="214" t="s">
        <v>273</v>
      </c>
      <c r="O108" s="214" t="s">
        <v>273</v>
      </c>
      <c r="P108" s="214" t="s">
        <v>273</v>
      </c>
      <c r="Q108" s="214" t="s">
        <v>273</v>
      </c>
      <c r="R108" s="214" t="s">
        <v>273</v>
      </c>
      <c r="S108" s="214" t="s">
        <v>273</v>
      </c>
      <c r="T108" s="214" t="s">
        <v>273</v>
      </c>
      <c r="U108" s="214" t="s">
        <v>273</v>
      </c>
      <c r="V108" s="214" t="s">
        <v>273</v>
      </c>
      <c r="W108" s="212">
        <v>0</v>
      </c>
      <c r="X108" s="212">
        <v>0</v>
      </c>
      <c r="Y108" s="212">
        <v>0</v>
      </c>
      <c r="Z108" s="212">
        <v>0</v>
      </c>
      <c r="AA108" s="212">
        <v>0</v>
      </c>
      <c r="AB108" s="212">
        <v>0</v>
      </c>
      <c r="AC108" s="212">
        <v>0</v>
      </c>
      <c r="AD108" s="212">
        <v>0</v>
      </c>
      <c r="AE108" s="212">
        <v>0</v>
      </c>
      <c r="AF108" s="212">
        <v>0</v>
      </c>
      <c r="AG108" s="212">
        <v>0</v>
      </c>
      <c r="AH108" s="212">
        <v>0</v>
      </c>
      <c r="AI108" s="212">
        <v>0</v>
      </c>
      <c r="AJ108" s="212">
        <v>0</v>
      </c>
      <c r="AK108" s="212">
        <v>0</v>
      </c>
      <c r="AL108" s="212">
        <v>0</v>
      </c>
      <c r="AM108" s="212">
        <v>0</v>
      </c>
      <c r="AN108" s="212">
        <v>0</v>
      </c>
      <c r="AO108" s="212">
        <v>0</v>
      </c>
      <c r="AP108" s="213" t="s">
        <v>272</v>
      </c>
      <c r="AQ108" s="212">
        <v>0</v>
      </c>
      <c r="AR108" s="212">
        <v>0</v>
      </c>
      <c r="AS108" s="212">
        <v>0</v>
      </c>
      <c r="AT108" s="212">
        <v>0</v>
      </c>
      <c r="AU108" s="212">
        <v>2.5</v>
      </c>
      <c r="AV108" s="212">
        <v>2.5</v>
      </c>
      <c r="AW108" s="212">
        <v>2.5</v>
      </c>
      <c r="AX108" s="212">
        <v>2.5</v>
      </c>
      <c r="AY108" s="212">
        <v>2.5</v>
      </c>
      <c r="AZ108" s="212">
        <v>2.5</v>
      </c>
      <c r="BA108" s="212">
        <v>2.5</v>
      </c>
      <c r="BB108" s="212">
        <v>2.5</v>
      </c>
      <c r="BC108" s="212">
        <v>2.5</v>
      </c>
      <c r="BD108" s="212">
        <v>2.5</v>
      </c>
      <c r="BE108" s="212">
        <v>2.5</v>
      </c>
      <c r="BF108" s="212">
        <v>2.5</v>
      </c>
      <c r="BG108" s="212">
        <v>2.5</v>
      </c>
      <c r="BH108" s="212">
        <v>2.5</v>
      </c>
      <c r="BI108" s="212">
        <v>2.5</v>
      </c>
      <c r="BJ108" s="212">
        <v>2.5</v>
      </c>
      <c r="BK108" s="212">
        <v>2.5</v>
      </c>
      <c r="BL108" s="212">
        <v>2.5</v>
      </c>
      <c r="BM108" s="212">
        <v>2.5</v>
      </c>
      <c r="BN108" s="212">
        <v>2.5</v>
      </c>
      <c r="BO108" s="212">
        <v>2.5</v>
      </c>
      <c r="BP108" s="212">
        <v>2.5</v>
      </c>
      <c r="BQ108" s="212">
        <v>2.5</v>
      </c>
      <c r="BR108" s="212">
        <v>2.5</v>
      </c>
      <c r="BS108" s="212">
        <v>2.5</v>
      </c>
      <c r="BT108" s="212">
        <v>2.5</v>
      </c>
      <c r="BU108" s="212">
        <v>2.5</v>
      </c>
      <c r="BV108" s="212">
        <v>2.5</v>
      </c>
      <c r="BW108" s="212">
        <v>2.5</v>
      </c>
      <c r="BX108" s="212">
        <v>2.5</v>
      </c>
      <c r="BY108" s="212">
        <v>2.5</v>
      </c>
      <c r="BZ108" s="212">
        <v>2.5</v>
      </c>
      <c r="CA108" s="212">
        <v>2.5</v>
      </c>
      <c r="CB108" s="212">
        <v>2.5</v>
      </c>
      <c r="CC108" s="212">
        <v>2.5</v>
      </c>
      <c r="CD108" s="212">
        <v>2.5</v>
      </c>
      <c r="CE108" s="212">
        <v>2.5</v>
      </c>
      <c r="CF108" s="212">
        <v>2.5</v>
      </c>
      <c r="CG108" s="212">
        <v>5</v>
      </c>
      <c r="CH108" s="212">
        <v>5</v>
      </c>
      <c r="CI108" s="212">
        <v>5</v>
      </c>
      <c r="CJ108" s="212">
        <v>5</v>
      </c>
      <c r="CK108" s="212">
        <v>5</v>
      </c>
      <c r="CL108" s="212">
        <v>5</v>
      </c>
      <c r="CM108" s="212">
        <v>5</v>
      </c>
      <c r="CN108" s="212">
        <v>5</v>
      </c>
      <c r="CO108" s="212">
        <v>5</v>
      </c>
      <c r="CP108" s="212">
        <v>5</v>
      </c>
      <c r="CQ108" s="212">
        <v>5</v>
      </c>
      <c r="CR108" s="212">
        <v>5</v>
      </c>
      <c r="CS108" s="212">
        <v>5</v>
      </c>
      <c r="CT108" s="212">
        <v>5</v>
      </c>
      <c r="CU108" s="212">
        <v>5</v>
      </c>
      <c r="CV108" s="212">
        <v>5</v>
      </c>
      <c r="CW108" s="212">
        <v>5</v>
      </c>
      <c r="CX108" s="212">
        <v>5</v>
      </c>
      <c r="CY108" s="212">
        <v>5</v>
      </c>
      <c r="CZ108" s="212">
        <v>5</v>
      </c>
      <c r="DA108" s="212">
        <v>5</v>
      </c>
      <c r="DB108" s="212">
        <v>5</v>
      </c>
      <c r="DC108" s="212">
        <v>5</v>
      </c>
      <c r="DD108" s="212">
        <v>5</v>
      </c>
      <c r="DE108" s="212">
        <v>5</v>
      </c>
      <c r="DF108" s="212">
        <v>5</v>
      </c>
      <c r="DG108" s="212">
        <v>5</v>
      </c>
      <c r="DH108" s="212">
        <v>5</v>
      </c>
      <c r="DI108" s="212">
        <v>5</v>
      </c>
      <c r="DJ108" s="212">
        <v>5</v>
      </c>
      <c r="DK108" s="212">
        <v>5</v>
      </c>
      <c r="DL108" s="212">
        <v>5</v>
      </c>
      <c r="DM108" s="212">
        <v>5</v>
      </c>
      <c r="DN108" s="212">
        <v>7.5</v>
      </c>
      <c r="DO108" s="212">
        <v>7.5</v>
      </c>
      <c r="DP108" s="212">
        <v>7.5</v>
      </c>
      <c r="DQ108" s="212">
        <v>7.5</v>
      </c>
      <c r="DR108" s="212">
        <v>7.5</v>
      </c>
    </row>
    <row r="109" spans="1:122" ht="22.5" customHeight="1" x14ac:dyDescent="0.65">
      <c r="A109" s="211">
        <v>-7</v>
      </c>
      <c r="B109" s="212">
        <v>0</v>
      </c>
      <c r="C109" s="212">
        <v>0</v>
      </c>
      <c r="D109" s="212">
        <v>0</v>
      </c>
      <c r="E109" s="212">
        <v>0</v>
      </c>
      <c r="F109" s="212">
        <v>0</v>
      </c>
      <c r="G109" s="212">
        <v>0</v>
      </c>
      <c r="H109" s="212">
        <v>0</v>
      </c>
      <c r="I109" s="212">
        <v>0</v>
      </c>
      <c r="J109" s="212">
        <v>0</v>
      </c>
      <c r="K109" s="212">
        <v>0</v>
      </c>
      <c r="L109" s="212">
        <v>0</v>
      </c>
      <c r="M109" s="212">
        <v>0</v>
      </c>
      <c r="N109" s="214" t="s">
        <v>273</v>
      </c>
      <c r="O109" s="214" t="s">
        <v>273</v>
      </c>
      <c r="P109" s="214" t="s">
        <v>273</v>
      </c>
      <c r="Q109" s="214" t="s">
        <v>273</v>
      </c>
      <c r="R109" s="214" t="s">
        <v>273</v>
      </c>
      <c r="S109" s="214" t="s">
        <v>273</v>
      </c>
      <c r="T109" s="214" t="s">
        <v>273</v>
      </c>
      <c r="U109" s="214" t="s">
        <v>273</v>
      </c>
      <c r="V109" s="214" t="s">
        <v>273</v>
      </c>
      <c r="W109" s="212">
        <v>0</v>
      </c>
      <c r="X109" s="212">
        <v>0</v>
      </c>
      <c r="Y109" s="212">
        <v>0</v>
      </c>
      <c r="Z109" s="212">
        <v>0</v>
      </c>
      <c r="AA109" s="212">
        <v>0</v>
      </c>
      <c r="AB109" s="212">
        <v>0</v>
      </c>
      <c r="AC109" s="212">
        <v>0</v>
      </c>
      <c r="AD109" s="212">
        <v>0</v>
      </c>
      <c r="AE109" s="212">
        <v>0</v>
      </c>
      <c r="AF109" s="212">
        <v>0</v>
      </c>
      <c r="AG109" s="212">
        <v>0</v>
      </c>
      <c r="AH109" s="212">
        <v>0</v>
      </c>
      <c r="AI109" s="212">
        <v>0</v>
      </c>
      <c r="AJ109" s="212">
        <v>0</v>
      </c>
      <c r="AK109" s="212">
        <v>0</v>
      </c>
      <c r="AL109" s="212">
        <v>0</v>
      </c>
      <c r="AM109" s="212">
        <v>0</v>
      </c>
      <c r="AN109" s="212">
        <v>0</v>
      </c>
      <c r="AO109" s="212">
        <v>0</v>
      </c>
      <c r="AP109" s="213" t="s">
        <v>272</v>
      </c>
      <c r="AQ109" s="212">
        <v>0</v>
      </c>
      <c r="AR109" s="212">
        <v>0</v>
      </c>
      <c r="AS109" s="212">
        <v>0</v>
      </c>
      <c r="AT109" s="212">
        <v>2.5</v>
      </c>
      <c r="AU109" s="212">
        <v>2.5</v>
      </c>
      <c r="AV109" s="212">
        <v>2.5</v>
      </c>
      <c r="AW109" s="212">
        <v>2.5</v>
      </c>
      <c r="AX109" s="212">
        <v>2.5</v>
      </c>
      <c r="AY109" s="215">
        <v>2.5</v>
      </c>
      <c r="AZ109" s="215">
        <v>2.5</v>
      </c>
      <c r="BA109" s="215">
        <v>2.5</v>
      </c>
      <c r="BB109" s="215">
        <v>2.5</v>
      </c>
      <c r="BC109" s="215">
        <v>2.5</v>
      </c>
      <c r="BD109" s="215">
        <v>2.5</v>
      </c>
      <c r="BE109" s="215">
        <v>2.5</v>
      </c>
      <c r="BF109" s="215">
        <v>2.5</v>
      </c>
      <c r="BG109" s="215">
        <v>2.5</v>
      </c>
      <c r="BH109" s="215">
        <v>2.5</v>
      </c>
      <c r="BI109" s="215">
        <v>2.5</v>
      </c>
      <c r="BJ109" s="215">
        <v>2.5</v>
      </c>
      <c r="BK109" s="215">
        <v>2.5</v>
      </c>
      <c r="BL109" s="215">
        <v>2.5</v>
      </c>
      <c r="BM109" s="215">
        <v>2.5</v>
      </c>
      <c r="BN109" s="215">
        <v>2.5</v>
      </c>
      <c r="BO109" s="215">
        <v>2.5</v>
      </c>
      <c r="BP109" s="215">
        <v>2.5</v>
      </c>
      <c r="BQ109" s="215">
        <v>2.5</v>
      </c>
      <c r="BR109" s="215">
        <v>2.5</v>
      </c>
      <c r="BS109" s="215">
        <v>2.5</v>
      </c>
      <c r="BT109" s="212">
        <v>2.5</v>
      </c>
      <c r="BU109" s="212">
        <v>2.5</v>
      </c>
      <c r="BV109" s="212">
        <v>2.5</v>
      </c>
      <c r="BW109" s="212">
        <v>2.5</v>
      </c>
      <c r="BX109" s="212">
        <v>2.5</v>
      </c>
      <c r="BY109" s="212">
        <v>2.5</v>
      </c>
      <c r="BZ109" s="212">
        <v>2.5</v>
      </c>
      <c r="CA109" s="212">
        <v>2.5</v>
      </c>
      <c r="CB109" s="212">
        <v>2.5</v>
      </c>
      <c r="CC109" s="212">
        <v>2.5</v>
      </c>
      <c r="CD109" s="212">
        <v>2.5</v>
      </c>
      <c r="CE109" s="212">
        <v>2.5</v>
      </c>
      <c r="CF109" s="212">
        <v>2.5</v>
      </c>
      <c r="CG109" s="212">
        <v>5</v>
      </c>
      <c r="CH109" s="212">
        <v>5</v>
      </c>
      <c r="CI109" s="212">
        <v>5</v>
      </c>
      <c r="CJ109" s="212">
        <v>5</v>
      </c>
      <c r="CK109" s="212">
        <v>5</v>
      </c>
      <c r="CL109" s="212">
        <v>5</v>
      </c>
      <c r="CM109" s="212">
        <v>5</v>
      </c>
      <c r="CN109" s="212">
        <v>5</v>
      </c>
      <c r="CO109" s="212">
        <v>5</v>
      </c>
      <c r="CP109" s="212">
        <v>5</v>
      </c>
      <c r="CQ109" s="212">
        <v>5</v>
      </c>
      <c r="CR109" s="212">
        <v>5</v>
      </c>
      <c r="CS109" s="212">
        <v>5</v>
      </c>
      <c r="CT109" s="212">
        <v>5</v>
      </c>
      <c r="CU109" s="212">
        <v>5</v>
      </c>
      <c r="CV109" s="212">
        <v>5</v>
      </c>
      <c r="CW109" s="212">
        <v>5</v>
      </c>
      <c r="CX109" s="212">
        <v>5</v>
      </c>
      <c r="CY109" s="212">
        <v>5</v>
      </c>
      <c r="CZ109" s="212">
        <v>5</v>
      </c>
      <c r="DA109" s="212">
        <v>5</v>
      </c>
      <c r="DB109" s="212">
        <v>5</v>
      </c>
      <c r="DC109" s="212">
        <v>5</v>
      </c>
      <c r="DD109" s="212">
        <v>5</v>
      </c>
      <c r="DE109" s="212">
        <v>5</v>
      </c>
      <c r="DF109" s="212">
        <v>5</v>
      </c>
      <c r="DG109" s="212">
        <v>5</v>
      </c>
      <c r="DH109" s="212">
        <v>5</v>
      </c>
      <c r="DI109" s="212">
        <v>5</v>
      </c>
      <c r="DJ109" s="212">
        <v>5</v>
      </c>
      <c r="DK109" s="212">
        <v>5</v>
      </c>
      <c r="DL109" s="212">
        <v>7.5</v>
      </c>
      <c r="DM109" s="212">
        <v>7.5</v>
      </c>
      <c r="DN109" s="212">
        <v>7.5</v>
      </c>
      <c r="DO109" s="212">
        <v>7.5</v>
      </c>
      <c r="DP109" s="212">
        <v>7.5</v>
      </c>
      <c r="DQ109" s="212">
        <v>7.5</v>
      </c>
      <c r="DR109" s="212">
        <v>7.5</v>
      </c>
    </row>
    <row r="110" spans="1:122" ht="22.5" customHeight="1" x14ac:dyDescent="0.65">
      <c r="A110" s="211">
        <v>-8</v>
      </c>
      <c r="B110" s="212">
        <v>2.5</v>
      </c>
      <c r="C110" s="212">
        <v>2.5</v>
      </c>
      <c r="D110" s="212">
        <v>2.5</v>
      </c>
      <c r="E110" s="212">
        <v>2.5</v>
      </c>
      <c r="F110" s="212">
        <v>2.5</v>
      </c>
      <c r="G110" s="212">
        <v>2.5</v>
      </c>
      <c r="H110" s="212">
        <v>2.5</v>
      </c>
      <c r="I110" s="212">
        <v>2.5</v>
      </c>
      <c r="J110" s="212">
        <v>2.5</v>
      </c>
      <c r="K110" s="212">
        <v>0</v>
      </c>
      <c r="L110" s="212">
        <v>0</v>
      </c>
      <c r="M110" s="212">
        <v>0</v>
      </c>
      <c r="N110" s="214" t="s">
        <v>273</v>
      </c>
      <c r="O110" s="214" t="s">
        <v>273</v>
      </c>
      <c r="P110" s="214" t="s">
        <v>273</v>
      </c>
      <c r="Q110" s="214" t="s">
        <v>273</v>
      </c>
      <c r="R110" s="214" t="s">
        <v>273</v>
      </c>
      <c r="S110" s="214" t="s">
        <v>273</v>
      </c>
      <c r="T110" s="214" t="s">
        <v>273</v>
      </c>
      <c r="U110" s="214" t="s">
        <v>273</v>
      </c>
      <c r="V110" s="214" t="s">
        <v>273</v>
      </c>
      <c r="W110" s="212">
        <v>0</v>
      </c>
      <c r="X110" s="212">
        <v>0</v>
      </c>
      <c r="Y110" s="212">
        <v>0</v>
      </c>
      <c r="Z110" s="212">
        <v>0</v>
      </c>
      <c r="AA110" s="212">
        <v>0</v>
      </c>
      <c r="AB110" s="212">
        <v>0</v>
      </c>
      <c r="AC110" s="212">
        <v>0</v>
      </c>
      <c r="AD110" s="212">
        <v>0</v>
      </c>
      <c r="AE110" s="212">
        <v>0</v>
      </c>
      <c r="AF110" s="212">
        <v>0</v>
      </c>
      <c r="AG110" s="212">
        <v>0</v>
      </c>
      <c r="AH110" s="212">
        <v>0</v>
      </c>
      <c r="AI110" s="212">
        <v>0</v>
      </c>
      <c r="AJ110" s="212">
        <v>0</v>
      </c>
      <c r="AK110" s="212">
        <v>0</v>
      </c>
      <c r="AL110" s="212">
        <v>0</v>
      </c>
      <c r="AM110" s="212">
        <v>0</v>
      </c>
      <c r="AN110" s="212">
        <v>0</v>
      </c>
      <c r="AO110" s="212">
        <v>0</v>
      </c>
      <c r="AP110" s="213" t="s">
        <v>272</v>
      </c>
      <c r="AQ110" s="212">
        <v>0</v>
      </c>
      <c r="AR110" s="212">
        <v>0</v>
      </c>
      <c r="AS110" s="212">
        <v>2.5</v>
      </c>
      <c r="AT110" s="212">
        <v>2.5</v>
      </c>
      <c r="AU110" s="212">
        <v>2.5</v>
      </c>
      <c r="AV110" s="212">
        <v>2.5</v>
      </c>
      <c r="AW110" s="212">
        <v>2.5</v>
      </c>
      <c r="AX110" s="212">
        <v>2.5</v>
      </c>
      <c r="AY110" s="215">
        <v>2.5</v>
      </c>
      <c r="AZ110" s="215">
        <v>2.5</v>
      </c>
      <c r="BA110" s="215">
        <v>2.5</v>
      </c>
      <c r="BB110" s="215">
        <v>2.5</v>
      </c>
      <c r="BC110" s="215">
        <v>2.5</v>
      </c>
      <c r="BD110" s="215">
        <v>2.5</v>
      </c>
      <c r="BE110" s="215">
        <v>2.5</v>
      </c>
      <c r="BF110" s="215">
        <v>2.5</v>
      </c>
      <c r="BG110" s="215">
        <v>2.5</v>
      </c>
      <c r="BH110" s="215">
        <v>2.5</v>
      </c>
      <c r="BI110" s="215">
        <v>2.5</v>
      </c>
      <c r="BJ110" s="216">
        <v>5</v>
      </c>
      <c r="BK110" s="215">
        <v>2.5</v>
      </c>
      <c r="BL110" s="215">
        <v>2.5</v>
      </c>
      <c r="BM110" s="215">
        <v>2.5</v>
      </c>
      <c r="BN110" s="215">
        <v>2.5</v>
      </c>
      <c r="BO110" s="215">
        <v>2.5</v>
      </c>
      <c r="BP110" s="215">
        <v>2.5</v>
      </c>
      <c r="BQ110" s="215">
        <v>2.5</v>
      </c>
      <c r="BR110" s="215">
        <v>2.5</v>
      </c>
      <c r="BS110" s="215">
        <v>2.5</v>
      </c>
      <c r="BT110" s="212">
        <v>2.5</v>
      </c>
      <c r="BU110" s="212">
        <v>2.5</v>
      </c>
      <c r="BV110" s="212">
        <v>2.5</v>
      </c>
      <c r="BW110" s="212">
        <v>2.5</v>
      </c>
      <c r="BX110" s="212">
        <v>2.5</v>
      </c>
      <c r="BY110" s="212">
        <v>2.5</v>
      </c>
      <c r="BZ110" s="212">
        <v>2.5</v>
      </c>
      <c r="CA110" s="212">
        <v>2.5</v>
      </c>
      <c r="CB110" s="212">
        <v>2.5</v>
      </c>
      <c r="CC110" s="212">
        <v>2.5</v>
      </c>
      <c r="CD110" s="212">
        <v>2.5</v>
      </c>
      <c r="CE110" s="212">
        <v>2.5</v>
      </c>
      <c r="CF110" s="212">
        <v>2.5</v>
      </c>
      <c r="CG110" s="212">
        <v>5</v>
      </c>
      <c r="CH110" s="212">
        <v>5</v>
      </c>
      <c r="CI110" s="212">
        <v>5</v>
      </c>
      <c r="CJ110" s="212">
        <v>5</v>
      </c>
      <c r="CK110" s="212">
        <v>5</v>
      </c>
      <c r="CL110" s="212">
        <v>5</v>
      </c>
      <c r="CM110" s="212">
        <v>5</v>
      </c>
      <c r="CN110" s="212">
        <v>5</v>
      </c>
      <c r="CO110" s="212">
        <v>5</v>
      </c>
      <c r="CP110" s="212">
        <v>5</v>
      </c>
      <c r="CQ110" s="212">
        <v>5</v>
      </c>
      <c r="CR110" s="212">
        <v>5</v>
      </c>
      <c r="CS110" s="212">
        <v>5</v>
      </c>
      <c r="CT110" s="212">
        <v>5</v>
      </c>
      <c r="CU110" s="212">
        <v>5</v>
      </c>
      <c r="CV110" s="212">
        <v>5</v>
      </c>
      <c r="CW110" s="212">
        <v>5</v>
      </c>
      <c r="CX110" s="212">
        <v>5</v>
      </c>
      <c r="CY110" s="212">
        <v>5</v>
      </c>
      <c r="CZ110" s="212">
        <v>5</v>
      </c>
      <c r="DA110" s="212">
        <v>5</v>
      </c>
      <c r="DB110" s="212">
        <v>5</v>
      </c>
      <c r="DC110" s="212">
        <v>5</v>
      </c>
      <c r="DD110" s="212">
        <v>5</v>
      </c>
      <c r="DE110" s="212">
        <v>5</v>
      </c>
      <c r="DF110" s="212">
        <v>5</v>
      </c>
      <c r="DG110" s="212">
        <v>5</v>
      </c>
      <c r="DH110" s="212">
        <v>5</v>
      </c>
      <c r="DI110" s="212">
        <v>5</v>
      </c>
      <c r="DJ110" s="212">
        <v>5</v>
      </c>
      <c r="DK110" s="212">
        <v>7.5</v>
      </c>
      <c r="DL110" s="212">
        <v>7.5</v>
      </c>
      <c r="DM110" s="212">
        <v>7.5</v>
      </c>
      <c r="DN110" s="212">
        <v>7.5</v>
      </c>
      <c r="DO110" s="212">
        <v>7.5</v>
      </c>
      <c r="DP110" s="212">
        <v>7.5</v>
      </c>
      <c r="DQ110" s="212">
        <v>7.5</v>
      </c>
      <c r="DR110" s="212">
        <v>7.5</v>
      </c>
    </row>
    <row r="111" spans="1:122" ht="22.5" customHeight="1" x14ac:dyDescent="0.65">
      <c r="A111" s="211">
        <v>-9</v>
      </c>
      <c r="B111" s="212">
        <v>2.5</v>
      </c>
      <c r="C111" s="212">
        <v>2.5</v>
      </c>
      <c r="D111" s="212">
        <v>2.5</v>
      </c>
      <c r="E111" s="212">
        <v>2.5</v>
      </c>
      <c r="F111" s="212">
        <v>2.5</v>
      </c>
      <c r="G111" s="212">
        <v>2.5</v>
      </c>
      <c r="H111" s="212">
        <v>2.5</v>
      </c>
      <c r="I111" s="212">
        <v>2.5</v>
      </c>
      <c r="J111" s="212">
        <v>2.5</v>
      </c>
      <c r="K111" s="212">
        <v>2.5</v>
      </c>
      <c r="L111" s="212">
        <v>2.5</v>
      </c>
      <c r="M111" s="212">
        <v>2.5</v>
      </c>
      <c r="N111" s="212">
        <v>0</v>
      </c>
      <c r="O111" s="212">
        <v>0</v>
      </c>
      <c r="P111" s="212">
        <v>0</v>
      </c>
      <c r="Q111" s="212">
        <v>0</v>
      </c>
      <c r="R111" s="212">
        <v>0</v>
      </c>
      <c r="S111" s="212">
        <v>0</v>
      </c>
      <c r="T111" s="212">
        <v>0</v>
      </c>
      <c r="U111" s="212">
        <v>0</v>
      </c>
      <c r="V111" s="212">
        <v>0</v>
      </c>
      <c r="W111" s="212">
        <v>0</v>
      </c>
      <c r="X111" s="212">
        <v>0</v>
      </c>
      <c r="Y111" s="212">
        <v>0</v>
      </c>
      <c r="Z111" s="212">
        <v>0</v>
      </c>
      <c r="AA111" s="212">
        <v>0</v>
      </c>
      <c r="AB111" s="212">
        <v>0</v>
      </c>
      <c r="AC111" s="212">
        <v>0</v>
      </c>
      <c r="AD111" s="212">
        <v>0</v>
      </c>
      <c r="AE111" s="212">
        <v>0</v>
      </c>
      <c r="AF111" s="212">
        <v>0</v>
      </c>
      <c r="AG111" s="212">
        <v>0</v>
      </c>
      <c r="AH111" s="212">
        <v>2.5</v>
      </c>
      <c r="AI111" s="212">
        <v>2.5</v>
      </c>
      <c r="AJ111" s="212">
        <v>2.5</v>
      </c>
      <c r="AK111" s="212">
        <v>2.5</v>
      </c>
      <c r="AL111" s="212">
        <v>2.5</v>
      </c>
      <c r="AM111" s="212">
        <v>2.5</v>
      </c>
      <c r="AN111" s="212">
        <v>2.5</v>
      </c>
      <c r="AO111" s="212">
        <v>2.5</v>
      </c>
      <c r="AP111" s="213" t="s">
        <v>272</v>
      </c>
      <c r="AQ111" s="212">
        <v>2.5</v>
      </c>
      <c r="AR111" s="212">
        <v>2.5</v>
      </c>
      <c r="AS111" s="212">
        <v>2.5</v>
      </c>
      <c r="AT111" s="212">
        <v>2.5</v>
      </c>
      <c r="AU111" s="212">
        <v>2.5</v>
      </c>
      <c r="AV111" s="212">
        <v>2.5</v>
      </c>
      <c r="AW111" s="212">
        <v>2.5</v>
      </c>
      <c r="AX111" s="212">
        <v>2.5</v>
      </c>
      <c r="AY111" s="215">
        <v>2.5</v>
      </c>
      <c r="AZ111" s="215">
        <v>2.5</v>
      </c>
      <c r="BA111" s="215">
        <v>2.5</v>
      </c>
      <c r="BB111" s="215">
        <v>2.5</v>
      </c>
      <c r="BC111" s="216">
        <v>5</v>
      </c>
      <c r="BD111" s="216">
        <v>5</v>
      </c>
      <c r="BE111" s="216">
        <v>5</v>
      </c>
      <c r="BF111" s="216">
        <v>5</v>
      </c>
      <c r="BG111" s="216">
        <v>5</v>
      </c>
      <c r="BH111" s="216">
        <v>5</v>
      </c>
      <c r="BI111" s="216">
        <v>5</v>
      </c>
      <c r="BJ111" s="216">
        <v>5</v>
      </c>
      <c r="BK111" s="216">
        <v>5</v>
      </c>
      <c r="BL111" s="216">
        <v>5</v>
      </c>
      <c r="BM111" s="216">
        <v>5</v>
      </c>
      <c r="BN111" s="216">
        <v>5</v>
      </c>
      <c r="BO111" s="215">
        <v>2.5</v>
      </c>
      <c r="BP111" s="215">
        <v>2.5</v>
      </c>
      <c r="BQ111" s="215">
        <v>2.5</v>
      </c>
      <c r="BR111" s="215">
        <v>2.5</v>
      </c>
      <c r="BS111" s="215">
        <v>2.5</v>
      </c>
      <c r="BT111" s="212">
        <v>2.5</v>
      </c>
      <c r="BU111" s="212">
        <v>2.5</v>
      </c>
      <c r="BV111" s="212">
        <v>2.5</v>
      </c>
      <c r="BW111" s="212">
        <v>2.5</v>
      </c>
      <c r="BX111" s="212">
        <v>2.5</v>
      </c>
      <c r="BY111" s="212">
        <v>2.5</v>
      </c>
      <c r="BZ111" s="212">
        <v>2.5</v>
      </c>
      <c r="CA111" s="212">
        <v>2.5</v>
      </c>
      <c r="CB111" s="212">
        <v>2.5</v>
      </c>
      <c r="CC111" s="212">
        <v>2.5</v>
      </c>
      <c r="CD111" s="212">
        <v>2.5</v>
      </c>
      <c r="CE111" s="212">
        <v>2.5</v>
      </c>
      <c r="CF111" s="212">
        <v>2.5</v>
      </c>
      <c r="CG111" s="212">
        <v>5</v>
      </c>
      <c r="CH111" s="212">
        <v>5</v>
      </c>
      <c r="CI111" s="212">
        <v>5</v>
      </c>
      <c r="CJ111" s="212">
        <v>5</v>
      </c>
      <c r="CK111" s="212">
        <v>5</v>
      </c>
      <c r="CL111" s="212">
        <v>5</v>
      </c>
      <c r="CM111" s="212">
        <v>5</v>
      </c>
      <c r="CN111" s="212">
        <v>5</v>
      </c>
      <c r="CO111" s="212">
        <v>5</v>
      </c>
      <c r="CP111" s="212">
        <v>5</v>
      </c>
      <c r="CQ111" s="212">
        <v>5</v>
      </c>
      <c r="CR111" s="212">
        <v>5</v>
      </c>
      <c r="CS111" s="212">
        <v>5</v>
      </c>
      <c r="CT111" s="212">
        <v>5</v>
      </c>
      <c r="CU111" s="212">
        <v>5</v>
      </c>
      <c r="CV111" s="212">
        <v>5</v>
      </c>
      <c r="CW111" s="212">
        <v>5</v>
      </c>
      <c r="CX111" s="212">
        <v>5</v>
      </c>
      <c r="CY111" s="212">
        <v>5</v>
      </c>
      <c r="CZ111" s="212">
        <v>5</v>
      </c>
      <c r="DA111" s="212">
        <v>5</v>
      </c>
      <c r="DB111" s="212">
        <v>5</v>
      </c>
      <c r="DC111" s="212">
        <v>5</v>
      </c>
      <c r="DD111" s="212">
        <v>5</v>
      </c>
      <c r="DE111" s="212">
        <v>5</v>
      </c>
      <c r="DF111" s="212">
        <v>5</v>
      </c>
      <c r="DG111" s="212">
        <v>5</v>
      </c>
      <c r="DH111" s="212">
        <v>5</v>
      </c>
      <c r="DI111" s="212">
        <v>5</v>
      </c>
      <c r="DJ111" s="212">
        <v>5</v>
      </c>
      <c r="DK111" s="212">
        <v>7.5</v>
      </c>
      <c r="DL111" s="212">
        <v>7.5</v>
      </c>
      <c r="DM111" s="212">
        <v>7.5</v>
      </c>
      <c r="DN111" s="212">
        <v>7.5</v>
      </c>
      <c r="DO111" s="212">
        <v>7.5</v>
      </c>
      <c r="DP111" s="212">
        <v>7.5</v>
      </c>
      <c r="DQ111" s="212">
        <v>7.5</v>
      </c>
      <c r="DR111" s="212">
        <v>7.5</v>
      </c>
    </row>
    <row r="112" spans="1:122" ht="22.5" customHeight="1" x14ac:dyDescent="0.65">
      <c r="A112" s="211">
        <v>-10</v>
      </c>
      <c r="B112" s="212">
        <v>2.5</v>
      </c>
      <c r="C112" s="212">
        <v>2.5</v>
      </c>
      <c r="D112" s="212">
        <v>2.5</v>
      </c>
      <c r="E112" s="212">
        <v>2.5</v>
      </c>
      <c r="F112" s="212">
        <v>2.5</v>
      </c>
      <c r="G112" s="212">
        <v>2.5</v>
      </c>
      <c r="H112" s="212">
        <v>2.5</v>
      </c>
      <c r="I112" s="212">
        <v>2.5</v>
      </c>
      <c r="J112" s="212">
        <v>2.5</v>
      </c>
      <c r="K112" s="212">
        <v>2.5</v>
      </c>
      <c r="L112" s="212">
        <v>2.5</v>
      </c>
      <c r="M112" s="212">
        <v>2.5</v>
      </c>
      <c r="N112" s="212">
        <v>2.5</v>
      </c>
      <c r="O112" s="212">
        <v>2.5</v>
      </c>
      <c r="P112" s="212">
        <v>2.5</v>
      </c>
      <c r="Q112" s="212">
        <v>2.5</v>
      </c>
      <c r="R112" s="212">
        <v>2.5</v>
      </c>
      <c r="S112" s="212">
        <v>0</v>
      </c>
      <c r="T112" s="212">
        <v>0</v>
      </c>
      <c r="U112" s="212">
        <v>0</v>
      </c>
      <c r="V112" s="212">
        <v>0</v>
      </c>
      <c r="W112" s="212">
        <v>0</v>
      </c>
      <c r="X112" s="212">
        <v>0</v>
      </c>
      <c r="Y112" s="212">
        <v>0</v>
      </c>
      <c r="Z112" s="212">
        <v>0</v>
      </c>
      <c r="AA112" s="212">
        <v>0</v>
      </c>
      <c r="AB112" s="212">
        <v>2.5</v>
      </c>
      <c r="AC112" s="212">
        <v>2.5</v>
      </c>
      <c r="AD112" s="212">
        <v>2.5</v>
      </c>
      <c r="AE112" s="212">
        <v>2.5</v>
      </c>
      <c r="AF112" s="212">
        <v>2.5</v>
      </c>
      <c r="AG112" s="212">
        <v>2.5</v>
      </c>
      <c r="AH112" s="212">
        <v>2.5</v>
      </c>
      <c r="AI112" s="212">
        <v>2.5</v>
      </c>
      <c r="AJ112" s="212">
        <v>2.5</v>
      </c>
      <c r="AK112" s="212">
        <v>2.5</v>
      </c>
      <c r="AL112" s="212">
        <v>2.5</v>
      </c>
      <c r="AM112" s="212">
        <v>2.5</v>
      </c>
      <c r="AN112" s="212">
        <v>2.5</v>
      </c>
      <c r="AO112" s="212">
        <v>2.5</v>
      </c>
      <c r="AP112" s="213" t="s">
        <v>272</v>
      </c>
      <c r="AQ112" s="212">
        <v>2.5</v>
      </c>
      <c r="AR112" s="212">
        <v>2.5</v>
      </c>
      <c r="AS112" s="212">
        <v>2.5</v>
      </c>
      <c r="AT112" s="212">
        <v>2.5</v>
      </c>
      <c r="AU112" s="212">
        <v>2.5</v>
      </c>
      <c r="AV112" s="212">
        <v>2.5</v>
      </c>
      <c r="AW112" s="212">
        <v>2.5</v>
      </c>
      <c r="AX112" s="212">
        <v>2.5</v>
      </c>
      <c r="AY112" s="215">
        <v>2.5</v>
      </c>
      <c r="AZ112" s="215">
        <v>2.5</v>
      </c>
      <c r="BA112" s="216">
        <v>5</v>
      </c>
      <c r="BB112" s="216">
        <v>5</v>
      </c>
      <c r="BC112" s="216">
        <v>5</v>
      </c>
      <c r="BD112" s="216">
        <v>5</v>
      </c>
      <c r="BE112" s="216">
        <v>5</v>
      </c>
      <c r="BF112" s="216">
        <v>5</v>
      </c>
      <c r="BG112" s="216">
        <v>5</v>
      </c>
      <c r="BH112" s="216">
        <v>5</v>
      </c>
      <c r="BI112" s="216">
        <v>5</v>
      </c>
      <c r="BJ112" s="216">
        <v>5</v>
      </c>
      <c r="BK112" s="216">
        <v>5</v>
      </c>
      <c r="BL112" s="216">
        <v>5</v>
      </c>
      <c r="BM112" s="216">
        <v>5</v>
      </c>
      <c r="BN112" s="216">
        <v>5</v>
      </c>
      <c r="BO112" s="216">
        <v>5</v>
      </c>
      <c r="BP112" s="216">
        <v>5</v>
      </c>
      <c r="BQ112" s="215">
        <v>2.5</v>
      </c>
      <c r="BR112" s="215">
        <v>2.5</v>
      </c>
      <c r="BS112" s="215">
        <v>2.5</v>
      </c>
      <c r="BT112" s="212">
        <v>2.5</v>
      </c>
      <c r="BU112" s="212">
        <v>2.5</v>
      </c>
      <c r="BV112" s="212">
        <v>2.5</v>
      </c>
      <c r="BW112" s="212">
        <v>2.5</v>
      </c>
      <c r="BX112" s="212">
        <v>2.5</v>
      </c>
      <c r="BY112" s="212">
        <v>2.5</v>
      </c>
      <c r="BZ112" s="212">
        <v>2.5</v>
      </c>
      <c r="CA112" s="212">
        <v>2.5</v>
      </c>
      <c r="CB112" s="212">
        <v>2.5</v>
      </c>
      <c r="CC112" s="212">
        <v>2.5</v>
      </c>
      <c r="CD112" s="212">
        <v>2.5</v>
      </c>
      <c r="CE112" s="212">
        <v>2.5</v>
      </c>
      <c r="CF112" s="212">
        <v>2.5</v>
      </c>
      <c r="CG112" s="212">
        <v>5</v>
      </c>
      <c r="CH112" s="212">
        <v>5</v>
      </c>
      <c r="CI112" s="212">
        <v>5</v>
      </c>
      <c r="CJ112" s="212">
        <v>5</v>
      </c>
      <c r="CK112" s="212">
        <v>5</v>
      </c>
      <c r="CL112" s="212">
        <v>5</v>
      </c>
      <c r="CM112" s="212">
        <v>5</v>
      </c>
      <c r="CN112" s="212">
        <v>5</v>
      </c>
      <c r="CO112" s="212">
        <v>5</v>
      </c>
      <c r="CP112" s="212">
        <v>5</v>
      </c>
      <c r="CQ112" s="212">
        <v>5</v>
      </c>
      <c r="CR112" s="212">
        <v>5</v>
      </c>
      <c r="CS112" s="212">
        <v>5</v>
      </c>
      <c r="CT112" s="212">
        <v>5</v>
      </c>
      <c r="CU112" s="212">
        <v>5</v>
      </c>
      <c r="CV112" s="212">
        <v>5</v>
      </c>
      <c r="CW112" s="212">
        <v>5</v>
      </c>
      <c r="CX112" s="212">
        <v>5</v>
      </c>
      <c r="CY112" s="212">
        <v>5</v>
      </c>
      <c r="CZ112" s="212">
        <v>5</v>
      </c>
      <c r="DA112" s="212">
        <v>5</v>
      </c>
      <c r="DB112" s="212">
        <v>5</v>
      </c>
      <c r="DC112" s="212">
        <v>5</v>
      </c>
      <c r="DD112" s="212">
        <v>5</v>
      </c>
      <c r="DE112" s="212">
        <v>5</v>
      </c>
      <c r="DF112" s="212">
        <v>5</v>
      </c>
      <c r="DG112" s="212">
        <v>5</v>
      </c>
      <c r="DH112" s="212">
        <v>5</v>
      </c>
      <c r="DI112" s="212">
        <v>5</v>
      </c>
      <c r="DJ112" s="212">
        <v>5</v>
      </c>
      <c r="DK112" s="212">
        <v>7.5</v>
      </c>
      <c r="DL112" s="212">
        <v>7.5</v>
      </c>
      <c r="DM112" s="212">
        <v>7.5</v>
      </c>
      <c r="DN112" s="212">
        <v>7.5</v>
      </c>
      <c r="DO112" s="212">
        <v>7.5</v>
      </c>
      <c r="DP112" s="212">
        <v>7.5</v>
      </c>
      <c r="DQ112" s="212">
        <v>7.5</v>
      </c>
      <c r="DR112" s="212">
        <v>7.5</v>
      </c>
    </row>
    <row r="113" spans="1:122" ht="22.5" customHeight="1" x14ac:dyDescent="0.65">
      <c r="A113" s="211">
        <v>-11</v>
      </c>
      <c r="B113" s="212">
        <v>2.5</v>
      </c>
      <c r="C113" s="212">
        <v>2.5</v>
      </c>
      <c r="D113" s="212">
        <v>2.5</v>
      </c>
      <c r="E113" s="212">
        <v>2.5</v>
      </c>
      <c r="F113" s="212">
        <v>2.5</v>
      </c>
      <c r="G113" s="212">
        <v>2.5</v>
      </c>
      <c r="H113" s="212">
        <v>2.5</v>
      </c>
      <c r="I113" s="212">
        <v>2.5</v>
      </c>
      <c r="J113" s="212">
        <v>2.5</v>
      </c>
      <c r="K113" s="212">
        <v>2.5</v>
      </c>
      <c r="L113" s="212">
        <v>2.5</v>
      </c>
      <c r="M113" s="212">
        <v>2.5</v>
      </c>
      <c r="N113" s="212">
        <v>2.5</v>
      </c>
      <c r="O113" s="212">
        <v>2.5</v>
      </c>
      <c r="P113" s="212">
        <v>2.5</v>
      </c>
      <c r="Q113" s="212">
        <v>2.5</v>
      </c>
      <c r="R113" s="212">
        <v>2.5</v>
      </c>
      <c r="S113" s="212">
        <v>2.5</v>
      </c>
      <c r="T113" s="212">
        <v>2.5</v>
      </c>
      <c r="U113" s="212">
        <v>2.5</v>
      </c>
      <c r="V113" s="212">
        <v>2.5</v>
      </c>
      <c r="W113" s="212">
        <v>2.5</v>
      </c>
      <c r="X113" s="212">
        <v>2.5</v>
      </c>
      <c r="Y113" s="212">
        <v>2.5</v>
      </c>
      <c r="Z113" s="212">
        <v>2.5</v>
      </c>
      <c r="AA113" s="212">
        <v>2.5</v>
      </c>
      <c r="AB113" s="212">
        <v>2.5</v>
      </c>
      <c r="AC113" s="212">
        <v>2.5</v>
      </c>
      <c r="AD113" s="212">
        <v>2.5</v>
      </c>
      <c r="AE113" s="212">
        <v>2.5</v>
      </c>
      <c r="AF113" s="212">
        <v>2.5</v>
      </c>
      <c r="AG113" s="212">
        <v>2.5</v>
      </c>
      <c r="AH113" s="212">
        <v>2.5</v>
      </c>
      <c r="AI113" s="212">
        <v>2.5</v>
      </c>
      <c r="AJ113" s="212">
        <v>2.5</v>
      </c>
      <c r="AK113" s="212">
        <v>2.5</v>
      </c>
      <c r="AL113" s="212">
        <v>2.5</v>
      </c>
      <c r="AM113" s="212">
        <v>2.5</v>
      </c>
      <c r="AN113" s="212">
        <v>2.5</v>
      </c>
      <c r="AO113" s="212">
        <v>2.5</v>
      </c>
      <c r="AP113" s="213" t="s">
        <v>272</v>
      </c>
      <c r="AQ113" s="212">
        <v>2.5</v>
      </c>
      <c r="AR113" s="212">
        <v>2.5</v>
      </c>
      <c r="AS113" s="212">
        <v>2.5</v>
      </c>
      <c r="AT113" s="212">
        <v>2.5</v>
      </c>
      <c r="AU113" s="212">
        <v>2.5</v>
      </c>
      <c r="AV113" s="212">
        <v>2.5</v>
      </c>
      <c r="AW113" s="212">
        <v>2.5</v>
      </c>
      <c r="AX113" s="212">
        <v>2.5</v>
      </c>
      <c r="AY113" s="215">
        <v>2.5</v>
      </c>
      <c r="AZ113" s="216">
        <v>5</v>
      </c>
      <c r="BA113" s="216">
        <v>5</v>
      </c>
      <c r="BB113" s="216">
        <v>5</v>
      </c>
      <c r="BC113" s="216">
        <v>5</v>
      </c>
      <c r="BD113" s="216">
        <v>5</v>
      </c>
      <c r="BE113" s="216">
        <v>5</v>
      </c>
      <c r="BF113" s="216">
        <v>5</v>
      </c>
      <c r="BG113" s="216">
        <v>5</v>
      </c>
      <c r="BH113" s="216">
        <v>5</v>
      </c>
      <c r="BI113" s="216">
        <v>5</v>
      </c>
      <c r="BJ113" s="216">
        <v>5</v>
      </c>
      <c r="BK113" s="216">
        <v>5</v>
      </c>
      <c r="BL113" s="216">
        <v>5</v>
      </c>
      <c r="BM113" s="216">
        <v>5</v>
      </c>
      <c r="BN113" s="216">
        <v>5</v>
      </c>
      <c r="BO113" s="216">
        <v>5</v>
      </c>
      <c r="BP113" s="216">
        <v>5</v>
      </c>
      <c r="BQ113" s="216">
        <v>5</v>
      </c>
      <c r="BR113" s="215">
        <v>2.5</v>
      </c>
      <c r="BS113" s="215">
        <v>2.5</v>
      </c>
      <c r="BT113" s="212">
        <v>2.5</v>
      </c>
      <c r="BU113" s="212">
        <v>2.5</v>
      </c>
      <c r="BV113" s="212">
        <v>2.5</v>
      </c>
      <c r="BW113" s="212">
        <v>2.5</v>
      </c>
      <c r="BX113" s="212">
        <v>2.5</v>
      </c>
      <c r="BY113" s="212">
        <v>2.5</v>
      </c>
      <c r="BZ113" s="212">
        <v>2.5</v>
      </c>
      <c r="CA113" s="212">
        <v>2.5</v>
      </c>
      <c r="CB113" s="212">
        <v>2.5</v>
      </c>
      <c r="CC113" s="212">
        <v>2.5</v>
      </c>
      <c r="CD113" s="212">
        <v>2.5</v>
      </c>
      <c r="CE113" s="212">
        <v>2.5</v>
      </c>
      <c r="CF113" s="212">
        <v>2.5</v>
      </c>
      <c r="CG113" s="212">
        <v>2.5</v>
      </c>
      <c r="CH113" s="212">
        <v>5</v>
      </c>
      <c r="CI113" s="212">
        <v>5</v>
      </c>
      <c r="CJ113" s="212">
        <v>5</v>
      </c>
      <c r="CK113" s="212">
        <v>5</v>
      </c>
      <c r="CL113" s="212">
        <v>5</v>
      </c>
      <c r="CM113" s="212">
        <v>5</v>
      </c>
      <c r="CN113" s="212">
        <v>5</v>
      </c>
      <c r="CO113" s="212">
        <v>5</v>
      </c>
      <c r="CP113" s="212">
        <v>5</v>
      </c>
      <c r="CQ113" s="212">
        <v>5</v>
      </c>
      <c r="CR113" s="212">
        <v>5</v>
      </c>
      <c r="CS113" s="212">
        <v>5</v>
      </c>
      <c r="CT113" s="212">
        <v>5</v>
      </c>
      <c r="CU113" s="212">
        <v>5</v>
      </c>
      <c r="CV113" s="212">
        <v>5</v>
      </c>
      <c r="CW113" s="212">
        <v>5</v>
      </c>
      <c r="CX113" s="212">
        <v>5</v>
      </c>
      <c r="CY113" s="212">
        <v>5</v>
      </c>
      <c r="CZ113" s="212">
        <v>5</v>
      </c>
      <c r="DA113" s="212">
        <v>5</v>
      </c>
      <c r="DB113" s="212">
        <v>5</v>
      </c>
      <c r="DC113" s="212">
        <v>5</v>
      </c>
      <c r="DD113" s="212">
        <v>5</v>
      </c>
      <c r="DE113" s="212">
        <v>5</v>
      </c>
      <c r="DF113" s="212">
        <v>5</v>
      </c>
      <c r="DG113" s="212">
        <v>5</v>
      </c>
      <c r="DH113" s="212">
        <v>5</v>
      </c>
      <c r="DI113" s="212">
        <v>5</v>
      </c>
      <c r="DJ113" s="212">
        <v>5</v>
      </c>
      <c r="DK113" s="212">
        <v>7.5</v>
      </c>
      <c r="DL113" s="212">
        <v>7.5</v>
      </c>
      <c r="DM113" s="212">
        <v>7.5</v>
      </c>
      <c r="DN113" s="212">
        <v>7.5</v>
      </c>
      <c r="DO113" s="212">
        <v>7.5</v>
      </c>
      <c r="DP113" s="212">
        <v>7.5</v>
      </c>
      <c r="DQ113" s="212">
        <v>7.5</v>
      </c>
      <c r="DR113" s="212">
        <v>7.5</v>
      </c>
    </row>
    <row r="114" spans="1:122" ht="22.5" customHeight="1" x14ac:dyDescent="0.65">
      <c r="A114" s="211">
        <v>-12</v>
      </c>
      <c r="B114" s="212">
        <v>2.5</v>
      </c>
      <c r="C114" s="212">
        <v>2.5</v>
      </c>
      <c r="D114" s="212">
        <v>2.5</v>
      </c>
      <c r="E114" s="212">
        <v>2.5</v>
      </c>
      <c r="F114" s="212">
        <v>2.5</v>
      </c>
      <c r="G114" s="212">
        <v>2.5</v>
      </c>
      <c r="H114" s="212">
        <v>2.5</v>
      </c>
      <c r="I114" s="212">
        <v>2.5</v>
      </c>
      <c r="J114" s="212">
        <v>2.5</v>
      </c>
      <c r="K114" s="212">
        <v>2.5</v>
      </c>
      <c r="L114" s="212">
        <v>2.5</v>
      </c>
      <c r="M114" s="212">
        <v>2.5</v>
      </c>
      <c r="N114" s="212">
        <v>2.5</v>
      </c>
      <c r="O114" s="212">
        <v>2.5</v>
      </c>
      <c r="P114" s="212">
        <v>2.5</v>
      </c>
      <c r="Q114" s="212">
        <v>2.5</v>
      </c>
      <c r="R114" s="212">
        <v>2.5</v>
      </c>
      <c r="S114" s="212">
        <v>2.5</v>
      </c>
      <c r="T114" s="212">
        <v>2.5</v>
      </c>
      <c r="U114" s="212">
        <v>2.5</v>
      </c>
      <c r="V114" s="212">
        <v>2.5</v>
      </c>
      <c r="W114" s="212">
        <v>2.5</v>
      </c>
      <c r="X114" s="212">
        <v>2.5</v>
      </c>
      <c r="Y114" s="212">
        <v>2.5</v>
      </c>
      <c r="Z114" s="212">
        <v>2.5</v>
      </c>
      <c r="AA114" s="212">
        <v>2.5</v>
      </c>
      <c r="AB114" s="212">
        <v>2.5</v>
      </c>
      <c r="AC114" s="212">
        <v>2.5</v>
      </c>
      <c r="AD114" s="212">
        <v>2.5</v>
      </c>
      <c r="AE114" s="212">
        <v>2.5</v>
      </c>
      <c r="AF114" s="212">
        <v>2.5</v>
      </c>
      <c r="AG114" s="212">
        <v>2.5</v>
      </c>
      <c r="AH114" s="212">
        <v>2.5</v>
      </c>
      <c r="AI114" s="212">
        <v>2.5</v>
      </c>
      <c r="AJ114" s="212">
        <v>2.5</v>
      </c>
      <c r="AK114" s="212">
        <v>2.5</v>
      </c>
      <c r="AL114" s="212">
        <v>2.5</v>
      </c>
      <c r="AM114" s="212">
        <v>2.5</v>
      </c>
      <c r="AN114" s="212">
        <v>2.5</v>
      </c>
      <c r="AO114" s="212">
        <v>2.5</v>
      </c>
      <c r="AP114" s="213" t="s">
        <v>272</v>
      </c>
      <c r="AQ114" s="212">
        <v>2.5</v>
      </c>
      <c r="AR114" s="212">
        <v>2.5</v>
      </c>
      <c r="AS114" s="212">
        <v>2.5</v>
      </c>
      <c r="AT114" s="212">
        <v>2.5</v>
      </c>
      <c r="AU114" s="212">
        <v>2.5</v>
      </c>
      <c r="AV114" s="212">
        <v>2.5</v>
      </c>
      <c r="AW114" s="212">
        <v>2.5</v>
      </c>
      <c r="AX114" s="212">
        <v>2.5</v>
      </c>
      <c r="AY114" s="216">
        <v>5</v>
      </c>
      <c r="AZ114" s="216">
        <v>5</v>
      </c>
      <c r="BA114" s="216">
        <v>5</v>
      </c>
      <c r="BB114" s="216">
        <v>5</v>
      </c>
      <c r="BC114" s="216">
        <v>5</v>
      </c>
      <c r="BD114" s="216">
        <v>5</v>
      </c>
      <c r="BE114" s="216">
        <v>5</v>
      </c>
      <c r="BF114" s="216">
        <v>5</v>
      </c>
      <c r="BG114" s="216">
        <v>5</v>
      </c>
      <c r="BH114" s="216">
        <v>5</v>
      </c>
      <c r="BI114" s="216">
        <v>5</v>
      </c>
      <c r="BJ114" s="216">
        <v>5</v>
      </c>
      <c r="BK114" s="216">
        <v>5</v>
      </c>
      <c r="BL114" s="216">
        <v>5</v>
      </c>
      <c r="BM114" s="216">
        <v>5</v>
      </c>
      <c r="BN114" s="216">
        <v>5</v>
      </c>
      <c r="BO114" s="216">
        <v>5</v>
      </c>
      <c r="BP114" s="216">
        <v>5</v>
      </c>
      <c r="BQ114" s="216">
        <v>5</v>
      </c>
      <c r="BR114" s="216">
        <v>5</v>
      </c>
      <c r="BS114" s="216">
        <v>5</v>
      </c>
      <c r="BT114" s="212">
        <v>2.5</v>
      </c>
      <c r="BU114" s="212">
        <v>2.5</v>
      </c>
      <c r="BV114" s="212">
        <v>2.5</v>
      </c>
      <c r="BW114" s="212">
        <v>2.5</v>
      </c>
      <c r="BX114" s="212">
        <v>2.5</v>
      </c>
      <c r="BY114" s="212">
        <v>2.5</v>
      </c>
      <c r="BZ114" s="212">
        <v>2.5</v>
      </c>
      <c r="CA114" s="212">
        <v>2.5</v>
      </c>
      <c r="CB114" s="212">
        <v>2.5</v>
      </c>
      <c r="CC114" s="212">
        <v>2.5</v>
      </c>
      <c r="CD114" s="212">
        <v>2.5</v>
      </c>
      <c r="CE114" s="212">
        <v>2.5</v>
      </c>
      <c r="CF114" s="212">
        <v>2.5</v>
      </c>
      <c r="CG114" s="212">
        <v>2.5</v>
      </c>
      <c r="CH114" s="212">
        <v>2.5</v>
      </c>
      <c r="CI114" s="212">
        <v>2.5</v>
      </c>
      <c r="CJ114" s="212">
        <v>5</v>
      </c>
      <c r="CK114" s="212">
        <v>5</v>
      </c>
      <c r="CL114" s="212">
        <v>5</v>
      </c>
      <c r="CM114" s="212">
        <v>5</v>
      </c>
      <c r="CN114" s="212">
        <v>5</v>
      </c>
      <c r="CO114" s="212">
        <v>5</v>
      </c>
      <c r="CP114" s="212">
        <v>5</v>
      </c>
      <c r="CQ114" s="212">
        <v>5</v>
      </c>
      <c r="CR114" s="212">
        <v>5</v>
      </c>
      <c r="CS114" s="212">
        <v>5</v>
      </c>
      <c r="CT114" s="212">
        <v>5</v>
      </c>
      <c r="CU114" s="212">
        <v>5</v>
      </c>
      <c r="CV114" s="212">
        <v>5</v>
      </c>
      <c r="CW114" s="212">
        <v>5</v>
      </c>
      <c r="CX114" s="212">
        <v>5</v>
      </c>
      <c r="CY114" s="212">
        <v>5</v>
      </c>
      <c r="CZ114" s="212">
        <v>5</v>
      </c>
      <c r="DA114" s="212">
        <v>5</v>
      </c>
      <c r="DB114" s="212">
        <v>5</v>
      </c>
      <c r="DC114" s="212">
        <v>5</v>
      </c>
      <c r="DD114" s="212">
        <v>5</v>
      </c>
      <c r="DE114" s="212">
        <v>5</v>
      </c>
      <c r="DF114" s="212">
        <v>5</v>
      </c>
      <c r="DG114" s="212">
        <v>5</v>
      </c>
      <c r="DH114" s="212">
        <v>5</v>
      </c>
      <c r="DI114" s="212">
        <v>5</v>
      </c>
      <c r="DJ114" s="212">
        <v>5</v>
      </c>
      <c r="DK114" s="212">
        <v>7.5</v>
      </c>
      <c r="DL114" s="212">
        <v>7.5</v>
      </c>
      <c r="DM114" s="212">
        <v>7.5</v>
      </c>
      <c r="DN114" s="212">
        <v>7.5</v>
      </c>
      <c r="DO114" s="212">
        <v>7.5</v>
      </c>
      <c r="DP114" s="212">
        <v>7.5</v>
      </c>
      <c r="DQ114" s="212">
        <v>7.5</v>
      </c>
      <c r="DR114" s="212">
        <v>7.5</v>
      </c>
    </row>
    <row r="115" spans="1:122" ht="22.5" customHeight="1" x14ac:dyDescent="0.65">
      <c r="A115" s="211">
        <v>-13</v>
      </c>
      <c r="B115" s="212">
        <v>2.5</v>
      </c>
      <c r="C115" s="212">
        <v>2.5</v>
      </c>
      <c r="D115" s="212">
        <v>2.5</v>
      </c>
      <c r="E115" s="212">
        <v>2.5</v>
      </c>
      <c r="F115" s="212">
        <v>2.5</v>
      </c>
      <c r="G115" s="212">
        <v>2.5</v>
      </c>
      <c r="H115" s="212">
        <v>2.5</v>
      </c>
      <c r="I115" s="212">
        <v>2.5</v>
      </c>
      <c r="J115" s="212">
        <v>2.5</v>
      </c>
      <c r="K115" s="212">
        <v>2.5</v>
      </c>
      <c r="L115" s="212">
        <v>2.5</v>
      </c>
      <c r="M115" s="212">
        <v>2.5</v>
      </c>
      <c r="N115" s="212">
        <v>2.5</v>
      </c>
      <c r="O115" s="212">
        <v>2.5</v>
      </c>
      <c r="P115" s="212">
        <v>2.5</v>
      </c>
      <c r="Q115" s="212">
        <v>2.5</v>
      </c>
      <c r="R115" s="212">
        <v>2.5</v>
      </c>
      <c r="S115" s="212">
        <v>2.5</v>
      </c>
      <c r="T115" s="212">
        <v>2.5</v>
      </c>
      <c r="U115" s="212">
        <v>2.5</v>
      </c>
      <c r="V115" s="212">
        <v>2.5</v>
      </c>
      <c r="W115" s="212">
        <v>2.5</v>
      </c>
      <c r="X115" s="212">
        <v>2.5</v>
      </c>
      <c r="Y115" s="212">
        <v>2.5</v>
      </c>
      <c r="Z115" s="212">
        <v>2.5</v>
      </c>
      <c r="AA115" s="212">
        <v>2.5</v>
      </c>
      <c r="AB115" s="212">
        <v>2.5</v>
      </c>
      <c r="AC115" s="212">
        <v>2.5</v>
      </c>
      <c r="AD115" s="212">
        <v>2.5</v>
      </c>
      <c r="AE115" s="212">
        <v>2.5</v>
      </c>
      <c r="AF115" s="212">
        <v>2.5</v>
      </c>
      <c r="AG115" s="212">
        <v>2.5</v>
      </c>
      <c r="AH115" s="212">
        <v>2.5</v>
      </c>
      <c r="AI115" s="212">
        <v>2.5</v>
      </c>
      <c r="AJ115" s="212">
        <v>2.5</v>
      </c>
      <c r="AK115" s="212">
        <v>2.5</v>
      </c>
      <c r="AL115" s="212">
        <v>2.5</v>
      </c>
      <c r="AM115" s="212">
        <v>2.5</v>
      </c>
      <c r="AN115" s="212">
        <v>2.5</v>
      </c>
      <c r="AO115" s="212">
        <v>2.5</v>
      </c>
      <c r="AP115" s="213" t="s">
        <v>272</v>
      </c>
      <c r="AQ115" s="212">
        <v>2.5</v>
      </c>
      <c r="AR115" s="212">
        <v>2.5</v>
      </c>
      <c r="AS115" s="212">
        <v>2.5</v>
      </c>
      <c r="AT115" s="212">
        <v>2.5</v>
      </c>
      <c r="AU115" s="212">
        <v>2.5</v>
      </c>
      <c r="AV115" s="212">
        <v>2.5</v>
      </c>
      <c r="AW115" s="212">
        <v>2.5</v>
      </c>
      <c r="AX115" s="212">
        <v>2.5</v>
      </c>
      <c r="AY115" s="216">
        <v>5</v>
      </c>
      <c r="AZ115" s="216">
        <v>5</v>
      </c>
      <c r="BA115" s="216">
        <v>5</v>
      </c>
      <c r="BB115" s="216">
        <v>5</v>
      </c>
      <c r="BC115" s="216">
        <v>5</v>
      </c>
      <c r="BD115" s="216">
        <v>5</v>
      </c>
      <c r="BE115" s="216">
        <v>5</v>
      </c>
      <c r="BF115" s="216">
        <v>5</v>
      </c>
      <c r="BG115" s="216">
        <v>5</v>
      </c>
      <c r="BH115" s="216">
        <v>5</v>
      </c>
      <c r="BI115" s="216">
        <v>5</v>
      </c>
      <c r="BJ115" s="216">
        <v>5</v>
      </c>
      <c r="BK115" s="216">
        <v>5</v>
      </c>
      <c r="BL115" s="216">
        <v>5</v>
      </c>
      <c r="BM115" s="216">
        <v>5</v>
      </c>
      <c r="BN115" s="216">
        <v>5</v>
      </c>
      <c r="BO115" s="216">
        <v>5</v>
      </c>
      <c r="BP115" s="216">
        <v>5</v>
      </c>
      <c r="BQ115" s="216">
        <v>5</v>
      </c>
      <c r="BR115" s="216">
        <v>5</v>
      </c>
      <c r="BS115" s="216">
        <v>5</v>
      </c>
      <c r="BT115" s="212">
        <v>2.5</v>
      </c>
      <c r="BU115" s="212">
        <v>2.5</v>
      </c>
      <c r="BV115" s="212">
        <v>2.5</v>
      </c>
      <c r="BW115" s="212">
        <v>2.5</v>
      </c>
      <c r="BX115" s="212">
        <v>2.5</v>
      </c>
      <c r="BY115" s="212">
        <v>2.5</v>
      </c>
      <c r="BZ115" s="212">
        <v>2.5</v>
      </c>
      <c r="CA115" s="212">
        <v>2.5</v>
      </c>
      <c r="CB115" s="212">
        <v>2.5</v>
      </c>
      <c r="CC115" s="212">
        <v>2.5</v>
      </c>
      <c r="CD115" s="212">
        <v>2.5</v>
      </c>
      <c r="CE115" s="212">
        <v>2.5</v>
      </c>
      <c r="CF115" s="212">
        <v>2.5</v>
      </c>
      <c r="CG115" s="212">
        <v>2.5</v>
      </c>
      <c r="CH115" s="212">
        <v>2.5</v>
      </c>
      <c r="CI115" s="212">
        <v>2.5</v>
      </c>
      <c r="CJ115" s="212">
        <v>2.5</v>
      </c>
      <c r="CK115" s="212">
        <v>2.5</v>
      </c>
      <c r="CL115" s="212">
        <v>2.5</v>
      </c>
      <c r="CM115" s="212">
        <v>5</v>
      </c>
      <c r="CN115" s="212">
        <v>5</v>
      </c>
      <c r="CO115" s="212">
        <v>5</v>
      </c>
      <c r="CP115" s="212">
        <v>5</v>
      </c>
      <c r="CQ115" s="212">
        <v>5</v>
      </c>
      <c r="CR115" s="212">
        <v>5</v>
      </c>
      <c r="CS115" s="212">
        <v>5</v>
      </c>
      <c r="CT115" s="212">
        <v>5</v>
      </c>
      <c r="CU115" s="212">
        <v>5</v>
      </c>
      <c r="CV115" s="212">
        <v>5</v>
      </c>
      <c r="CW115" s="212">
        <v>5</v>
      </c>
      <c r="CX115" s="212">
        <v>5</v>
      </c>
      <c r="CY115" s="212">
        <v>5</v>
      </c>
      <c r="CZ115" s="212">
        <v>5</v>
      </c>
      <c r="DA115" s="212">
        <v>5</v>
      </c>
      <c r="DB115" s="212">
        <v>5</v>
      </c>
      <c r="DC115" s="212">
        <v>5</v>
      </c>
      <c r="DD115" s="212">
        <v>5</v>
      </c>
      <c r="DE115" s="212">
        <v>5</v>
      </c>
      <c r="DF115" s="212">
        <v>5</v>
      </c>
      <c r="DG115" s="212">
        <v>5</v>
      </c>
      <c r="DH115" s="212">
        <v>5</v>
      </c>
      <c r="DI115" s="212">
        <v>5</v>
      </c>
      <c r="DJ115" s="212">
        <v>5</v>
      </c>
      <c r="DK115" s="212">
        <v>7.5</v>
      </c>
      <c r="DL115" s="212">
        <v>7.5</v>
      </c>
      <c r="DM115" s="212">
        <v>7.5</v>
      </c>
      <c r="DN115" s="212">
        <v>7.5</v>
      </c>
      <c r="DO115" s="212">
        <v>7.5</v>
      </c>
      <c r="DP115" s="212">
        <v>7.5</v>
      </c>
      <c r="DQ115" s="212">
        <v>7.5</v>
      </c>
      <c r="DR115" s="212">
        <v>7.5</v>
      </c>
    </row>
    <row r="116" spans="1:122" ht="22.5" customHeight="1" x14ac:dyDescent="0.65">
      <c r="A116" s="211">
        <v>-14</v>
      </c>
      <c r="B116" s="212">
        <v>2.5</v>
      </c>
      <c r="C116" s="212">
        <v>2.5</v>
      </c>
      <c r="D116" s="212">
        <v>2.5</v>
      </c>
      <c r="E116" s="212">
        <v>2.5</v>
      </c>
      <c r="F116" s="212">
        <v>2.5</v>
      </c>
      <c r="G116" s="212">
        <v>2.5</v>
      </c>
      <c r="H116" s="212">
        <v>2.5</v>
      </c>
      <c r="I116" s="212">
        <v>2.5</v>
      </c>
      <c r="J116" s="212">
        <v>2.5</v>
      </c>
      <c r="K116" s="212">
        <v>2.5</v>
      </c>
      <c r="L116" s="212">
        <v>2.5</v>
      </c>
      <c r="M116" s="212">
        <v>2.5</v>
      </c>
      <c r="N116" s="212">
        <v>2.5</v>
      </c>
      <c r="O116" s="212">
        <v>2.5</v>
      </c>
      <c r="P116" s="212">
        <v>2.5</v>
      </c>
      <c r="Q116" s="212">
        <v>2.5</v>
      </c>
      <c r="R116" s="212">
        <v>2.5</v>
      </c>
      <c r="S116" s="212">
        <v>2.5</v>
      </c>
      <c r="T116" s="212">
        <v>2.5</v>
      </c>
      <c r="U116" s="212">
        <v>2.5</v>
      </c>
      <c r="V116" s="212">
        <v>2.5</v>
      </c>
      <c r="W116" s="212">
        <v>2.5</v>
      </c>
      <c r="X116" s="212">
        <v>2.5</v>
      </c>
      <c r="Y116" s="212">
        <v>2.5</v>
      </c>
      <c r="Z116" s="212">
        <v>2.5</v>
      </c>
      <c r="AA116" s="212">
        <v>2.5</v>
      </c>
      <c r="AB116" s="212">
        <v>2.5</v>
      </c>
      <c r="AC116" s="212">
        <v>2.5</v>
      </c>
      <c r="AD116" s="212">
        <v>2.5</v>
      </c>
      <c r="AE116" s="212">
        <v>2.5</v>
      </c>
      <c r="AF116" s="212">
        <v>2.5</v>
      </c>
      <c r="AG116" s="212">
        <v>2.5</v>
      </c>
      <c r="AH116" s="212">
        <v>2.5</v>
      </c>
      <c r="AI116" s="212">
        <v>2.5</v>
      </c>
      <c r="AJ116" s="212">
        <v>2.5</v>
      </c>
      <c r="AK116" s="212">
        <v>2.5</v>
      </c>
      <c r="AL116" s="212">
        <v>2.5</v>
      </c>
      <c r="AM116" s="212">
        <v>2.5</v>
      </c>
      <c r="AN116" s="212">
        <v>2.5</v>
      </c>
      <c r="AO116" s="212">
        <v>2.5</v>
      </c>
      <c r="AP116" s="213" t="s">
        <v>272</v>
      </c>
      <c r="AQ116" s="212">
        <v>2.5</v>
      </c>
      <c r="AR116" s="212">
        <v>2.5</v>
      </c>
      <c r="AS116" s="212">
        <v>2.5</v>
      </c>
      <c r="AT116" s="212">
        <v>2.5</v>
      </c>
      <c r="AU116" s="212">
        <v>2.5</v>
      </c>
      <c r="AV116" s="212">
        <v>2.5</v>
      </c>
      <c r="AW116" s="212">
        <v>2.5</v>
      </c>
      <c r="AX116" s="212">
        <v>2.5</v>
      </c>
      <c r="AY116" s="212">
        <v>2.5</v>
      </c>
      <c r="AZ116" s="212">
        <v>5</v>
      </c>
      <c r="BA116" s="212">
        <v>5</v>
      </c>
      <c r="BB116" s="212">
        <v>5</v>
      </c>
      <c r="BC116" s="212">
        <v>5</v>
      </c>
      <c r="BD116" s="212">
        <v>5</v>
      </c>
      <c r="BE116" s="212">
        <v>5</v>
      </c>
      <c r="BF116" s="212">
        <v>5</v>
      </c>
      <c r="BG116" s="212">
        <v>5</v>
      </c>
      <c r="BH116" s="212">
        <v>5</v>
      </c>
      <c r="BI116" s="212">
        <v>5</v>
      </c>
      <c r="BJ116" s="212">
        <v>5</v>
      </c>
      <c r="BK116" s="212">
        <v>5</v>
      </c>
      <c r="BL116" s="212">
        <v>5</v>
      </c>
      <c r="BM116" s="212">
        <v>5</v>
      </c>
      <c r="BN116" s="212">
        <v>5</v>
      </c>
      <c r="BO116" s="212">
        <v>5</v>
      </c>
      <c r="BP116" s="212">
        <v>5</v>
      </c>
      <c r="BQ116" s="212">
        <v>5</v>
      </c>
      <c r="BR116" s="212">
        <v>2.5</v>
      </c>
      <c r="BS116" s="212">
        <v>2.5</v>
      </c>
      <c r="BT116" s="212">
        <v>2.5</v>
      </c>
      <c r="BU116" s="212">
        <v>2.5</v>
      </c>
      <c r="BV116" s="212">
        <v>2.5</v>
      </c>
      <c r="BW116" s="212">
        <v>2.5</v>
      </c>
      <c r="BX116" s="212">
        <v>2.5</v>
      </c>
      <c r="BY116" s="212">
        <v>2.5</v>
      </c>
      <c r="BZ116" s="212">
        <v>2.5</v>
      </c>
      <c r="CA116" s="212">
        <v>2.5</v>
      </c>
      <c r="CB116" s="212">
        <v>2.5</v>
      </c>
      <c r="CC116" s="212">
        <v>2.5</v>
      </c>
      <c r="CD116" s="212">
        <v>2.5</v>
      </c>
      <c r="CE116" s="212">
        <v>2.5</v>
      </c>
      <c r="CF116" s="212">
        <v>2.5</v>
      </c>
      <c r="CG116" s="212">
        <v>2.5</v>
      </c>
      <c r="CH116" s="212">
        <v>2.5</v>
      </c>
      <c r="CI116" s="212">
        <v>2.5</v>
      </c>
      <c r="CJ116" s="212">
        <v>2.5</v>
      </c>
      <c r="CK116" s="212">
        <v>2.5</v>
      </c>
      <c r="CL116" s="212">
        <v>2.5</v>
      </c>
      <c r="CM116" s="212">
        <v>5</v>
      </c>
      <c r="CN116" s="212">
        <v>5</v>
      </c>
      <c r="CO116" s="212">
        <v>5</v>
      </c>
      <c r="CP116" s="212">
        <v>5</v>
      </c>
      <c r="CQ116" s="212">
        <v>5</v>
      </c>
      <c r="CR116" s="212">
        <v>5</v>
      </c>
      <c r="CS116" s="212">
        <v>5</v>
      </c>
      <c r="CT116" s="212">
        <v>5</v>
      </c>
      <c r="CU116" s="212">
        <v>5</v>
      </c>
      <c r="CV116" s="212">
        <v>5</v>
      </c>
      <c r="CW116" s="212">
        <v>5</v>
      </c>
      <c r="CX116" s="212">
        <v>5</v>
      </c>
      <c r="CY116" s="212">
        <v>5</v>
      </c>
      <c r="CZ116" s="212">
        <v>5</v>
      </c>
      <c r="DA116" s="212">
        <v>5</v>
      </c>
      <c r="DB116" s="212">
        <v>5</v>
      </c>
      <c r="DC116" s="212">
        <v>5</v>
      </c>
      <c r="DD116" s="212">
        <v>5</v>
      </c>
      <c r="DE116" s="212">
        <v>5</v>
      </c>
      <c r="DF116" s="212">
        <v>5</v>
      </c>
      <c r="DG116" s="212">
        <v>5</v>
      </c>
      <c r="DH116" s="212">
        <v>5</v>
      </c>
      <c r="DI116" s="212">
        <v>5</v>
      </c>
      <c r="DJ116" s="212">
        <v>5</v>
      </c>
      <c r="DK116" s="212">
        <v>7.5</v>
      </c>
      <c r="DL116" s="212">
        <v>7.5</v>
      </c>
      <c r="DM116" s="212">
        <v>7.5</v>
      </c>
      <c r="DN116" s="212">
        <v>7.5</v>
      </c>
      <c r="DO116" s="212">
        <v>7.5</v>
      </c>
      <c r="DP116" s="212">
        <v>7.5</v>
      </c>
      <c r="DQ116" s="212">
        <v>7.5</v>
      </c>
      <c r="DR116" s="212">
        <v>7.5</v>
      </c>
    </row>
    <row r="117" spans="1:122" ht="22.5" customHeight="1" x14ac:dyDescent="0.65">
      <c r="A117" s="211">
        <v>-15</v>
      </c>
      <c r="B117" s="212">
        <v>2.5</v>
      </c>
      <c r="C117" s="212">
        <v>2.5</v>
      </c>
      <c r="D117" s="212">
        <v>2.5</v>
      </c>
      <c r="E117" s="212">
        <v>2.5</v>
      </c>
      <c r="F117" s="212">
        <v>2.5</v>
      </c>
      <c r="G117" s="212">
        <v>2.5</v>
      </c>
      <c r="H117" s="212">
        <v>2.5</v>
      </c>
      <c r="I117" s="212">
        <v>2.5</v>
      </c>
      <c r="J117" s="212">
        <v>2.5</v>
      </c>
      <c r="K117" s="212">
        <v>2.5</v>
      </c>
      <c r="L117" s="212">
        <v>2.5</v>
      </c>
      <c r="M117" s="212">
        <v>2.5</v>
      </c>
      <c r="N117" s="212">
        <v>2.5</v>
      </c>
      <c r="O117" s="212">
        <v>2.5</v>
      </c>
      <c r="P117" s="212">
        <v>2.5</v>
      </c>
      <c r="Q117" s="212">
        <v>2.5</v>
      </c>
      <c r="R117" s="212">
        <v>2.5</v>
      </c>
      <c r="S117" s="212">
        <v>2.5</v>
      </c>
      <c r="T117" s="212">
        <v>2.5</v>
      </c>
      <c r="U117" s="212">
        <v>2.5</v>
      </c>
      <c r="V117" s="212">
        <v>2.5</v>
      </c>
      <c r="W117" s="212">
        <v>2.5</v>
      </c>
      <c r="X117" s="212">
        <v>2.5</v>
      </c>
      <c r="Y117" s="212">
        <v>2.5</v>
      </c>
      <c r="Z117" s="212">
        <v>2.5</v>
      </c>
      <c r="AA117" s="212">
        <v>2.5</v>
      </c>
      <c r="AB117" s="212">
        <v>2.5</v>
      </c>
      <c r="AC117" s="212">
        <v>2.5</v>
      </c>
      <c r="AD117" s="212">
        <v>2.5</v>
      </c>
      <c r="AE117" s="212">
        <v>2.5</v>
      </c>
      <c r="AF117" s="212">
        <v>2.5</v>
      </c>
      <c r="AG117" s="212">
        <v>2.5</v>
      </c>
      <c r="AH117" s="212">
        <v>2.5</v>
      </c>
      <c r="AI117" s="212">
        <v>2.5</v>
      </c>
      <c r="AJ117" s="212">
        <v>2.5</v>
      </c>
      <c r="AK117" s="212">
        <v>2.5</v>
      </c>
      <c r="AL117" s="212">
        <v>2.5</v>
      </c>
      <c r="AM117" s="212">
        <v>2.5</v>
      </c>
      <c r="AN117" s="212">
        <v>2.5</v>
      </c>
      <c r="AO117" s="212">
        <v>2.5</v>
      </c>
      <c r="AP117" s="213" t="s">
        <v>272</v>
      </c>
      <c r="AQ117" s="212">
        <v>2.5</v>
      </c>
      <c r="AR117" s="212">
        <v>2.5</v>
      </c>
      <c r="AS117" s="212">
        <v>2.5</v>
      </c>
      <c r="AT117" s="212">
        <v>2.5</v>
      </c>
      <c r="AU117" s="212">
        <v>2.5</v>
      </c>
      <c r="AV117" s="212">
        <v>2.5</v>
      </c>
      <c r="AW117" s="212">
        <v>2.5</v>
      </c>
      <c r="AX117" s="212">
        <v>2.5</v>
      </c>
      <c r="AY117" s="212">
        <v>2.5</v>
      </c>
      <c r="AZ117" s="212">
        <v>2.5</v>
      </c>
      <c r="BA117" s="212">
        <v>5</v>
      </c>
      <c r="BB117" s="212">
        <v>5</v>
      </c>
      <c r="BC117" s="212">
        <v>5</v>
      </c>
      <c r="BD117" s="212">
        <v>5</v>
      </c>
      <c r="BE117" s="212">
        <v>5</v>
      </c>
      <c r="BF117" s="212">
        <v>5</v>
      </c>
      <c r="BG117" s="212">
        <v>5</v>
      </c>
      <c r="BH117" s="212">
        <v>5</v>
      </c>
      <c r="BI117" s="212">
        <v>5</v>
      </c>
      <c r="BJ117" s="212">
        <v>5</v>
      </c>
      <c r="BK117" s="212">
        <v>5</v>
      </c>
      <c r="BL117" s="212">
        <v>5</v>
      </c>
      <c r="BM117" s="212">
        <v>5</v>
      </c>
      <c r="BN117" s="212">
        <v>5</v>
      </c>
      <c r="BO117" s="212">
        <v>5</v>
      </c>
      <c r="BP117" s="212">
        <v>5</v>
      </c>
      <c r="BQ117" s="212">
        <v>2.5</v>
      </c>
      <c r="BR117" s="212">
        <v>2.5</v>
      </c>
      <c r="BS117" s="212">
        <v>2.5</v>
      </c>
      <c r="BT117" s="212">
        <v>2.5</v>
      </c>
      <c r="BU117" s="212">
        <v>2.5</v>
      </c>
      <c r="BV117" s="212">
        <v>2.5</v>
      </c>
      <c r="BW117" s="212">
        <v>2.5</v>
      </c>
      <c r="BX117" s="212">
        <v>2.5</v>
      </c>
      <c r="BY117" s="212">
        <v>2.5</v>
      </c>
      <c r="BZ117" s="212">
        <v>2.5</v>
      </c>
      <c r="CA117" s="212">
        <v>2.5</v>
      </c>
      <c r="CB117" s="212">
        <v>2.5</v>
      </c>
      <c r="CC117" s="212">
        <v>2.5</v>
      </c>
      <c r="CD117" s="212">
        <v>2.5</v>
      </c>
      <c r="CE117" s="212">
        <v>2.5</v>
      </c>
      <c r="CF117" s="212">
        <v>2.5</v>
      </c>
      <c r="CG117" s="212">
        <v>2.5</v>
      </c>
      <c r="CH117" s="212">
        <v>2.5</v>
      </c>
      <c r="CI117" s="212">
        <v>2.5</v>
      </c>
      <c r="CJ117" s="212">
        <v>2.5</v>
      </c>
      <c r="CK117" s="212">
        <v>2.5</v>
      </c>
      <c r="CL117" s="212">
        <v>2.5</v>
      </c>
      <c r="CM117" s="212">
        <v>2.5</v>
      </c>
      <c r="CN117" s="212">
        <v>2.5</v>
      </c>
      <c r="CO117" s="212">
        <v>5</v>
      </c>
      <c r="CP117" s="212">
        <v>5</v>
      </c>
      <c r="CQ117" s="212">
        <v>5</v>
      </c>
      <c r="CR117" s="212">
        <v>5</v>
      </c>
      <c r="CS117" s="212">
        <v>5</v>
      </c>
      <c r="CT117" s="212">
        <v>5</v>
      </c>
      <c r="CU117" s="212">
        <v>5</v>
      </c>
      <c r="CV117" s="212">
        <v>5</v>
      </c>
      <c r="CW117" s="212">
        <v>5</v>
      </c>
      <c r="CX117" s="212">
        <v>5</v>
      </c>
      <c r="CY117" s="212">
        <v>5</v>
      </c>
      <c r="CZ117" s="212">
        <v>5</v>
      </c>
      <c r="DA117" s="212">
        <v>5</v>
      </c>
      <c r="DB117" s="212">
        <v>5</v>
      </c>
      <c r="DC117" s="212">
        <v>5</v>
      </c>
      <c r="DD117" s="212">
        <v>5</v>
      </c>
      <c r="DE117" s="212">
        <v>5</v>
      </c>
      <c r="DF117" s="212">
        <v>5</v>
      </c>
      <c r="DG117" s="212">
        <v>5</v>
      </c>
      <c r="DH117" s="212">
        <v>5</v>
      </c>
      <c r="DI117" s="212">
        <v>5</v>
      </c>
      <c r="DJ117" s="212">
        <v>5</v>
      </c>
      <c r="DK117" s="212">
        <v>5</v>
      </c>
      <c r="DL117" s="212">
        <v>7.5</v>
      </c>
      <c r="DM117" s="212">
        <v>7.5</v>
      </c>
      <c r="DN117" s="212">
        <v>7.5</v>
      </c>
      <c r="DO117" s="212">
        <v>7.5</v>
      </c>
      <c r="DP117" s="212">
        <v>7.5</v>
      </c>
      <c r="DQ117" s="212">
        <v>7.5</v>
      </c>
      <c r="DR117" s="212">
        <v>7.5</v>
      </c>
    </row>
    <row r="118" spans="1:122" ht="22.5" customHeight="1" x14ac:dyDescent="0.65">
      <c r="A118" s="211">
        <v>-16</v>
      </c>
      <c r="B118" s="212">
        <v>2.5</v>
      </c>
      <c r="C118" s="212">
        <v>2.5</v>
      </c>
      <c r="D118" s="212">
        <v>2.5</v>
      </c>
      <c r="E118" s="212">
        <v>2.5</v>
      </c>
      <c r="F118" s="212">
        <v>2.5</v>
      </c>
      <c r="G118" s="212">
        <v>2.5</v>
      </c>
      <c r="H118" s="212">
        <v>2.5</v>
      </c>
      <c r="I118" s="212">
        <v>2.5</v>
      </c>
      <c r="J118" s="212">
        <v>2.5</v>
      </c>
      <c r="K118" s="212">
        <v>2.5</v>
      </c>
      <c r="L118" s="212">
        <v>2.5</v>
      </c>
      <c r="M118" s="212">
        <v>2.5</v>
      </c>
      <c r="N118" s="212">
        <v>2.5</v>
      </c>
      <c r="O118" s="212">
        <v>2.5</v>
      </c>
      <c r="P118" s="212">
        <v>2.5</v>
      </c>
      <c r="Q118" s="212">
        <v>2.5</v>
      </c>
      <c r="R118" s="212">
        <v>2.5</v>
      </c>
      <c r="S118" s="212">
        <v>2.5</v>
      </c>
      <c r="T118" s="212">
        <v>2.5</v>
      </c>
      <c r="U118" s="212">
        <v>2.5</v>
      </c>
      <c r="V118" s="212">
        <v>2.5</v>
      </c>
      <c r="W118" s="212">
        <v>2.5</v>
      </c>
      <c r="X118" s="212">
        <v>2.5</v>
      </c>
      <c r="Y118" s="212">
        <v>2.5</v>
      </c>
      <c r="Z118" s="212">
        <v>2.5</v>
      </c>
      <c r="AA118" s="212">
        <v>2.5</v>
      </c>
      <c r="AB118" s="212">
        <v>2.5</v>
      </c>
      <c r="AC118" s="212">
        <v>2.5</v>
      </c>
      <c r="AD118" s="212">
        <v>2.5</v>
      </c>
      <c r="AE118" s="212">
        <v>2.5</v>
      </c>
      <c r="AF118" s="212">
        <v>2.5</v>
      </c>
      <c r="AG118" s="212">
        <v>2.5</v>
      </c>
      <c r="AH118" s="212">
        <v>2.5</v>
      </c>
      <c r="AI118" s="212">
        <v>2.5</v>
      </c>
      <c r="AJ118" s="212">
        <v>2.5</v>
      </c>
      <c r="AK118" s="212">
        <v>2.5</v>
      </c>
      <c r="AL118" s="212">
        <v>2.5</v>
      </c>
      <c r="AM118" s="212">
        <v>2.5</v>
      </c>
      <c r="AN118" s="212">
        <v>2.5</v>
      </c>
      <c r="AO118" s="212">
        <v>2.5</v>
      </c>
      <c r="AP118" s="213" t="s">
        <v>272</v>
      </c>
      <c r="AQ118" s="212">
        <v>2.5</v>
      </c>
      <c r="AR118" s="212">
        <v>2.5</v>
      </c>
      <c r="AS118" s="212">
        <v>2.5</v>
      </c>
      <c r="AT118" s="212">
        <v>2.5</v>
      </c>
      <c r="AU118" s="212">
        <v>2.5</v>
      </c>
      <c r="AV118" s="212">
        <v>2.5</v>
      </c>
      <c r="AW118" s="212">
        <v>2.5</v>
      </c>
      <c r="AX118" s="212">
        <v>2.5</v>
      </c>
      <c r="AY118" s="212">
        <v>2.5</v>
      </c>
      <c r="AZ118" s="212">
        <v>2.5</v>
      </c>
      <c r="BA118" s="212">
        <v>2.5</v>
      </c>
      <c r="BB118" s="212">
        <v>2.5</v>
      </c>
      <c r="BC118" s="212">
        <v>5</v>
      </c>
      <c r="BD118" s="212">
        <v>5</v>
      </c>
      <c r="BE118" s="212">
        <v>5</v>
      </c>
      <c r="BF118" s="212">
        <v>5</v>
      </c>
      <c r="BG118" s="212">
        <v>5</v>
      </c>
      <c r="BH118" s="212">
        <v>5</v>
      </c>
      <c r="BI118" s="212">
        <v>5</v>
      </c>
      <c r="BJ118" s="212">
        <v>5</v>
      </c>
      <c r="BK118" s="212">
        <v>5</v>
      </c>
      <c r="BL118" s="212">
        <v>5</v>
      </c>
      <c r="BM118" s="212">
        <v>5</v>
      </c>
      <c r="BN118" s="212">
        <v>5</v>
      </c>
      <c r="BO118" s="212">
        <v>2.5</v>
      </c>
      <c r="BP118" s="212">
        <v>2.5</v>
      </c>
      <c r="BQ118" s="212">
        <v>2.5</v>
      </c>
      <c r="BR118" s="212">
        <v>2.5</v>
      </c>
      <c r="BS118" s="212">
        <v>2.5</v>
      </c>
      <c r="BT118" s="212">
        <v>2.5</v>
      </c>
      <c r="BU118" s="212">
        <v>2.5</v>
      </c>
      <c r="BV118" s="212">
        <v>2.5</v>
      </c>
      <c r="BW118" s="212">
        <v>2.5</v>
      </c>
      <c r="BX118" s="212">
        <v>2.5</v>
      </c>
      <c r="BY118" s="212">
        <v>2.5</v>
      </c>
      <c r="BZ118" s="212">
        <v>2.5</v>
      </c>
      <c r="CA118" s="212">
        <v>2.5</v>
      </c>
      <c r="CB118" s="212">
        <v>2.5</v>
      </c>
      <c r="CC118" s="212">
        <v>2.5</v>
      </c>
      <c r="CD118" s="212">
        <v>2.5</v>
      </c>
      <c r="CE118" s="212">
        <v>2.5</v>
      </c>
      <c r="CF118" s="212">
        <v>2.5</v>
      </c>
      <c r="CG118" s="212">
        <v>2.5</v>
      </c>
      <c r="CH118" s="212">
        <v>2.5</v>
      </c>
      <c r="CI118" s="212">
        <v>2.5</v>
      </c>
      <c r="CJ118" s="212">
        <v>2.5</v>
      </c>
      <c r="CK118" s="212">
        <v>2.5</v>
      </c>
      <c r="CL118" s="212">
        <v>2.5</v>
      </c>
      <c r="CM118" s="212">
        <v>2.5</v>
      </c>
      <c r="CN118" s="212">
        <v>2.5</v>
      </c>
      <c r="CO118" s="212">
        <v>2.5</v>
      </c>
      <c r="CP118" s="212">
        <v>5</v>
      </c>
      <c r="CQ118" s="212">
        <v>5</v>
      </c>
      <c r="CR118" s="212">
        <v>5</v>
      </c>
      <c r="CS118" s="212">
        <v>5</v>
      </c>
      <c r="CT118" s="212">
        <v>5</v>
      </c>
      <c r="CU118" s="212">
        <v>5</v>
      </c>
      <c r="CV118" s="212">
        <v>5</v>
      </c>
      <c r="CW118" s="212">
        <v>5</v>
      </c>
      <c r="CX118" s="212">
        <v>5</v>
      </c>
      <c r="CY118" s="212">
        <v>5</v>
      </c>
      <c r="CZ118" s="212">
        <v>5</v>
      </c>
      <c r="DA118" s="212">
        <v>5</v>
      </c>
      <c r="DB118" s="212">
        <v>5</v>
      </c>
      <c r="DC118" s="212">
        <v>5</v>
      </c>
      <c r="DD118" s="212">
        <v>5</v>
      </c>
      <c r="DE118" s="212">
        <v>5</v>
      </c>
      <c r="DF118" s="212">
        <v>5</v>
      </c>
      <c r="DG118" s="212">
        <v>5</v>
      </c>
      <c r="DH118" s="212">
        <v>5</v>
      </c>
      <c r="DI118" s="212">
        <v>5</v>
      </c>
      <c r="DJ118" s="212">
        <v>5</v>
      </c>
      <c r="DK118" s="212">
        <v>5</v>
      </c>
      <c r="DL118" s="212">
        <v>7.5</v>
      </c>
      <c r="DM118" s="212">
        <v>7.5</v>
      </c>
      <c r="DN118" s="212">
        <v>7.5</v>
      </c>
      <c r="DO118" s="212">
        <v>7.5</v>
      </c>
      <c r="DP118" s="212">
        <v>7.5</v>
      </c>
      <c r="DQ118" s="212">
        <v>7.5</v>
      </c>
      <c r="DR118" s="212">
        <v>7.5</v>
      </c>
    </row>
    <row r="119" spans="1:122" ht="22.5" customHeight="1" x14ac:dyDescent="0.65">
      <c r="A119" s="211">
        <v>-17</v>
      </c>
      <c r="B119" s="212">
        <v>2.5</v>
      </c>
      <c r="C119" s="212">
        <v>2.5</v>
      </c>
      <c r="D119" s="212">
        <v>2.5</v>
      </c>
      <c r="E119" s="212">
        <v>2.5</v>
      </c>
      <c r="F119" s="212">
        <v>2.5</v>
      </c>
      <c r="G119" s="212">
        <v>2.5</v>
      </c>
      <c r="H119" s="212">
        <v>2.5</v>
      </c>
      <c r="I119" s="212">
        <v>2.5</v>
      </c>
      <c r="J119" s="212">
        <v>2.5</v>
      </c>
      <c r="K119" s="212">
        <v>2.5</v>
      </c>
      <c r="L119" s="212">
        <v>2.5</v>
      </c>
      <c r="M119" s="212">
        <v>2.5</v>
      </c>
      <c r="N119" s="212">
        <v>2.5</v>
      </c>
      <c r="O119" s="212">
        <v>2.5</v>
      </c>
      <c r="P119" s="212">
        <v>2.5</v>
      </c>
      <c r="Q119" s="212">
        <v>2.5</v>
      </c>
      <c r="R119" s="212">
        <v>2.5</v>
      </c>
      <c r="S119" s="212">
        <v>2.5</v>
      </c>
      <c r="T119" s="212">
        <v>2.5</v>
      </c>
      <c r="U119" s="212">
        <v>2.5</v>
      </c>
      <c r="V119" s="212">
        <v>2.5</v>
      </c>
      <c r="W119" s="212">
        <v>2.5</v>
      </c>
      <c r="X119" s="212">
        <v>2.5</v>
      </c>
      <c r="Y119" s="212">
        <v>2.5</v>
      </c>
      <c r="Z119" s="212">
        <v>2.5</v>
      </c>
      <c r="AA119" s="212">
        <v>2.5</v>
      </c>
      <c r="AB119" s="212">
        <v>2.5</v>
      </c>
      <c r="AC119" s="212">
        <v>2.5</v>
      </c>
      <c r="AD119" s="212">
        <v>2.5</v>
      </c>
      <c r="AE119" s="212">
        <v>2.5</v>
      </c>
      <c r="AF119" s="212">
        <v>2.5</v>
      </c>
      <c r="AG119" s="212">
        <v>2.5</v>
      </c>
      <c r="AH119" s="212">
        <v>2.5</v>
      </c>
      <c r="AI119" s="212">
        <v>2.5</v>
      </c>
      <c r="AJ119" s="212">
        <v>2.5</v>
      </c>
      <c r="AK119" s="212">
        <v>2.5</v>
      </c>
      <c r="AL119" s="212">
        <v>2.5</v>
      </c>
      <c r="AM119" s="212">
        <v>2.5</v>
      </c>
      <c r="AN119" s="212">
        <v>2.5</v>
      </c>
      <c r="AO119" s="212">
        <v>2.5</v>
      </c>
      <c r="AP119" s="213" t="s">
        <v>272</v>
      </c>
      <c r="AQ119" s="212">
        <v>2.5</v>
      </c>
      <c r="AR119" s="212">
        <v>2.5</v>
      </c>
      <c r="AS119" s="212">
        <v>2.5</v>
      </c>
      <c r="AT119" s="212">
        <v>2.5</v>
      </c>
      <c r="AU119" s="212">
        <v>2.5</v>
      </c>
      <c r="AV119" s="212">
        <v>2.5</v>
      </c>
      <c r="AW119" s="212">
        <v>2.5</v>
      </c>
      <c r="AX119" s="212">
        <v>2.5</v>
      </c>
      <c r="AY119" s="212">
        <v>2.5</v>
      </c>
      <c r="AZ119" s="212">
        <v>2.5</v>
      </c>
      <c r="BA119" s="212">
        <v>2.5</v>
      </c>
      <c r="BB119" s="212">
        <v>2.5</v>
      </c>
      <c r="BC119" s="212">
        <v>2.5</v>
      </c>
      <c r="BD119" s="212">
        <v>2.5</v>
      </c>
      <c r="BE119" s="212">
        <v>2.5</v>
      </c>
      <c r="BF119" s="212">
        <v>2.5</v>
      </c>
      <c r="BG119" s="212">
        <v>2.5</v>
      </c>
      <c r="BH119" s="212">
        <v>2.5</v>
      </c>
      <c r="BI119" s="212">
        <v>2.5</v>
      </c>
      <c r="BJ119" s="212">
        <v>5</v>
      </c>
      <c r="BK119" s="212">
        <v>2.5</v>
      </c>
      <c r="BL119" s="212">
        <v>2.5</v>
      </c>
      <c r="BM119" s="212">
        <v>2.5</v>
      </c>
      <c r="BN119" s="212">
        <v>2.5</v>
      </c>
      <c r="BO119" s="212">
        <v>2.5</v>
      </c>
      <c r="BP119" s="212">
        <v>2.5</v>
      </c>
      <c r="BQ119" s="212">
        <v>2.5</v>
      </c>
      <c r="BR119" s="212">
        <v>2.5</v>
      </c>
      <c r="BS119" s="212">
        <v>2.5</v>
      </c>
      <c r="BT119" s="212">
        <v>2.5</v>
      </c>
      <c r="BU119" s="212">
        <v>2.5</v>
      </c>
      <c r="BV119" s="212">
        <v>2.5</v>
      </c>
      <c r="BW119" s="212">
        <v>2.5</v>
      </c>
      <c r="BX119" s="212">
        <v>2.5</v>
      </c>
      <c r="BY119" s="212">
        <v>2.5</v>
      </c>
      <c r="BZ119" s="212">
        <v>2.5</v>
      </c>
      <c r="CA119" s="212">
        <v>2.5</v>
      </c>
      <c r="CB119" s="212">
        <v>2.5</v>
      </c>
      <c r="CC119" s="212">
        <v>2.5</v>
      </c>
      <c r="CD119" s="212">
        <v>2.5</v>
      </c>
      <c r="CE119" s="212">
        <v>2.5</v>
      </c>
      <c r="CF119" s="212">
        <v>2.5</v>
      </c>
      <c r="CG119" s="212">
        <v>2.5</v>
      </c>
      <c r="CH119" s="212">
        <v>2.5</v>
      </c>
      <c r="CI119" s="212">
        <v>2.5</v>
      </c>
      <c r="CJ119" s="212">
        <v>2.5</v>
      </c>
      <c r="CK119" s="212">
        <v>2.5</v>
      </c>
      <c r="CL119" s="212">
        <v>2.5</v>
      </c>
      <c r="CM119" s="212">
        <v>2.5</v>
      </c>
      <c r="CN119" s="212">
        <v>2.5</v>
      </c>
      <c r="CO119" s="212">
        <v>2.5</v>
      </c>
      <c r="CP119" s="212">
        <v>2.5</v>
      </c>
      <c r="CQ119" s="212">
        <v>2.5</v>
      </c>
      <c r="CR119" s="212">
        <v>5</v>
      </c>
      <c r="CS119" s="212">
        <v>5</v>
      </c>
      <c r="CT119" s="212">
        <v>5</v>
      </c>
      <c r="CU119" s="212">
        <v>5</v>
      </c>
      <c r="CV119" s="212">
        <v>5</v>
      </c>
      <c r="CW119" s="212">
        <v>5</v>
      </c>
      <c r="CX119" s="212">
        <v>5</v>
      </c>
      <c r="CY119" s="212">
        <v>5</v>
      </c>
      <c r="CZ119" s="212">
        <v>5</v>
      </c>
      <c r="DA119" s="212">
        <v>5</v>
      </c>
      <c r="DB119" s="212">
        <v>5</v>
      </c>
      <c r="DC119" s="212">
        <v>5</v>
      </c>
      <c r="DD119" s="212">
        <v>5</v>
      </c>
      <c r="DE119" s="212">
        <v>5</v>
      </c>
      <c r="DF119" s="212">
        <v>5</v>
      </c>
      <c r="DG119" s="212">
        <v>5</v>
      </c>
      <c r="DH119" s="212">
        <v>5</v>
      </c>
      <c r="DI119" s="212">
        <v>5</v>
      </c>
      <c r="DJ119" s="212">
        <v>5</v>
      </c>
      <c r="DK119" s="212">
        <v>5</v>
      </c>
      <c r="DL119" s="212">
        <v>7.5</v>
      </c>
      <c r="DM119" s="212">
        <v>7.5</v>
      </c>
      <c r="DN119" s="212">
        <v>7.5</v>
      </c>
      <c r="DO119" s="212">
        <v>7.5</v>
      </c>
      <c r="DP119" s="212">
        <v>7.5</v>
      </c>
      <c r="DQ119" s="212">
        <v>7.5</v>
      </c>
      <c r="DR119" s="212">
        <v>7.5</v>
      </c>
    </row>
    <row r="120" spans="1:122" ht="22.5" customHeight="1" x14ac:dyDescent="0.65">
      <c r="A120" s="211">
        <v>-18</v>
      </c>
      <c r="B120" s="212">
        <v>2.5</v>
      </c>
      <c r="C120" s="212">
        <v>2.5</v>
      </c>
      <c r="D120" s="212">
        <v>2.5</v>
      </c>
      <c r="E120" s="212">
        <v>2.5</v>
      </c>
      <c r="F120" s="212">
        <v>2.5</v>
      </c>
      <c r="G120" s="212">
        <v>2.5</v>
      </c>
      <c r="H120" s="212">
        <v>2.5</v>
      </c>
      <c r="I120" s="212">
        <v>2.5</v>
      </c>
      <c r="J120" s="212">
        <v>2.5</v>
      </c>
      <c r="K120" s="212">
        <v>2.5</v>
      </c>
      <c r="L120" s="212">
        <v>2.5</v>
      </c>
      <c r="M120" s="212">
        <v>2.5</v>
      </c>
      <c r="N120" s="212">
        <v>2.5</v>
      </c>
      <c r="O120" s="212">
        <v>2.5</v>
      </c>
      <c r="P120" s="212">
        <v>2.5</v>
      </c>
      <c r="Q120" s="212">
        <v>2.5</v>
      </c>
      <c r="R120" s="212">
        <v>2.5</v>
      </c>
      <c r="S120" s="212">
        <v>2.5</v>
      </c>
      <c r="T120" s="212">
        <v>2.5</v>
      </c>
      <c r="U120" s="212">
        <v>2.5</v>
      </c>
      <c r="V120" s="212">
        <v>2.5</v>
      </c>
      <c r="W120" s="212">
        <v>2.5</v>
      </c>
      <c r="X120" s="212">
        <v>2.5</v>
      </c>
      <c r="Y120" s="212">
        <v>2.5</v>
      </c>
      <c r="Z120" s="212">
        <v>2.5</v>
      </c>
      <c r="AA120" s="212">
        <v>2.5</v>
      </c>
      <c r="AB120" s="212">
        <v>2.5</v>
      </c>
      <c r="AC120" s="212">
        <v>2.5</v>
      </c>
      <c r="AD120" s="212">
        <v>2.5</v>
      </c>
      <c r="AE120" s="212">
        <v>2.5</v>
      </c>
      <c r="AF120" s="212">
        <v>2.5</v>
      </c>
      <c r="AG120" s="212">
        <v>2.5</v>
      </c>
      <c r="AH120" s="212">
        <v>2.5</v>
      </c>
      <c r="AI120" s="212">
        <v>2.5</v>
      </c>
      <c r="AJ120" s="212">
        <v>2.5</v>
      </c>
      <c r="AK120" s="212">
        <v>2.5</v>
      </c>
      <c r="AL120" s="212">
        <v>2.5</v>
      </c>
      <c r="AM120" s="212">
        <v>2.5</v>
      </c>
      <c r="AN120" s="212">
        <v>2.5</v>
      </c>
      <c r="AO120" s="212">
        <v>2.5</v>
      </c>
      <c r="AP120" s="213" t="s">
        <v>272</v>
      </c>
      <c r="AQ120" s="212">
        <v>2.5</v>
      </c>
      <c r="AR120" s="212">
        <v>2.5</v>
      </c>
      <c r="AS120" s="212">
        <v>2.5</v>
      </c>
      <c r="AT120" s="212">
        <v>2.5</v>
      </c>
      <c r="AU120" s="212">
        <v>2.5</v>
      </c>
      <c r="AV120" s="212">
        <v>2.5</v>
      </c>
      <c r="AW120" s="212">
        <v>2.5</v>
      </c>
      <c r="AX120" s="212">
        <v>2.5</v>
      </c>
      <c r="AY120" s="212">
        <v>2.5</v>
      </c>
      <c r="AZ120" s="212">
        <v>2.5</v>
      </c>
      <c r="BA120" s="212">
        <v>2.5</v>
      </c>
      <c r="BB120" s="212">
        <v>2.5</v>
      </c>
      <c r="BC120" s="212">
        <v>2.5</v>
      </c>
      <c r="BD120" s="212">
        <v>2.5</v>
      </c>
      <c r="BE120" s="212">
        <v>2.5</v>
      </c>
      <c r="BF120" s="212">
        <v>2.5</v>
      </c>
      <c r="BG120" s="212">
        <v>2.5</v>
      </c>
      <c r="BH120" s="212">
        <v>2.5</v>
      </c>
      <c r="BI120" s="212">
        <v>2.5</v>
      </c>
      <c r="BJ120" s="212">
        <v>2.5</v>
      </c>
      <c r="BK120" s="212">
        <v>2.5</v>
      </c>
      <c r="BL120" s="212">
        <v>2.5</v>
      </c>
      <c r="BM120" s="212">
        <v>2.5</v>
      </c>
      <c r="BN120" s="212">
        <v>2.5</v>
      </c>
      <c r="BO120" s="212">
        <v>2.5</v>
      </c>
      <c r="BP120" s="212">
        <v>2.5</v>
      </c>
      <c r="BQ120" s="212">
        <v>2.5</v>
      </c>
      <c r="BR120" s="212">
        <v>2.5</v>
      </c>
      <c r="BS120" s="212">
        <v>2.5</v>
      </c>
      <c r="BT120" s="212">
        <v>2.5</v>
      </c>
      <c r="BU120" s="212">
        <v>2.5</v>
      </c>
      <c r="BV120" s="212">
        <v>2.5</v>
      </c>
      <c r="BW120" s="212">
        <v>2.5</v>
      </c>
      <c r="BX120" s="212">
        <v>2.5</v>
      </c>
      <c r="BY120" s="212">
        <v>2.5</v>
      </c>
      <c r="BZ120" s="212">
        <v>2.5</v>
      </c>
      <c r="CA120" s="212">
        <v>2.5</v>
      </c>
      <c r="CB120" s="212">
        <v>2.5</v>
      </c>
      <c r="CC120" s="212">
        <v>2.5</v>
      </c>
      <c r="CD120" s="212">
        <v>2.5</v>
      </c>
      <c r="CE120" s="212">
        <v>2.5</v>
      </c>
      <c r="CF120" s="212">
        <v>2.5</v>
      </c>
      <c r="CG120" s="212">
        <v>2.5</v>
      </c>
      <c r="CH120" s="212">
        <v>2.5</v>
      </c>
      <c r="CI120" s="212">
        <v>2.5</v>
      </c>
      <c r="CJ120" s="212">
        <v>2.5</v>
      </c>
      <c r="CK120" s="212">
        <v>2.5</v>
      </c>
      <c r="CL120" s="212">
        <v>2.5</v>
      </c>
      <c r="CM120" s="212">
        <v>2.5</v>
      </c>
      <c r="CN120" s="212">
        <v>2.5</v>
      </c>
      <c r="CO120" s="212">
        <v>2.5</v>
      </c>
      <c r="CP120" s="212">
        <v>2.5</v>
      </c>
      <c r="CQ120" s="212">
        <v>2.5</v>
      </c>
      <c r="CR120" s="212">
        <v>2.5</v>
      </c>
      <c r="CS120" s="212">
        <v>2.5</v>
      </c>
      <c r="CT120" s="212">
        <v>2.5</v>
      </c>
      <c r="CU120" s="212">
        <v>5</v>
      </c>
      <c r="CV120" s="212">
        <v>5</v>
      </c>
      <c r="CW120" s="212">
        <v>5</v>
      </c>
      <c r="CX120" s="212">
        <v>5</v>
      </c>
      <c r="CY120" s="212">
        <v>5</v>
      </c>
      <c r="CZ120" s="212">
        <v>5</v>
      </c>
      <c r="DA120" s="212">
        <v>5</v>
      </c>
      <c r="DB120" s="212">
        <v>5</v>
      </c>
      <c r="DC120" s="212">
        <v>5</v>
      </c>
      <c r="DD120" s="212">
        <v>5</v>
      </c>
      <c r="DE120" s="212">
        <v>5</v>
      </c>
      <c r="DF120" s="212">
        <v>5</v>
      </c>
      <c r="DG120" s="212">
        <v>5</v>
      </c>
      <c r="DH120" s="212">
        <v>5</v>
      </c>
      <c r="DI120" s="212">
        <v>5</v>
      </c>
      <c r="DJ120" s="212">
        <v>5</v>
      </c>
      <c r="DK120" s="212">
        <v>5</v>
      </c>
      <c r="DL120" s="212">
        <v>7.5</v>
      </c>
      <c r="DM120" s="212">
        <v>7.5</v>
      </c>
      <c r="DN120" s="212">
        <v>7.5</v>
      </c>
      <c r="DO120" s="212">
        <v>7.5</v>
      </c>
      <c r="DP120" s="212">
        <v>7.5</v>
      </c>
      <c r="DQ120" s="212">
        <v>7.5</v>
      </c>
      <c r="DR120" s="212">
        <v>7.5</v>
      </c>
    </row>
    <row r="121" spans="1:122" ht="22.5" customHeight="1" x14ac:dyDescent="0.65">
      <c r="A121" s="211">
        <v>-19</v>
      </c>
      <c r="B121" s="212">
        <v>2.5</v>
      </c>
      <c r="C121" s="212">
        <v>2.5</v>
      </c>
      <c r="D121" s="212">
        <v>2.5</v>
      </c>
      <c r="E121" s="212">
        <v>2.5</v>
      </c>
      <c r="F121" s="212">
        <v>2.5</v>
      </c>
      <c r="G121" s="212">
        <v>2.5</v>
      </c>
      <c r="H121" s="212">
        <v>2.5</v>
      </c>
      <c r="I121" s="212">
        <v>2.5</v>
      </c>
      <c r="J121" s="212">
        <v>2.5</v>
      </c>
      <c r="K121" s="212">
        <v>2.5</v>
      </c>
      <c r="L121" s="212">
        <v>2.5</v>
      </c>
      <c r="M121" s="212">
        <v>2.5</v>
      </c>
      <c r="N121" s="212">
        <v>2.5</v>
      </c>
      <c r="O121" s="212">
        <v>2.5</v>
      </c>
      <c r="P121" s="212">
        <v>2.5</v>
      </c>
      <c r="Q121" s="212">
        <v>2.5</v>
      </c>
      <c r="R121" s="212">
        <v>2.5</v>
      </c>
      <c r="S121" s="212">
        <v>2.5</v>
      </c>
      <c r="T121" s="212">
        <v>2.5</v>
      </c>
      <c r="U121" s="212">
        <v>2.5</v>
      </c>
      <c r="V121" s="212">
        <v>2.5</v>
      </c>
      <c r="W121" s="212">
        <v>2.5</v>
      </c>
      <c r="X121" s="212">
        <v>2.5</v>
      </c>
      <c r="Y121" s="212">
        <v>2.5</v>
      </c>
      <c r="Z121" s="212">
        <v>2.5</v>
      </c>
      <c r="AA121" s="212">
        <v>2.5</v>
      </c>
      <c r="AB121" s="212">
        <v>2.5</v>
      </c>
      <c r="AC121" s="212">
        <v>2.5</v>
      </c>
      <c r="AD121" s="212">
        <v>2.5</v>
      </c>
      <c r="AE121" s="212">
        <v>2.5</v>
      </c>
      <c r="AF121" s="212">
        <v>2.5</v>
      </c>
      <c r="AG121" s="212">
        <v>2.5</v>
      </c>
      <c r="AH121" s="212">
        <v>2.5</v>
      </c>
      <c r="AI121" s="212">
        <v>2.5</v>
      </c>
      <c r="AJ121" s="212">
        <v>2.5</v>
      </c>
      <c r="AK121" s="212">
        <v>2.5</v>
      </c>
      <c r="AL121" s="212">
        <v>2.5</v>
      </c>
      <c r="AM121" s="212">
        <v>2.5</v>
      </c>
      <c r="AN121" s="212">
        <v>2.5</v>
      </c>
      <c r="AO121" s="212">
        <v>2.5</v>
      </c>
      <c r="AP121" s="213" t="s">
        <v>272</v>
      </c>
      <c r="AQ121" s="212">
        <v>2.5</v>
      </c>
      <c r="AR121" s="212">
        <v>2.5</v>
      </c>
      <c r="AS121" s="212">
        <v>2.5</v>
      </c>
      <c r="AT121" s="212">
        <v>2.5</v>
      </c>
      <c r="AU121" s="212">
        <v>2.5</v>
      </c>
      <c r="AV121" s="212">
        <v>2.5</v>
      </c>
      <c r="AW121" s="212">
        <v>2.5</v>
      </c>
      <c r="AX121" s="212">
        <v>2.5</v>
      </c>
      <c r="AY121" s="212">
        <v>2.5</v>
      </c>
      <c r="AZ121" s="212">
        <v>2.5</v>
      </c>
      <c r="BA121" s="212">
        <v>2.5</v>
      </c>
      <c r="BB121" s="212">
        <v>2.5</v>
      </c>
      <c r="BC121" s="212">
        <v>2.5</v>
      </c>
      <c r="BD121" s="212">
        <v>2.5</v>
      </c>
      <c r="BE121" s="212">
        <v>2.5</v>
      </c>
      <c r="BF121" s="212">
        <v>2.5</v>
      </c>
      <c r="BG121" s="212">
        <v>2.5</v>
      </c>
      <c r="BH121" s="212">
        <v>2.5</v>
      </c>
      <c r="BI121" s="212">
        <v>2.5</v>
      </c>
      <c r="BJ121" s="212">
        <v>2.5</v>
      </c>
      <c r="BK121" s="212">
        <v>2.5</v>
      </c>
      <c r="BL121" s="212">
        <v>2.5</v>
      </c>
      <c r="BM121" s="212">
        <v>2.5</v>
      </c>
      <c r="BN121" s="212">
        <v>2.5</v>
      </c>
      <c r="BO121" s="212">
        <v>2.5</v>
      </c>
      <c r="BP121" s="212">
        <v>2.5</v>
      </c>
      <c r="BQ121" s="212">
        <v>2.5</v>
      </c>
      <c r="BR121" s="212">
        <v>2.5</v>
      </c>
      <c r="BS121" s="212">
        <v>2.5</v>
      </c>
      <c r="BT121" s="212">
        <v>2.5</v>
      </c>
      <c r="BU121" s="212">
        <v>2.5</v>
      </c>
      <c r="BV121" s="212">
        <v>2.5</v>
      </c>
      <c r="BW121" s="212">
        <v>2.5</v>
      </c>
      <c r="BX121" s="212">
        <v>2.5</v>
      </c>
      <c r="BY121" s="212">
        <v>2.5</v>
      </c>
      <c r="BZ121" s="212">
        <v>2.5</v>
      </c>
      <c r="CA121" s="212">
        <v>2.5</v>
      </c>
      <c r="CB121" s="212">
        <v>2.5</v>
      </c>
      <c r="CC121" s="212">
        <v>2.5</v>
      </c>
      <c r="CD121" s="212">
        <v>2.5</v>
      </c>
      <c r="CE121" s="212">
        <v>2.5</v>
      </c>
      <c r="CF121" s="212">
        <v>2.5</v>
      </c>
      <c r="CG121" s="212">
        <v>2.5</v>
      </c>
      <c r="CH121" s="212">
        <v>2.5</v>
      </c>
      <c r="CI121" s="212">
        <v>2.5</v>
      </c>
      <c r="CJ121" s="212">
        <v>2.5</v>
      </c>
      <c r="CK121" s="212">
        <v>2.5</v>
      </c>
      <c r="CL121" s="212">
        <v>2.5</v>
      </c>
      <c r="CM121" s="212">
        <v>2.5</v>
      </c>
      <c r="CN121" s="212">
        <v>2.5</v>
      </c>
      <c r="CO121" s="212">
        <v>2.5</v>
      </c>
      <c r="CP121" s="212">
        <v>2.5</v>
      </c>
      <c r="CQ121" s="212">
        <v>2.5</v>
      </c>
      <c r="CR121" s="212">
        <v>2.5</v>
      </c>
      <c r="CS121" s="212">
        <v>2.5</v>
      </c>
      <c r="CT121" s="212">
        <v>2.5</v>
      </c>
      <c r="CU121" s="212">
        <v>2.5</v>
      </c>
      <c r="CV121" s="212">
        <v>2.5</v>
      </c>
      <c r="CW121" s="212">
        <v>5</v>
      </c>
      <c r="CX121" s="212">
        <v>5</v>
      </c>
      <c r="CY121" s="212">
        <v>5</v>
      </c>
      <c r="CZ121" s="212">
        <v>5</v>
      </c>
      <c r="DA121" s="212">
        <v>5</v>
      </c>
      <c r="DB121" s="212">
        <v>5</v>
      </c>
      <c r="DC121" s="212">
        <v>5</v>
      </c>
      <c r="DD121" s="212">
        <v>5</v>
      </c>
      <c r="DE121" s="212">
        <v>5</v>
      </c>
      <c r="DF121" s="212">
        <v>5</v>
      </c>
      <c r="DG121" s="212">
        <v>5</v>
      </c>
      <c r="DH121" s="212">
        <v>5</v>
      </c>
      <c r="DI121" s="212">
        <v>5</v>
      </c>
      <c r="DJ121" s="212">
        <v>5</v>
      </c>
      <c r="DK121" s="212">
        <v>5</v>
      </c>
      <c r="DL121" s="212">
        <v>5</v>
      </c>
      <c r="DM121" s="212">
        <v>5</v>
      </c>
      <c r="DN121" s="212">
        <v>7.5</v>
      </c>
      <c r="DO121" s="212">
        <v>7.5</v>
      </c>
      <c r="DP121" s="212">
        <v>7.5</v>
      </c>
      <c r="DQ121" s="212">
        <v>7.5</v>
      </c>
      <c r="DR121" s="212">
        <v>7.5</v>
      </c>
    </row>
    <row r="122" spans="1:122" ht="22.5" customHeight="1" x14ac:dyDescent="0.65">
      <c r="A122" s="211">
        <v>-20</v>
      </c>
      <c r="B122" s="212">
        <v>2.5</v>
      </c>
      <c r="C122" s="212">
        <v>2.5</v>
      </c>
      <c r="D122" s="212">
        <v>2.5</v>
      </c>
      <c r="E122" s="212">
        <v>2.5</v>
      </c>
      <c r="F122" s="212">
        <v>2.5</v>
      </c>
      <c r="G122" s="212">
        <v>2.5</v>
      </c>
      <c r="H122" s="212">
        <v>2.5</v>
      </c>
      <c r="I122" s="212">
        <v>2.5</v>
      </c>
      <c r="J122" s="212">
        <v>2.5</v>
      </c>
      <c r="K122" s="212">
        <v>2.5</v>
      </c>
      <c r="L122" s="212">
        <v>2.5</v>
      </c>
      <c r="M122" s="212">
        <v>2.5</v>
      </c>
      <c r="N122" s="212">
        <v>2.5</v>
      </c>
      <c r="O122" s="212">
        <v>2.5</v>
      </c>
      <c r="P122" s="212">
        <v>2.5</v>
      </c>
      <c r="Q122" s="212">
        <v>2.5</v>
      </c>
      <c r="R122" s="212">
        <v>2.5</v>
      </c>
      <c r="S122" s="212">
        <v>2.5</v>
      </c>
      <c r="T122" s="212">
        <v>2.5</v>
      </c>
      <c r="U122" s="212">
        <v>2.5</v>
      </c>
      <c r="V122" s="212">
        <v>2.5</v>
      </c>
      <c r="W122" s="212">
        <v>2.5</v>
      </c>
      <c r="X122" s="212">
        <v>2.5</v>
      </c>
      <c r="Y122" s="212">
        <v>2.5</v>
      </c>
      <c r="Z122" s="212">
        <v>2.5</v>
      </c>
      <c r="AA122" s="212">
        <v>2.5</v>
      </c>
      <c r="AB122" s="212">
        <v>2.5</v>
      </c>
      <c r="AC122" s="212">
        <v>2.5</v>
      </c>
      <c r="AD122" s="212">
        <v>2.5</v>
      </c>
      <c r="AE122" s="212">
        <v>2.5</v>
      </c>
      <c r="AF122" s="212">
        <v>2.5</v>
      </c>
      <c r="AG122" s="212">
        <v>2.5</v>
      </c>
      <c r="AH122" s="212">
        <v>2.5</v>
      </c>
      <c r="AI122" s="212">
        <v>2.5</v>
      </c>
      <c r="AJ122" s="212">
        <v>2.5</v>
      </c>
      <c r="AK122" s="212">
        <v>2.5</v>
      </c>
      <c r="AL122" s="212">
        <v>2.5</v>
      </c>
      <c r="AM122" s="212">
        <v>2.5</v>
      </c>
      <c r="AN122" s="212">
        <v>2.5</v>
      </c>
      <c r="AO122" s="212">
        <v>2.5</v>
      </c>
      <c r="AP122" s="213" t="s">
        <v>272</v>
      </c>
      <c r="AQ122" s="212">
        <v>2.5</v>
      </c>
      <c r="AR122" s="212">
        <v>2.5</v>
      </c>
      <c r="AS122" s="212">
        <v>2.5</v>
      </c>
      <c r="AT122" s="212">
        <v>2.5</v>
      </c>
      <c r="AU122" s="212">
        <v>2.5</v>
      </c>
      <c r="AV122" s="212">
        <v>2.5</v>
      </c>
      <c r="AW122" s="212">
        <v>2.5</v>
      </c>
      <c r="AX122" s="212">
        <v>2.5</v>
      </c>
      <c r="AY122" s="212">
        <v>2.5</v>
      </c>
      <c r="AZ122" s="212">
        <v>2.5</v>
      </c>
      <c r="BA122" s="212">
        <v>2.5</v>
      </c>
      <c r="BB122" s="212">
        <v>2.5</v>
      </c>
      <c r="BC122" s="212">
        <v>2.5</v>
      </c>
      <c r="BD122" s="212">
        <v>2.5</v>
      </c>
      <c r="BE122" s="212">
        <v>2.5</v>
      </c>
      <c r="BF122" s="212">
        <v>2.5</v>
      </c>
      <c r="BG122" s="212">
        <v>2.5</v>
      </c>
      <c r="BH122" s="212">
        <v>2.5</v>
      </c>
      <c r="BI122" s="212">
        <v>2.5</v>
      </c>
      <c r="BJ122" s="212">
        <v>2.5</v>
      </c>
      <c r="BK122" s="212">
        <v>2.5</v>
      </c>
      <c r="BL122" s="212">
        <v>2.5</v>
      </c>
      <c r="BM122" s="212">
        <v>2.5</v>
      </c>
      <c r="BN122" s="212">
        <v>2.5</v>
      </c>
      <c r="BO122" s="212">
        <v>2.5</v>
      </c>
      <c r="BP122" s="212">
        <v>2.5</v>
      </c>
      <c r="BQ122" s="212">
        <v>2.5</v>
      </c>
      <c r="BR122" s="212">
        <v>2.5</v>
      </c>
      <c r="BS122" s="212">
        <v>2.5</v>
      </c>
      <c r="BT122" s="212">
        <v>2.5</v>
      </c>
      <c r="BU122" s="212">
        <v>2.5</v>
      </c>
      <c r="BV122" s="212">
        <v>2.5</v>
      </c>
      <c r="BW122" s="212">
        <v>2.5</v>
      </c>
      <c r="BX122" s="212">
        <v>2.5</v>
      </c>
      <c r="BY122" s="212">
        <v>2.5</v>
      </c>
      <c r="BZ122" s="212">
        <v>2.5</v>
      </c>
      <c r="CA122" s="212">
        <v>2.5</v>
      </c>
      <c r="CB122" s="212">
        <v>2.5</v>
      </c>
      <c r="CC122" s="212">
        <v>2.5</v>
      </c>
      <c r="CD122" s="212">
        <v>2.5</v>
      </c>
      <c r="CE122" s="212">
        <v>2.5</v>
      </c>
      <c r="CF122" s="212">
        <v>2.5</v>
      </c>
      <c r="CG122" s="212">
        <v>2.5</v>
      </c>
      <c r="CH122" s="212">
        <v>2.5</v>
      </c>
      <c r="CI122" s="212">
        <v>2.5</v>
      </c>
      <c r="CJ122" s="212">
        <v>2.5</v>
      </c>
      <c r="CK122" s="212">
        <v>2.5</v>
      </c>
      <c r="CL122" s="212">
        <v>2.5</v>
      </c>
      <c r="CM122" s="212">
        <v>2.5</v>
      </c>
      <c r="CN122" s="212">
        <v>2.5</v>
      </c>
      <c r="CO122" s="212">
        <v>2.5</v>
      </c>
      <c r="CP122" s="212">
        <v>2.5</v>
      </c>
      <c r="CQ122" s="212">
        <v>2.5</v>
      </c>
      <c r="CR122" s="212">
        <v>2.5</v>
      </c>
      <c r="CS122" s="212">
        <v>2.5</v>
      </c>
      <c r="CT122" s="212">
        <v>2.5</v>
      </c>
      <c r="CU122" s="212">
        <v>2.5</v>
      </c>
      <c r="CV122" s="212">
        <v>2.5</v>
      </c>
      <c r="CW122" s="212">
        <v>2.5</v>
      </c>
      <c r="CX122" s="212">
        <v>5</v>
      </c>
      <c r="CY122" s="212">
        <v>5</v>
      </c>
      <c r="CZ122" s="212">
        <v>5</v>
      </c>
      <c r="DA122" s="212">
        <v>5</v>
      </c>
      <c r="DB122" s="212">
        <v>5</v>
      </c>
      <c r="DC122" s="212">
        <v>5</v>
      </c>
      <c r="DD122" s="212">
        <v>5</v>
      </c>
      <c r="DE122" s="212">
        <v>5</v>
      </c>
      <c r="DF122" s="212">
        <v>5</v>
      </c>
      <c r="DG122" s="212">
        <v>5</v>
      </c>
      <c r="DH122" s="212">
        <v>5</v>
      </c>
      <c r="DI122" s="212">
        <v>5</v>
      </c>
      <c r="DJ122" s="212">
        <v>5</v>
      </c>
      <c r="DK122" s="212">
        <v>5</v>
      </c>
      <c r="DL122" s="212">
        <v>5</v>
      </c>
      <c r="DM122" s="212">
        <v>5</v>
      </c>
      <c r="DN122" s="212">
        <v>5</v>
      </c>
      <c r="DO122" s="212">
        <v>7.5</v>
      </c>
      <c r="DP122" s="212">
        <v>7.5</v>
      </c>
      <c r="DQ122" s="212">
        <v>7.5</v>
      </c>
      <c r="DR122" s="212">
        <v>7.5</v>
      </c>
    </row>
    <row r="123" spans="1:122" ht="12.75" x14ac:dyDescent="0.35"/>
    <row r="124" spans="1:122" ht="12.75" x14ac:dyDescent="0.35"/>
    <row r="125" spans="1:122" ht="12.75" x14ac:dyDescent="0.35"/>
    <row r="126" spans="1:122" ht="12.75" x14ac:dyDescent="0.35"/>
    <row r="127" spans="1:122" ht="12.75" x14ac:dyDescent="0.35"/>
    <row r="128" spans="1:122" ht="12.75" x14ac:dyDescent="0.35"/>
    <row r="129" ht="12.75" x14ac:dyDescent="0.35"/>
    <row r="130" ht="12.75" x14ac:dyDescent="0.35"/>
    <row r="131" ht="12.75" x14ac:dyDescent="0.35"/>
    <row r="132" ht="12.75" x14ac:dyDescent="0.35"/>
    <row r="133" ht="12.75" x14ac:dyDescent="0.35"/>
    <row r="134" ht="12.75" x14ac:dyDescent="0.35"/>
    <row r="135" ht="12.75" x14ac:dyDescent="0.35"/>
    <row r="136" ht="12.75" x14ac:dyDescent="0.35"/>
    <row r="137" ht="12.75" x14ac:dyDescent="0.35"/>
    <row r="138" ht="12.75" x14ac:dyDescent="0.35"/>
    <row r="139" ht="12.75" x14ac:dyDescent="0.35"/>
    <row r="140" ht="12.75" x14ac:dyDescent="0.35"/>
    <row r="141" ht="12.75" x14ac:dyDescent="0.35"/>
    <row r="142" ht="12.75" x14ac:dyDescent="0.35"/>
    <row r="143" ht="12.75" x14ac:dyDescent="0.35"/>
    <row r="144" ht="12.75" x14ac:dyDescent="0.35"/>
    <row r="145" ht="12.75" x14ac:dyDescent="0.35"/>
    <row r="146" ht="12.75" x14ac:dyDescent="0.35"/>
    <row r="147" ht="12.75" x14ac:dyDescent="0.35"/>
    <row r="148" ht="12.75" x14ac:dyDescent="0.35"/>
    <row r="149" ht="12.75" x14ac:dyDescent="0.35"/>
    <row r="150" ht="12.75" x14ac:dyDescent="0.35"/>
    <row r="151" ht="12.75" x14ac:dyDescent="0.35"/>
    <row r="152" ht="12.75" x14ac:dyDescent="0.35"/>
    <row r="153" ht="12.75" x14ac:dyDescent="0.35"/>
    <row r="154" ht="12.75" x14ac:dyDescent="0.35"/>
    <row r="155" ht="12.75" x14ac:dyDescent="0.35"/>
    <row r="156" ht="12.75" x14ac:dyDescent="0.35"/>
    <row r="157" ht="12.75" x14ac:dyDescent="0.35"/>
    <row r="158" ht="12.75" x14ac:dyDescent="0.35"/>
    <row r="159" ht="12.75" x14ac:dyDescent="0.35"/>
    <row r="160" ht="12.75" x14ac:dyDescent="0.35"/>
    <row r="161" ht="12.75" x14ac:dyDescent="0.35"/>
    <row r="162" ht="12.75" x14ac:dyDescent="0.35"/>
    <row r="163" ht="12.75" x14ac:dyDescent="0.35"/>
    <row r="164" ht="12.75" x14ac:dyDescent="0.35"/>
    <row r="165" ht="12.75" x14ac:dyDescent="0.35"/>
    <row r="166" ht="12.75" x14ac:dyDescent="0.35"/>
    <row r="167" ht="12.75" x14ac:dyDescent="0.35"/>
    <row r="168" ht="12.75" x14ac:dyDescent="0.35"/>
    <row r="169" ht="12.75" x14ac:dyDescent="0.35"/>
    <row r="170" ht="12.75" x14ac:dyDescent="0.35"/>
    <row r="171" ht="12.75" x14ac:dyDescent="0.35"/>
    <row r="172" ht="12.75" x14ac:dyDescent="0.35"/>
    <row r="173" ht="12.75" x14ac:dyDescent="0.35"/>
    <row r="174" ht="12.75" x14ac:dyDescent="0.35"/>
    <row r="175" ht="12.75" x14ac:dyDescent="0.35"/>
    <row r="176" ht="12.75" x14ac:dyDescent="0.35"/>
    <row r="177" ht="12.75" x14ac:dyDescent="0.35"/>
    <row r="178" ht="12.75" x14ac:dyDescent="0.35"/>
    <row r="179" ht="12.75" x14ac:dyDescent="0.35"/>
    <row r="180" ht="12.75" x14ac:dyDescent="0.35"/>
    <row r="181" ht="12.75" x14ac:dyDescent="0.35"/>
    <row r="182" ht="12.75" x14ac:dyDescent="0.35"/>
    <row r="183" ht="12.75" x14ac:dyDescent="0.35"/>
    <row r="184" ht="12.75" x14ac:dyDescent="0.35"/>
    <row r="185" ht="12.75" x14ac:dyDescent="0.35"/>
    <row r="186" ht="12.75" x14ac:dyDescent="0.35"/>
    <row r="187" ht="12.75" x14ac:dyDescent="0.35"/>
    <row r="188" ht="12.75" x14ac:dyDescent="0.35"/>
    <row r="189" ht="12.75" x14ac:dyDescent="0.35"/>
    <row r="190" ht="12.75" x14ac:dyDescent="0.35"/>
    <row r="191" ht="12.75" x14ac:dyDescent="0.35"/>
    <row r="192" ht="12.75" x14ac:dyDescent="0.35"/>
    <row r="193" ht="12.75" x14ac:dyDescent="0.35"/>
    <row r="194" ht="12.75" x14ac:dyDescent="0.35"/>
    <row r="195" ht="12.75" x14ac:dyDescent="0.35"/>
    <row r="196" ht="12.75" x14ac:dyDescent="0.35"/>
    <row r="197" ht="12.75" x14ac:dyDescent="0.35"/>
    <row r="198" ht="12.75" x14ac:dyDescent="0.35"/>
    <row r="199" ht="12.75" x14ac:dyDescent="0.35"/>
    <row r="200" ht="12.75" x14ac:dyDescent="0.35"/>
    <row r="201" ht="12.75" x14ac:dyDescent="0.35"/>
    <row r="202" ht="12.75" x14ac:dyDescent="0.35"/>
    <row r="203" ht="12.75" x14ac:dyDescent="0.35"/>
    <row r="204" ht="12.75" x14ac:dyDescent="0.35"/>
    <row r="205" ht="12.75" x14ac:dyDescent="0.35"/>
    <row r="206" ht="12.75" x14ac:dyDescent="0.35"/>
    <row r="207" ht="12.75" x14ac:dyDescent="0.35"/>
    <row r="208" ht="12.75" x14ac:dyDescent="0.35"/>
    <row r="209" ht="12.75" x14ac:dyDescent="0.35"/>
    <row r="210" ht="12.75" x14ac:dyDescent="0.35"/>
    <row r="211" ht="12.75" x14ac:dyDescent="0.35"/>
    <row r="212" ht="12.75" x14ac:dyDescent="0.35"/>
    <row r="213" ht="12.75" x14ac:dyDescent="0.35"/>
    <row r="214" ht="12.75" x14ac:dyDescent="0.35"/>
    <row r="215" ht="12.75" x14ac:dyDescent="0.35"/>
    <row r="216" ht="12.75" x14ac:dyDescent="0.35"/>
    <row r="217" ht="12.75" x14ac:dyDescent="0.35"/>
    <row r="218" ht="12.75" x14ac:dyDescent="0.35"/>
    <row r="219" ht="12.75" x14ac:dyDescent="0.35"/>
    <row r="220" ht="12.75" x14ac:dyDescent="0.35"/>
    <row r="221" ht="12.75" x14ac:dyDescent="0.35"/>
    <row r="222" ht="12.75" x14ac:dyDescent="0.35"/>
    <row r="223" ht="12.75" x14ac:dyDescent="0.35"/>
    <row r="224" ht="12.75" x14ac:dyDescent="0.35"/>
    <row r="225" ht="12.75" x14ac:dyDescent="0.35"/>
    <row r="226" ht="12.75" x14ac:dyDescent="0.35"/>
    <row r="227" ht="12.75" x14ac:dyDescent="0.35"/>
    <row r="228" ht="12.75" x14ac:dyDescent="0.35"/>
    <row r="229" ht="12.75" x14ac:dyDescent="0.35"/>
    <row r="230" ht="12.75" x14ac:dyDescent="0.35"/>
    <row r="231" ht="12.75" x14ac:dyDescent="0.35"/>
    <row r="232" ht="12.75" x14ac:dyDescent="0.35"/>
    <row r="233" ht="12.75" x14ac:dyDescent="0.35"/>
    <row r="234" ht="12.75" x14ac:dyDescent="0.35"/>
    <row r="235" ht="12.75" x14ac:dyDescent="0.35"/>
    <row r="236" ht="12.75" x14ac:dyDescent="0.35"/>
    <row r="237" ht="12.75" x14ac:dyDescent="0.35"/>
    <row r="238" ht="12.75" x14ac:dyDescent="0.35"/>
    <row r="239" ht="12.75" x14ac:dyDescent="0.35"/>
    <row r="240" ht="12.75" x14ac:dyDescent="0.35"/>
    <row r="241" ht="12.75" x14ac:dyDescent="0.35"/>
    <row r="242" ht="12.75" x14ac:dyDescent="0.35"/>
    <row r="243" ht="12.75" x14ac:dyDescent="0.35"/>
    <row r="244" ht="12.75" x14ac:dyDescent="0.35"/>
    <row r="245" ht="12.75" x14ac:dyDescent="0.35"/>
    <row r="246" ht="12.75" x14ac:dyDescent="0.35"/>
    <row r="247" ht="12.75" x14ac:dyDescent="0.35"/>
    <row r="248" ht="12.75" x14ac:dyDescent="0.35"/>
    <row r="249" ht="12.75" x14ac:dyDescent="0.35"/>
    <row r="250" ht="12.75" x14ac:dyDescent="0.35"/>
    <row r="251" ht="12.75" x14ac:dyDescent="0.35"/>
    <row r="252" ht="12.75" x14ac:dyDescent="0.35"/>
    <row r="253" ht="12.75" x14ac:dyDescent="0.35"/>
    <row r="254" ht="12.75" x14ac:dyDescent="0.35"/>
    <row r="255" ht="12.75" x14ac:dyDescent="0.35"/>
    <row r="256" ht="12.75" x14ac:dyDescent="0.35"/>
    <row r="257" ht="12.75" x14ac:dyDescent="0.35"/>
    <row r="258" ht="12.75" x14ac:dyDescent="0.35"/>
    <row r="259" ht="12.75" x14ac:dyDescent="0.35"/>
    <row r="260" ht="12.75" x14ac:dyDescent="0.35"/>
    <row r="261" ht="12.75" x14ac:dyDescent="0.35"/>
    <row r="262" ht="12.75" x14ac:dyDescent="0.35"/>
    <row r="263" ht="12.75" x14ac:dyDescent="0.35"/>
    <row r="264" ht="12.75" x14ac:dyDescent="0.35"/>
    <row r="265" ht="12.75" x14ac:dyDescent="0.35"/>
    <row r="266" ht="12.75" x14ac:dyDescent="0.35"/>
    <row r="267" ht="12.75" x14ac:dyDescent="0.35"/>
    <row r="268" ht="12.75" x14ac:dyDescent="0.35"/>
    <row r="269" ht="12.75" x14ac:dyDescent="0.35"/>
    <row r="270" ht="12.75" x14ac:dyDescent="0.35"/>
    <row r="271" ht="12.75" x14ac:dyDescent="0.35"/>
    <row r="272" ht="12.75" x14ac:dyDescent="0.35"/>
    <row r="273" ht="12.75" x14ac:dyDescent="0.35"/>
    <row r="274" ht="12.75" x14ac:dyDescent="0.35"/>
    <row r="275" ht="12.75" x14ac:dyDescent="0.35"/>
    <row r="276" ht="12.75" x14ac:dyDescent="0.35"/>
    <row r="277" ht="12.75" x14ac:dyDescent="0.35"/>
    <row r="278" ht="12.75" x14ac:dyDescent="0.35"/>
    <row r="279" ht="12.75" x14ac:dyDescent="0.35"/>
    <row r="280" ht="12.75" x14ac:dyDescent="0.35"/>
    <row r="281" ht="12.75" x14ac:dyDescent="0.35"/>
    <row r="282" ht="12.75" x14ac:dyDescent="0.35"/>
    <row r="283" ht="12.75" x14ac:dyDescent="0.35"/>
    <row r="284" ht="12.75" x14ac:dyDescent="0.35"/>
    <row r="285" ht="12.75" x14ac:dyDescent="0.35"/>
    <row r="286" ht="12.75" x14ac:dyDescent="0.35"/>
    <row r="287" ht="12.75" x14ac:dyDescent="0.35"/>
    <row r="288" ht="12.75" x14ac:dyDescent="0.35"/>
    <row r="289" ht="12.75" x14ac:dyDescent="0.35"/>
    <row r="290" ht="12.75" x14ac:dyDescent="0.35"/>
    <row r="291" ht="12.75" x14ac:dyDescent="0.35"/>
    <row r="292" ht="12.75" x14ac:dyDescent="0.35"/>
    <row r="293" ht="12.75" x14ac:dyDescent="0.35"/>
    <row r="294" ht="12.75" x14ac:dyDescent="0.35"/>
    <row r="295" ht="12.75" x14ac:dyDescent="0.35"/>
    <row r="296" ht="12.75" x14ac:dyDescent="0.35"/>
    <row r="297" ht="12.75" x14ac:dyDescent="0.35"/>
    <row r="298" ht="12.75" x14ac:dyDescent="0.35"/>
    <row r="299" ht="12.75" x14ac:dyDescent="0.35"/>
    <row r="300" ht="12.75" x14ac:dyDescent="0.35"/>
    <row r="301" ht="12.75" x14ac:dyDescent="0.35"/>
    <row r="302" ht="12.75" x14ac:dyDescent="0.35"/>
    <row r="303" ht="12.75" x14ac:dyDescent="0.35"/>
    <row r="304" ht="12.75" x14ac:dyDescent="0.35"/>
    <row r="305" ht="12.75" x14ac:dyDescent="0.35"/>
    <row r="306" ht="12.75" x14ac:dyDescent="0.35"/>
    <row r="307" ht="12.75" x14ac:dyDescent="0.35"/>
    <row r="308" ht="12.75" x14ac:dyDescent="0.35"/>
    <row r="309" ht="12.75" x14ac:dyDescent="0.35"/>
    <row r="310" ht="12.75" x14ac:dyDescent="0.35"/>
    <row r="311" ht="12.75" x14ac:dyDescent="0.35"/>
    <row r="312" ht="12.75" x14ac:dyDescent="0.35"/>
    <row r="313" ht="12.75" x14ac:dyDescent="0.35"/>
    <row r="314" ht="12.75" x14ac:dyDescent="0.35"/>
    <row r="315" ht="12.75" x14ac:dyDescent="0.35"/>
    <row r="316" ht="12.75" x14ac:dyDescent="0.35"/>
    <row r="317" ht="12.75" x14ac:dyDescent="0.35"/>
    <row r="318" ht="12.75" x14ac:dyDescent="0.35"/>
    <row r="319" ht="12.75" x14ac:dyDescent="0.35"/>
    <row r="320" ht="12.75" x14ac:dyDescent="0.35"/>
    <row r="321" ht="12.75" x14ac:dyDescent="0.35"/>
    <row r="322" ht="12.75" x14ac:dyDescent="0.35"/>
    <row r="323" ht="12.75" x14ac:dyDescent="0.35"/>
    <row r="324" ht="12.75" x14ac:dyDescent="0.35"/>
    <row r="325" ht="12.75" x14ac:dyDescent="0.35"/>
    <row r="326" ht="12.75" x14ac:dyDescent="0.35"/>
    <row r="327" ht="12.75" x14ac:dyDescent="0.35"/>
    <row r="328" ht="12.75" x14ac:dyDescent="0.35"/>
    <row r="329" ht="12.75" x14ac:dyDescent="0.35"/>
    <row r="330" ht="12.75" x14ac:dyDescent="0.35"/>
    <row r="331" ht="12.75" x14ac:dyDescent="0.35"/>
    <row r="332" ht="12.75" x14ac:dyDescent="0.35"/>
    <row r="333" ht="12.75" x14ac:dyDescent="0.35"/>
    <row r="334" ht="12.75" x14ac:dyDescent="0.35"/>
    <row r="335" ht="12.75" x14ac:dyDescent="0.35"/>
    <row r="336" ht="12.75" x14ac:dyDescent="0.35"/>
    <row r="337" ht="12.75" x14ac:dyDescent="0.35"/>
    <row r="338" ht="12.75" x14ac:dyDescent="0.35"/>
    <row r="339" ht="12.75" x14ac:dyDescent="0.35"/>
    <row r="340" ht="12.75" x14ac:dyDescent="0.35"/>
    <row r="341" ht="12.75" x14ac:dyDescent="0.35"/>
    <row r="342" ht="12.75" x14ac:dyDescent="0.35"/>
    <row r="343" ht="12.75" x14ac:dyDescent="0.35"/>
    <row r="344" ht="12.75" x14ac:dyDescent="0.35"/>
    <row r="345" ht="12.75" x14ac:dyDescent="0.35"/>
    <row r="346" ht="12.75" x14ac:dyDescent="0.35"/>
    <row r="347" ht="12.75" x14ac:dyDescent="0.35"/>
    <row r="348" ht="12.75" x14ac:dyDescent="0.35"/>
    <row r="349" ht="12.75" x14ac:dyDescent="0.35"/>
    <row r="350" ht="12.75" x14ac:dyDescent="0.35"/>
    <row r="351" ht="12.75" x14ac:dyDescent="0.35"/>
    <row r="352" ht="12.75" x14ac:dyDescent="0.35"/>
    <row r="353" ht="12.75" x14ac:dyDescent="0.35"/>
    <row r="354" ht="12.75" x14ac:dyDescent="0.35"/>
    <row r="355" ht="12.75" x14ac:dyDescent="0.35"/>
    <row r="356" ht="12.75" x14ac:dyDescent="0.35"/>
    <row r="357" ht="12.75" x14ac:dyDescent="0.35"/>
    <row r="358" ht="12.75" x14ac:dyDescent="0.35"/>
    <row r="359" ht="12.75" x14ac:dyDescent="0.35"/>
    <row r="360" ht="12.75" x14ac:dyDescent="0.35"/>
    <row r="361" ht="12.75" x14ac:dyDescent="0.35"/>
    <row r="362" ht="12.75" x14ac:dyDescent="0.35"/>
    <row r="363" ht="12.75" x14ac:dyDescent="0.35"/>
    <row r="364" ht="12.75" x14ac:dyDescent="0.35"/>
    <row r="365" ht="12.75" x14ac:dyDescent="0.35"/>
    <row r="366" ht="12.75" x14ac:dyDescent="0.35"/>
    <row r="367" ht="12.75" x14ac:dyDescent="0.35"/>
    <row r="368" ht="12.75" x14ac:dyDescent="0.35"/>
    <row r="369" ht="12.75" x14ac:dyDescent="0.35"/>
    <row r="370" ht="12.75" x14ac:dyDescent="0.35"/>
    <row r="371" ht="12.75" x14ac:dyDescent="0.35"/>
    <row r="372" ht="12.75" x14ac:dyDescent="0.35"/>
    <row r="373" ht="12.75" x14ac:dyDescent="0.35"/>
    <row r="374" ht="12.75" x14ac:dyDescent="0.35"/>
    <row r="375" ht="12.75" x14ac:dyDescent="0.35"/>
    <row r="376" ht="12.75" x14ac:dyDescent="0.35"/>
    <row r="377" ht="12.75" x14ac:dyDescent="0.35"/>
    <row r="378" ht="12.75" x14ac:dyDescent="0.35"/>
    <row r="379" ht="12.75" x14ac:dyDescent="0.35"/>
    <row r="380" ht="12.75" x14ac:dyDescent="0.35"/>
    <row r="381" ht="12.75" x14ac:dyDescent="0.35"/>
    <row r="382" ht="12.75" x14ac:dyDescent="0.35"/>
    <row r="383" ht="12.75" x14ac:dyDescent="0.35"/>
    <row r="384" ht="12.75" x14ac:dyDescent="0.35"/>
    <row r="385" ht="12.75" x14ac:dyDescent="0.35"/>
    <row r="386" ht="12.75" x14ac:dyDescent="0.35"/>
    <row r="387" ht="12.75" x14ac:dyDescent="0.35"/>
    <row r="388" ht="12.75" x14ac:dyDescent="0.35"/>
    <row r="389" ht="12.75" x14ac:dyDescent="0.35"/>
    <row r="390" ht="12.75" x14ac:dyDescent="0.35"/>
    <row r="391" ht="12.75" x14ac:dyDescent="0.35"/>
    <row r="392" ht="12.75" x14ac:dyDescent="0.35"/>
    <row r="393" ht="12.75" x14ac:dyDescent="0.35"/>
    <row r="394" ht="12.75" x14ac:dyDescent="0.35"/>
    <row r="395" ht="12.75" x14ac:dyDescent="0.35"/>
    <row r="396" ht="12.75" x14ac:dyDescent="0.35"/>
    <row r="397" ht="12.75" x14ac:dyDescent="0.35"/>
    <row r="398" ht="12.75" x14ac:dyDescent="0.35"/>
    <row r="399" ht="12.75" x14ac:dyDescent="0.35"/>
    <row r="400" ht="12.75" x14ac:dyDescent="0.35"/>
    <row r="401" ht="12.75" x14ac:dyDescent="0.35"/>
    <row r="402" ht="12.75" x14ac:dyDescent="0.35"/>
    <row r="403" ht="12.75" x14ac:dyDescent="0.35"/>
    <row r="404" ht="12.75" x14ac:dyDescent="0.35"/>
    <row r="405" ht="12.75" x14ac:dyDescent="0.35"/>
    <row r="406" ht="12.75" x14ac:dyDescent="0.35"/>
    <row r="407" ht="12.75" x14ac:dyDescent="0.35"/>
    <row r="408" ht="12.75" x14ac:dyDescent="0.35"/>
    <row r="409" ht="12.75" x14ac:dyDescent="0.35"/>
    <row r="410" ht="12.75" x14ac:dyDescent="0.35"/>
    <row r="411" ht="12.75" x14ac:dyDescent="0.35"/>
    <row r="412" ht="12.75" x14ac:dyDescent="0.35"/>
    <row r="413" ht="12.75" x14ac:dyDescent="0.35"/>
    <row r="414" ht="12.75" x14ac:dyDescent="0.35"/>
    <row r="415" ht="12.75" x14ac:dyDescent="0.35"/>
    <row r="416" ht="12.75" x14ac:dyDescent="0.35"/>
    <row r="417" ht="12.75" x14ac:dyDescent="0.35"/>
    <row r="418" ht="12.75" x14ac:dyDescent="0.35"/>
    <row r="419" ht="12.75" x14ac:dyDescent="0.35"/>
    <row r="420" ht="12.75" x14ac:dyDescent="0.35"/>
    <row r="421" ht="12.75" x14ac:dyDescent="0.35"/>
    <row r="422" ht="12.75" x14ac:dyDescent="0.35"/>
    <row r="423" ht="12.75" x14ac:dyDescent="0.35"/>
    <row r="424" ht="12.75" x14ac:dyDescent="0.35"/>
    <row r="425" ht="12.75" x14ac:dyDescent="0.35"/>
    <row r="426" ht="12.75" x14ac:dyDescent="0.35"/>
    <row r="427" ht="12.75" x14ac:dyDescent="0.35"/>
    <row r="428" ht="12.75" x14ac:dyDescent="0.35"/>
    <row r="429" ht="12.75" x14ac:dyDescent="0.35"/>
    <row r="430" ht="12.75" x14ac:dyDescent="0.35"/>
    <row r="431" ht="12.75" x14ac:dyDescent="0.35"/>
    <row r="432" ht="12.75" x14ac:dyDescent="0.35"/>
    <row r="433" ht="12.75" x14ac:dyDescent="0.35"/>
    <row r="434" ht="12.75" x14ac:dyDescent="0.35"/>
    <row r="435" ht="12.75" x14ac:dyDescent="0.35"/>
    <row r="436" ht="12.75" x14ac:dyDescent="0.35"/>
    <row r="437" ht="12.75" x14ac:dyDescent="0.35"/>
    <row r="438" ht="12.75" x14ac:dyDescent="0.35"/>
    <row r="439" ht="12.75" x14ac:dyDescent="0.35"/>
    <row r="440" ht="12.75" x14ac:dyDescent="0.35"/>
    <row r="441" ht="12.75" x14ac:dyDescent="0.35"/>
    <row r="442" ht="12.75" x14ac:dyDescent="0.35"/>
    <row r="443" ht="12.75" x14ac:dyDescent="0.35"/>
    <row r="444" ht="12.75" x14ac:dyDescent="0.35"/>
    <row r="445" ht="12.75" x14ac:dyDescent="0.35"/>
    <row r="446" ht="12.75" x14ac:dyDescent="0.35"/>
    <row r="447" ht="12.75" x14ac:dyDescent="0.35"/>
    <row r="448" ht="12.75" x14ac:dyDescent="0.35"/>
    <row r="449" ht="12.75" x14ac:dyDescent="0.35"/>
    <row r="450" ht="12.75" x14ac:dyDescent="0.35"/>
    <row r="451" ht="12.75" x14ac:dyDescent="0.35"/>
    <row r="452" ht="12.75" x14ac:dyDescent="0.35"/>
    <row r="453" ht="12.75" x14ac:dyDescent="0.35"/>
    <row r="454" ht="12.75" x14ac:dyDescent="0.35"/>
    <row r="455" ht="12.75" x14ac:dyDescent="0.35"/>
    <row r="456" ht="12.75" x14ac:dyDescent="0.35"/>
    <row r="457" ht="12.75" x14ac:dyDescent="0.35"/>
    <row r="458" ht="12.75" x14ac:dyDescent="0.35"/>
    <row r="459" ht="12.75" x14ac:dyDescent="0.35"/>
    <row r="460" ht="12.75" x14ac:dyDescent="0.35"/>
    <row r="461" ht="12.75" x14ac:dyDescent="0.35"/>
    <row r="462" ht="12.75" x14ac:dyDescent="0.35"/>
    <row r="463" ht="12.75" x14ac:dyDescent="0.35"/>
    <row r="464" ht="12.75" x14ac:dyDescent="0.35"/>
    <row r="465" ht="12.75" x14ac:dyDescent="0.35"/>
    <row r="466" ht="12.75" x14ac:dyDescent="0.35"/>
    <row r="467" ht="12.75" x14ac:dyDescent="0.35"/>
    <row r="468" ht="12.75" x14ac:dyDescent="0.35"/>
    <row r="469" ht="12.75" x14ac:dyDescent="0.35"/>
    <row r="470" ht="12.75" x14ac:dyDescent="0.35"/>
    <row r="471" ht="12.75" x14ac:dyDescent="0.35"/>
    <row r="472" ht="12.75" x14ac:dyDescent="0.35"/>
    <row r="473" ht="12.75" x14ac:dyDescent="0.35"/>
    <row r="474" ht="12.75" x14ac:dyDescent="0.35"/>
    <row r="475" ht="12.75" x14ac:dyDescent="0.35"/>
    <row r="476" ht="12.75" x14ac:dyDescent="0.35"/>
    <row r="477" ht="12.75" x14ac:dyDescent="0.35"/>
    <row r="478" ht="12.75" x14ac:dyDescent="0.35"/>
    <row r="479" ht="12.75" x14ac:dyDescent="0.35"/>
    <row r="480" ht="12.75" x14ac:dyDescent="0.35"/>
    <row r="481" ht="12.75" x14ac:dyDescent="0.35"/>
    <row r="482" ht="12.75" x14ac:dyDescent="0.35"/>
    <row r="483" ht="12.75" x14ac:dyDescent="0.35"/>
    <row r="484" ht="12.75" x14ac:dyDescent="0.35"/>
    <row r="485" ht="12.75" x14ac:dyDescent="0.35"/>
    <row r="486" ht="12.75" x14ac:dyDescent="0.35"/>
    <row r="487" ht="12.75" x14ac:dyDescent="0.35"/>
    <row r="488" ht="12.75" x14ac:dyDescent="0.35"/>
    <row r="489" ht="12.75" x14ac:dyDescent="0.35"/>
    <row r="490" ht="12.75" x14ac:dyDescent="0.35"/>
    <row r="491" ht="12.75" x14ac:dyDescent="0.35"/>
    <row r="492" ht="12.75" x14ac:dyDescent="0.35"/>
    <row r="493" ht="12.75" x14ac:dyDescent="0.35"/>
    <row r="494" ht="12.75" x14ac:dyDescent="0.35"/>
    <row r="495" ht="12.75" x14ac:dyDescent="0.35"/>
    <row r="496" ht="12.75" x14ac:dyDescent="0.35"/>
    <row r="497" ht="12.75" x14ac:dyDescent="0.35"/>
    <row r="498" ht="12.75" x14ac:dyDescent="0.35"/>
    <row r="499" ht="12.75" x14ac:dyDescent="0.35"/>
    <row r="500" ht="12.75" x14ac:dyDescent="0.35"/>
    <row r="501" ht="12.75" x14ac:dyDescent="0.35"/>
    <row r="502" ht="12.75" x14ac:dyDescent="0.35"/>
    <row r="503" ht="12.75" x14ac:dyDescent="0.35"/>
    <row r="504" ht="12.75" x14ac:dyDescent="0.35"/>
    <row r="505" ht="12.75" x14ac:dyDescent="0.35"/>
    <row r="506" ht="12.75" x14ac:dyDescent="0.35"/>
    <row r="507" ht="12.75" x14ac:dyDescent="0.35"/>
    <row r="508" ht="12.75" x14ac:dyDescent="0.35"/>
    <row r="509" ht="12.75" x14ac:dyDescent="0.35"/>
    <row r="510" ht="12.75" x14ac:dyDescent="0.35"/>
    <row r="511" ht="12.75" x14ac:dyDescent="0.35"/>
    <row r="512" ht="12.75" x14ac:dyDescent="0.35"/>
    <row r="513" ht="12.75" x14ac:dyDescent="0.35"/>
    <row r="514" ht="12.75" x14ac:dyDescent="0.35"/>
    <row r="515" ht="12.75" x14ac:dyDescent="0.35"/>
    <row r="516" ht="12.75" x14ac:dyDescent="0.35"/>
    <row r="517" ht="12.75" x14ac:dyDescent="0.35"/>
    <row r="518" ht="12.75" x14ac:dyDescent="0.35"/>
    <row r="519" ht="12.75" x14ac:dyDescent="0.35"/>
    <row r="520" ht="12.75" x14ac:dyDescent="0.35"/>
    <row r="521" ht="12.75" x14ac:dyDescent="0.35"/>
    <row r="522" ht="12.75" x14ac:dyDescent="0.35"/>
    <row r="523" ht="12.75" x14ac:dyDescent="0.35"/>
    <row r="524" ht="12.75" x14ac:dyDescent="0.35"/>
    <row r="525" ht="12.75" x14ac:dyDescent="0.35"/>
    <row r="526" ht="12.75" x14ac:dyDescent="0.35"/>
    <row r="527" ht="12.75" x14ac:dyDescent="0.35"/>
    <row r="528" ht="12.75" x14ac:dyDescent="0.35"/>
    <row r="529" ht="12.75" x14ac:dyDescent="0.35"/>
    <row r="530" ht="12.75" x14ac:dyDescent="0.35"/>
    <row r="531" ht="12.75" x14ac:dyDescent="0.35"/>
    <row r="532" ht="12.75" x14ac:dyDescent="0.35"/>
    <row r="533" ht="12.75" x14ac:dyDescent="0.35"/>
    <row r="534" ht="12.75" x14ac:dyDescent="0.35"/>
    <row r="535" ht="12.75" x14ac:dyDescent="0.35"/>
    <row r="536" ht="12.75" x14ac:dyDescent="0.35"/>
    <row r="537" ht="12.75" x14ac:dyDescent="0.35"/>
    <row r="538" ht="12.75" x14ac:dyDescent="0.35"/>
    <row r="539" ht="12.75" x14ac:dyDescent="0.35"/>
    <row r="540" ht="12.75" x14ac:dyDescent="0.35"/>
    <row r="541" ht="12.75" x14ac:dyDescent="0.35"/>
    <row r="542" ht="12.75" x14ac:dyDescent="0.35"/>
    <row r="543" ht="12.75" x14ac:dyDescent="0.35"/>
    <row r="544" ht="12.75" x14ac:dyDescent="0.35"/>
    <row r="545" ht="12.75" x14ac:dyDescent="0.35"/>
    <row r="546" ht="12.75" x14ac:dyDescent="0.35"/>
    <row r="547" ht="12.75" x14ac:dyDescent="0.35"/>
    <row r="548" ht="12.75" x14ac:dyDescent="0.35"/>
    <row r="549" ht="12.75" x14ac:dyDescent="0.35"/>
    <row r="550" ht="12.75" x14ac:dyDescent="0.35"/>
    <row r="551" ht="12.75" x14ac:dyDescent="0.35"/>
    <row r="552" ht="12.75" x14ac:dyDescent="0.35"/>
    <row r="553" ht="12.75" x14ac:dyDescent="0.35"/>
    <row r="554" ht="12.75" x14ac:dyDescent="0.35"/>
    <row r="555" ht="12.75" x14ac:dyDescent="0.35"/>
    <row r="556" ht="12.75" x14ac:dyDescent="0.35"/>
    <row r="557" ht="12.75" x14ac:dyDescent="0.35"/>
    <row r="558" ht="12.75" x14ac:dyDescent="0.35"/>
    <row r="559" ht="12.75" x14ac:dyDescent="0.35"/>
    <row r="560" ht="12.75" x14ac:dyDescent="0.35"/>
    <row r="561" ht="12.75" x14ac:dyDescent="0.35"/>
    <row r="562" ht="12.75" x14ac:dyDescent="0.35"/>
    <row r="563" ht="12.75" x14ac:dyDescent="0.35"/>
    <row r="564" ht="12.75" x14ac:dyDescent="0.35"/>
    <row r="565" ht="12.75" x14ac:dyDescent="0.35"/>
    <row r="566" ht="12.75" x14ac:dyDescent="0.35"/>
    <row r="567" ht="12.75" x14ac:dyDescent="0.35"/>
    <row r="568" ht="12.75" x14ac:dyDescent="0.35"/>
    <row r="569" ht="12.75" x14ac:dyDescent="0.35"/>
    <row r="570" ht="12.75" x14ac:dyDescent="0.35"/>
    <row r="571" ht="12.75" x14ac:dyDescent="0.35"/>
    <row r="572" ht="12.75" x14ac:dyDescent="0.35"/>
    <row r="573" ht="12.75" x14ac:dyDescent="0.35"/>
    <row r="574" ht="12.75" x14ac:dyDescent="0.35"/>
    <row r="575" ht="12.75" x14ac:dyDescent="0.35"/>
    <row r="576" ht="12.75" x14ac:dyDescent="0.35"/>
    <row r="577" ht="12.75" x14ac:dyDescent="0.35"/>
    <row r="578" ht="12.75" x14ac:dyDescent="0.35"/>
    <row r="579" ht="12.75" x14ac:dyDescent="0.35"/>
    <row r="580" ht="12.75" x14ac:dyDescent="0.35"/>
    <row r="581" ht="12.75" x14ac:dyDescent="0.35"/>
    <row r="582" ht="12.75" x14ac:dyDescent="0.35"/>
    <row r="583" ht="12.75" x14ac:dyDescent="0.35"/>
    <row r="584" ht="12.75" x14ac:dyDescent="0.35"/>
    <row r="585" ht="12.75" x14ac:dyDescent="0.35"/>
    <row r="586" ht="12.75" x14ac:dyDescent="0.35"/>
    <row r="587" ht="12.75" x14ac:dyDescent="0.35"/>
    <row r="588" ht="12.75" x14ac:dyDescent="0.35"/>
    <row r="589" ht="12.75" x14ac:dyDescent="0.35"/>
    <row r="590" ht="12.75" x14ac:dyDescent="0.35"/>
    <row r="591" ht="12.75" x14ac:dyDescent="0.35"/>
    <row r="592" ht="12.75" x14ac:dyDescent="0.35"/>
    <row r="593" ht="12.75" x14ac:dyDescent="0.35"/>
    <row r="594" ht="12.75" x14ac:dyDescent="0.35"/>
    <row r="595" ht="12.75" x14ac:dyDescent="0.35"/>
    <row r="596" ht="12.75" x14ac:dyDescent="0.35"/>
    <row r="597" ht="12.75" x14ac:dyDescent="0.35"/>
    <row r="598" ht="12.75" x14ac:dyDescent="0.35"/>
    <row r="599" ht="12.75" x14ac:dyDescent="0.35"/>
    <row r="600" ht="12.75" x14ac:dyDescent="0.35"/>
    <row r="601" ht="12.75" x14ac:dyDescent="0.35"/>
    <row r="602" ht="12.75" x14ac:dyDescent="0.35"/>
    <row r="603" ht="12.75" x14ac:dyDescent="0.35"/>
    <row r="604" ht="12.75" x14ac:dyDescent="0.35"/>
    <row r="605" ht="12.75" x14ac:dyDescent="0.35"/>
    <row r="606" ht="12.75" x14ac:dyDescent="0.35"/>
    <row r="607" ht="12.75" x14ac:dyDescent="0.35"/>
    <row r="608" ht="12.75" x14ac:dyDescent="0.35"/>
    <row r="609" ht="12.75" x14ac:dyDescent="0.35"/>
    <row r="610" ht="12.75" x14ac:dyDescent="0.35"/>
    <row r="611" ht="12.75" x14ac:dyDescent="0.35"/>
    <row r="612" ht="12.75" x14ac:dyDescent="0.35"/>
    <row r="613" ht="12.75" x14ac:dyDescent="0.35"/>
    <row r="614" ht="12.75" x14ac:dyDescent="0.35"/>
    <row r="615" ht="12.75" x14ac:dyDescent="0.35"/>
    <row r="616" ht="12.75" x14ac:dyDescent="0.35"/>
    <row r="617" ht="12.75" x14ac:dyDescent="0.35"/>
    <row r="618" ht="12.75" x14ac:dyDescent="0.35"/>
    <row r="619" ht="12.75" x14ac:dyDescent="0.35"/>
    <row r="620" ht="12.75" x14ac:dyDescent="0.35"/>
    <row r="621" ht="12.75" x14ac:dyDescent="0.35"/>
    <row r="622" ht="12.75" x14ac:dyDescent="0.35"/>
    <row r="623" ht="12.75" x14ac:dyDescent="0.35"/>
    <row r="624" ht="12.75" x14ac:dyDescent="0.35"/>
    <row r="625" ht="12.75" x14ac:dyDescent="0.35"/>
    <row r="626" ht="12.75" x14ac:dyDescent="0.35"/>
    <row r="627" ht="12.75" x14ac:dyDescent="0.35"/>
    <row r="628" ht="12.75" x14ac:dyDescent="0.35"/>
    <row r="629" ht="12.75" x14ac:dyDescent="0.35"/>
    <row r="630" ht="12.75" x14ac:dyDescent="0.35"/>
    <row r="631" ht="12.75" x14ac:dyDescent="0.35"/>
    <row r="632" ht="12.75" x14ac:dyDescent="0.35"/>
    <row r="633" ht="12.75" x14ac:dyDescent="0.35"/>
    <row r="634" ht="12.75" x14ac:dyDescent="0.35"/>
    <row r="635" ht="12.75" x14ac:dyDescent="0.35"/>
    <row r="636" ht="12.75" x14ac:dyDescent="0.35"/>
    <row r="637" ht="12.75" x14ac:dyDescent="0.35"/>
    <row r="638" ht="12.75" x14ac:dyDescent="0.35"/>
    <row r="639" ht="12.75" x14ac:dyDescent="0.35"/>
    <row r="640" ht="12.75" x14ac:dyDescent="0.35"/>
    <row r="641" ht="12.75" x14ac:dyDescent="0.35"/>
    <row r="642" ht="12.75" x14ac:dyDescent="0.35"/>
    <row r="643" ht="12.75" x14ac:dyDescent="0.35"/>
    <row r="644" ht="12.75" x14ac:dyDescent="0.35"/>
    <row r="645" ht="12.75" x14ac:dyDescent="0.35"/>
    <row r="646" ht="12.75" x14ac:dyDescent="0.35"/>
    <row r="647" ht="12.75" x14ac:dyDescent="0.35"/>
    <row r="648" ht="12.75" x14ac:dyDescent="0.35"/>
    <row r="649" ht="12.75" x14ac:dyDescent="0.35"/>
    <row r="650" ht="12.75" x14ac:dyDescent="0.35"/>
    <row r="651" ht="12.75" x14ac:dyDescent="0.35"/>
    <row r="652" ht="12.75" x14ac:dyDescent="0.35"/>
    <row r="653" ht="12.75" x14ac:dyDescent="0.35"/>
    <row r="654" ht="12.75" x14ac:dyDescent="0.35"/>
    <row r="655" ht="12.75" x14ac:dyDescent="0.35"/>
    <row r="656" ht="12.75" x14ac:dyDescent="0.35"/>
    <row r="657" ht="12.75" x14ac:dyDescent="0.35"/>
    <row r="658" ht="12.75" x14ac:dyDescent="0.35"/>
    <row r="659" ht="12.75" x14ac:dyDescent="0.35"/>
    <row r="660" ht="12.75" x14ac:dyDescent="0.35"/>
    <row r="661" ht="12.75" x14ac:dyDescent="0.35"/>
    <row r="662" ht="12.75" x14ac:dyDescent="0.35"/>
    <row r="663" ht="12.75" x14ac:dyDescent="0.35"/>
    <row r="664" ht="12.75" x14ac:dyDescent="0.35"/>
    <row r="665" ht="12.75" x14ac:dyDescent="0.35"/>
    <row r="666" ht="12.75" x14ac:dyDescent="0.35"/>
    <row r="667" ht="12.75" x14ac:dyDescent="0.35"/>
    <row r="668" ht="12.75" x14ac:dyDescent="0.35"/>
    <row r="669" ht="12.75" x14ac:dyDescent="0.35"/>
    <row r="670" ht="12.75" x14ac:dyDescent="0.35"/>
    <row r="671" ht="12.75" x14ac:dyDescent="0.35"/>
    <row r="672" ht="12.75" x14ac:dyDescent="0.35"/>
    <row r="673" ht="12.75" x14ac:dyDescent="0.35"/>
    <row r="674" ht="12.75" x14ac:dyDescent="0.35"/>
    <row r="675" ht="12.75" x14ac:dyDescent="0.35"/>
    <row r="676" ht="12.75" x14ac:dyDescent="0.35"/>
    <row r="677" ht="12.75" x14ac:dyDescent="0.35"/>
    <row r="678" ht="12.75" x14ac:dyDescent="0.35"/>
    <row r="679" ht="12.75" x14ac:dyDescent="0.35"/>
    <row r="680" ht="12.75" x14ac:dyDescent="0.35"/>
    <row r="681" ht="12.75" x14ac:dyDescent="0.35"/>
    <row r="682" ht="12.75" x14ac:dyDescent="0.35"/>
    <row r="683" ht="12.75" x14ac:dyDescent="0.35"/>
    <row r="684" ht="12.75" x14ac:dyDescent="0.35"/>
    <row r="685" ht="12.75" x14ac:dyDescent="0.35"/>
    <row r="686" ht="12.75" x14ac:dyDescent="0.35"/>
    <row r="687" ht="12.75" x14ac:dyDescent="0.35"/>
    <row r="688" ht="12.75" x14ac:dyDescent="0.35"/>
    <row r="689" ht="12.75" x14ac:dyDescent="0.35"/>
    <row r="690" ht="12.75" x14ac:dyDescent="0.35"/>
    <row r="691" ht="12.75" x14ac:dyDescent="0.35"/>
    <row r="692" ht="12.75" x14ac:dyDescent="0.35"/>
    <row r="693" ht="12.75" x14ac:dyDescent="0.35"/>
    <row r="694" ht="12.75" x14ac:dyDescent="0.35"/>
    <row r="695" ht="12.75" x14ac:dyDescent="0.35"/>
    <row r="696" ht="12.75" x14ac:dyDescent="0.35"/>
    <row r="697" ht="12.75" x14ac:dyDescent="0.35"/>
    <row r="698" ht="12.75" x14ac:dyDescent="0.35"/>
    <row r="699" ht="12.75" x14ac:dyDescent="0.35"/>
    <row r="700" ht="12.75" x14ac:dyDescent="0.35"/>
    <row r="701" ht="12.75" x14ac:dyDescent="0.35"/>
    <row r="702" ht="12.75" x14ac:dyDescent="0.35"/>
    <row r="703" ht="12.75" x14ac:dyDescent="0.35"/>
    <row r="704" ht="12.75" x14ac:dyDescent="0.35"/>
    <row r="705" ht="12.75" x14ac:dyDescent="0.35"/>
    <row r="706" ht="12.75" x14ac:dyDescent="0.35"/>
    <row r="707" ht="12.75" x14ac:dyDescent="0.35"/>
    <row r="708" ht="12.75" x14ac:dyDescent="0.35"/>
    <row r="709" ht="12.75" x14ac:dyDescent="0.35"/>
    <row r="710" ht="12.75" x14ac:dyDescent="0.35"/>
    <row r="711" ht="12.75" x14ac:dyDescent="0.35"/>
    <row r="712" ht="12.75" x14ac:dyDescent="0.35"/>
    <row r="713" ht="12.75" x14ac:dyDescent="0.35"/>
    <row r="714" ht="12.75" x14ac:dyDescent="0.35"/>
    <row r="715" ht="12.75" x14ac:dyDescent="0.35"/>
    <row r="716" ht="12.75" x14ac:dyDescent="0.35"/>
    <row r="717" ht="12.75" x14ac:dyDescent="0.35"/>
    <row r="718" ht="12.75" x14ac:dyDescent="0.35"/>
    <row r="719" ht="12.75" x14ac:dyDescent="0.35"/>
    <row r="720" ht="12.75" x14ac:dyDescent="0.35"/>
    <row r="721" ht="12.75" x14ac:dyDescent="0.35"/>
    <row r="722" ht="12.75" x14ac:dyDescent="0.35"/>
    <row r="723" ht="12.75" x14ac:dyDescent="0.35"/>
    <row r="724" ht="12.75" x14ac:dyDescent="0.35"/>
    <row r="725" ht="12.75" x14ac:dyDescent="0.35"/>
    <row r="726" ht="12.75" x14ac:dyDescent="0.35"/>
    <row r="727" ht="12.75" x14ac:dyDescent="0.35"/>
    <row r="728" ht="12.75" x14ac:dyDescent="0.35"/>
    <row r="729" ht="12.75" x14ac:dyDescent="0.35"/>
    <row r="730" ht="12.75" x14ac:dyDescent="0.35"/>
    <row r="731" ht="12.75" x14ac:dyDescent="0.35"/>
    <row r="732" ht="12.75" x14ac:dyDescent="0.35"/>
    <row r="733" ht="12.75" x14ac:dyDescent="0.35"/>
    <row r="734" ht="12.75" x14ac:dyDescent="0.35"/>
    <row r="735" ht="12.75" x14ac:dyDescent="0.35"/>
    <row r="736" ht="12.75" x14ac:dyDescent="0.35"/>
    <row r="737" ht="12.75" x14ac:dyDescent="0.35"/>
    <row r="738" ht="12.75" x14ac:dyDescent="0.35"/>
    <row r="739" ht="12.75" x14ac:dyDescent="0.35"/>
    <row r="740" ht="12.75" x14ac:dyDescent="0.35"/>
    <row r="741" ht="12.75" x14ac:dyDescent="0.35"/>
    <row r="742" ht="12.75" x14ac:dyDescent="0.35"/>
    <row r="743" ht="12.75" x14ac:dyDescent="0.35"/>
    <row r="744" ht="12.75" x14ac:dyDescent="0.35"/>
    <row r="745" ht="12.75" x14ac:dyDescent="0.35"/>
    <row r="746" ht="12.75" x14ac:dyDescent="0.35"/>
    <row r="747" ht="12.75" x14ac:dyDescent="0.35"/>
    <row r="748" ht="12.75" x14ac:dyDescent="0.35"/>
    <row r="749" ht="12.75" x14ac:dyDescent="0.35"/>
    <row r="750" ht="12.75" x14ac:dyDescent="0.35"/>
    <row r="751" ht="12.75" x14ac:dyDescent="0.35"/>
    <row r="752" ht="12.75" x14ac:dyDescent="0.35"/>
    <row r="753" ht="12.75" x14ac:dyDescent="0.35"/>
    <row r="754" ht="12.75" x14ac:dyDescent="0.35"/>
    <row r="755" ht="12.75" x14ac:dyDescent="0.35"/>
    <row r="756" ht="12.75" x14ac:dyDescent="0.35"/>
    <row r="757" ht="12.75" x14ac:dyDescent="0.35"/>
    <row r="758" ht="12.75" x14ac:dyDescent="0.35"/>
    <row r="759" ht="12.75" x14ac:dyDescent="0.35"/>
    <row r="760" ht="12.75" x14ac:dyDescent="0.35"/>
    <row r="761" ht="12.75" x14ac:dyDescent="0.35"/>
    <row r="762" ht="12.75" x14ac:dyDescent="0.35"/>
    <row r="763" ht="12.75" x14ac:dyDescent="0.35"/>
    <row r="764" ht="12.75" x14ac:dyDescent="0.35"/>
    <row r="765" ht="12.75" x14ac:dyDescent="0.35"/>
    <row r="766" ht="12.75" x14ac:dyDescent="0.35"/>
    <row r="767" ht="12.75" x14ac:dyDescent="0.35"/>
    <row r="768" ht="12.75" x14ac:dyDescent="0.35"/>
    <row r="769" ht="12.75" x14ac:dyDescent="0.35"/>
    <row r="770" ht="12.75" x14ac:dyDescent="0.35"/>
    <row r="771" ht="12.75" x14ac:dyDescent="0.35"/>
    <row r="772" ht="12.75" x14ac:dyDescent="0.35"/>
    <row r="773" ht="12.75" x14ac:dyDescent="0.35"/>
    <row r="774" ht="12.75" x14ac:dyDescent="0.35"/>
    <row r="775" ht="12.75" x14ac:dyDescent="0.35"/>
    <row r="776" ht="12.75" x14ac:dyDescent="0.35"/>
    <row r="777" ht="12.75" x14ac:dyDescent="0.35"/>
    <row r="778" ht="12.75" x14ac:dyDescent="0.35"/>
    <row r="779" ht="12.75" x14ac:dyDescent="0.35"/>
    <row r="780" ht="12.75" x14ac:dyDescent="0.35"/>
    <row r="781" ht="12.75" x14ac:dyDescent="0.35"/>
    <row r="782" ht="12.75" x14ac:dyDescent="0.35"/>
    <row r="783" ht="12.75" x14ac:dyDescent="0.35"/>
    <row r="784" ht="12.75" x14ac:dyDescent="0.35"/>
    <row r="785" ht="12.75" x14ac:dyDescent="0.35"/>
    <row r="786" ht="12.75" x14ac:dyDescent="0.35"/>
    <row r="787" ht="12.75" x14ac:dyDescent="0.35"/>
    <row r="788" ht="12.75" x14ac:dyDescent="0.35"/>
    <row r="789" ht="12.75" x14ac:dyDescent="0.35"/>
    <row r="790" ht="12.75" x14ac:dyDescent="0.35"/>
    <row r="791" ht="12.75" x14ac:dyDescent="0.35"/>
    <row r="792" ht="12.75" x14ac:dyDescent="0.35"/>
    <row r="793" ht="12.75" x14ac:dyDescent="0.35"/>
    <row r="794" ht="12.75" x14ac:dyDescent="0.35"/>
    <row r="795" ht="12.75" x14ac:dyDescent="0.35"/>
    <row r="796" ht="12.75" x14ac:dyDescent="0.35"/>
    <row r="797" ht="12.75" x14ac:dyDescent="0.35"/>
    <row r="798" ht="12.75" x14ac:dyDescent="0.35"/>
    <row r="799" ht="12.75" x14ac:dyDescent="0.35"/>
    <row r="800" ht="12.75" x14ac:dyDescent="0.35"/>
    <row r="801" ht="12.75" x14ac:dyDescent="0.35"/>
    <row r="802" ht="12.75" x14ac:dyDescent="0.35"/>
    <row r="803" ht="12.75" x14ac:dyDescent="0.35"/>
    <row r="804" ht="12.75" x14ac:dyDescent="0.35"/>
    <row r="805" ht="12.75" x14ac:dyDescent="0.35"/>
    <row r="806" ht="12.75" x14ac:dyDescent="0.35"/>
    <row r="807" ht="12.75" x14ac:dyDescent="0.35"/>
    <row r="808" ht="12.75" x14ac:dyDescent="0.35"/>
    <row r="809" ht="12.75" x14ac:dyDescent="0.35"/>
    <row r="810" ht="12.75" x14ac:dyDescent="0.35"/>
    <row r="811" ht="12.75" x14ac:dyDescent="0.35"/>
    <row r="812" ht="12.75" x14ac:dyDescent="0.35"/>
    <row r="813" ht="12.75" x14ac:dyDescent="0.35"/>
    <row r="814" ht="12.75" x14ac:dyDescent="0.35"/>
    <row r="815" ht="12.75" x14ac:dyDescent="0.35"/>
    <row r="816" ht="12.75" x14ac:dyDescent="0.35"/>
    <row r="817" ht="12.75" x14ac:dyDescent="0.35"/>
    <row r="818" ht="12.75" x14ac:dyDescent="0.35"/>
    <row r="819" ht="12.75" x14ac:dyDescent="0.35"/>
    <row r="820" ht="12.75" x14ac:dyDescent="0.35"/>
    <row r="821" ht="12.75" x14ac:dyDescent="0.35"/>
    <row r="822" ht="12.75" x14ac:dyDescent="0.35"/>
    <row r="823" ht="12.75" x14ac:dyDescent="0.35"/>
    <row r="824" ht="12.75" x14ac:dyDescent="0.35"/>
    <row r="825" ht="12.75" x14ac:dyDescent="0.35"/>
    <row r="826" ht="12.75" x14ac:dyDescent="0.35"/>
    <row r="827" ht="12.75" x14ac:dyDescent="0.35"/>
    <row r="828" ht="12.75" x14ac:dyDescent="0.35"/>
    <row r="829" ht="12.75" x14ac:dyDescent="0.35"/>
    <row r="830" ht="12.75" x14ac:dyDescent="0.35"/>
    <row r="831" ht="12.75" x14ac:dyDescent="0.35"/>
    <row r="832" ht="12.75" x14ac:dyDescent="0.35"/>
    <row r="833" ht="12.75" x14ac:dyDescent="0.35"/>
    <row r="834" ht="12.75" x14ac:dyDescent="0.35"/>
    <row r="835" ht="12.75" x14ac:dyDescent="0.35"/>
    <row r="836" ht="12.75" x14ac:dyDescent="0.35"/>
    <row r="837" ht="12.75" x14ac:dyDescent="0.35"/>
    <row r="838" ht="12.75" x14ac:dyDescent="0.35"/>
    <row r="839" ht="12.75" x14ac:dyDescent="0.35"/>
    <row r="840" ht="12.75" x14ac:dyDescent="0.35"/>
    <row r="841" ht="12.75" x14ac:dyDescent="0.35"/>
    <row r="842" ht="12.75" x14ac:dyDescent="0.35"/>
    <row r="843" ht="12.75" x14ac:dyDescent="0.35"/>
    <row r="844" ht="12.75" x14ac:dyDescent="0.35"/>
    <row r="845" ht="12.75" x14ac:dyDescent="0.35"/>
    <row r="846" ht="12.75" x14ac:dyDescent="0.35"/>
    <row r="847" ht="12.75" x14ac:dyDescent="0.35"/>
    <row r="848" ht="12.75" x14ac:dyDescent="0.35"/>
    <row r="849" ht="12.75" x14ac:dyDescent="0.35"/>
    <row r="850" ht="12.75" x14ac:dyDescent="0.35"/>
    <row r="851" ht="12.75" x14ac:dyDescent="0.35"/>
    <row r="852" ht="12.75" x14ac:dyDescent="0.35"/>
    <row r="853" ht="12.75" x14ac:dyDescent="0.35"/>
    <row r="854" ht="12.75" x14ac:dyDescent="0.35"/>
    <row r="855" ht="12.75" x14ac:dyDescent="0.35"/>
    <row r="856" ht="12.75" x14ac:dyDescent="0.35"/>
    <row r="857" ht="12.75" x14ac:dyDescent="0.35"/>
    <row r="858" ht="12.75" x14ac:dyDescent="0.35"/>
    <row r="859" ht="12.75" x14ac:dyDescent="0.35"/>
    <row r="860" ht="12.75" x14ac:dyDescent="0.35"/>
    <row r="861" ht="12.75" x14ac:dyDescent="0.35"/>
    <row r="862" ht="12.75" x14ac:dyDescent="0.35"/>
    <row r="863" ht="12.75" x14ac:dyDescent="0.35"/>
    <row r="864" ht="12.75" x14ac:dyDescent="0.35"/>
    <row r="865" ht="12.75" x14ac:dyDescent="0.35"/>
    <row r="866" ht="12.75" x14ac:dyDescent="0.35"/>
    <row r="867" ht="12.75" x14ac:dyDescent="0.35"/>
    <row r="868" ht="12.75" x14ac:dyDescent="0.35"/>
    <row r="869" ht="12.75" x14ac:dyDescent="0.35"/>
    <row r="870" ht="12.75" x14ac:dyDescent="0.35"/>
    <row r="871" ht="12.75" x14ac:dyDescent="0.35"/>
    <row r="872" ht="12.75" x14ac:dyDescent="0.35"/>
    <row r="873" ht="12.75" x14ac:dyDescent="0.35"/>
    <row r="874" ht="12.75" x14ac:dyDescent="0.35"/>
    <row r="875" ht="12.75" x14ac:dyDescent="0.35"/>
    <row r="876" ht="12.75" x14ac:dyDescent="0.35"/>
    <row r="877" ht="12.75" x14ac:dyDescent="0.35"/>
    <row r="878" ht="12.75" x14ac:dyDescent="0.35"/>
    <row r="879" ht="12.75" x14ac:dyDescent="0.35"/>
    <row r="880" ht="12.75" x14ac:dyDescent="0.35"/>
    <row r="881" ht="12.75" x14ac:dyDescent="0.35"/>
    <row r="882" ht="12.75" x14ac:dyDescent="0.35"/>
    <row r="883" ht="12.75" x14ac:dyDescent="0.35"/>
    <row r="884" ht="12.75" x14ac:dyDescent="0.35"/>
    <row r="885" ht="12.75" x14ac:dyDescent="0.35"/>
    <row r="886" ht="12.75" x14ac:dyDescent="0.35"/>
    <row r="887" ht="12.75" x14ac:dyDescent="0.35"/>
    <row r="888" ht="12.75" x14ac:dyDescent="0.35"/>
    <row r="889" ht="12.75" x14ac:dyDescent="0.35"/>
    <row r="890" ht="12.75" x14ac:dyDescent="0.35"/>
    <row r="891" ht="12.75" x14ac:dyDescent="0.35"/>
    <row r="892" ht="12.75" x14ac:dyDescent="0.35"/>
    <row r="893" ht="12.75" x14ac:dyDescent="0.35"/>
    <row r="894" ht="12.75" x14ac:dyDescent="0.35"/>
    <row r="895" ht="12.75" x14ac:dyDescent="0.35"/>
    <row r="896" ht="12.75" x14ac:dyDescent="0.35"/>
    <row r="897" ht="12.75" x14ac:dyDescent="0.35"/>
    <row r="898" ht="12.75" x14ac:dyDescent="0.35"/>
    <row r="899" ht="12.75" x14ac:dyDescent="0.35"/>
    <row r="900" ht="12.75" x14ac:dyDescent="0.35"/>
    <row r="901" ht="12.75" x14ac:dyDescent="0.35"/>
    <row r="902" ht="12.75" x14ac:dyDescent="0.35"/>
    <row r="903" ht="12.75" x14ac:dyDescent="0.35"/>
    <row r="904" ht="12.75" x14ac:dyDescent="0.35"/>
    <row r="905" ht="12.75" x14ac:dyDescent="0.35"/>
    <row r="906" ht="12.75" x14ac:dyDescent="0.35"/>
    <row r="907" ht="12.75" x14ac:dyDescent="0.35"/>
    <row r="908" ht="12.75" x14ac:dyDescent="0.35"/>
    <row r="909" ht="12.75" x14ac:dyDescent="0.35"/>
    <row r="910" ht="12.75" x14ac:dyDescent="0.35"/>
    <row r="911" ht="12.75" x14ac:dyDescent="0.35"/>
    <row r="912" ht="12.75" x14ac:dyDescent="0.35"/>
    <row r="913" ht="12.75" x14ac:dyDescent="0.35"/>
    <row r="914" ht="12.75" x14ac:dyDescent="0.35"/>
    <row r="915" ht="12.75" x14ac:dyDescent="0.35"/>
    <row r="916" ht="12.75" x14ac:dyDescent="0.35"/>
    <row r="917" ht="12.75" x14ac:dyDescent="0.35"/>
    <row r="918" ht="12.75" x14ac:dyDescent="0.35"/>
    <row r="919" ht="12.75" x14ac:dyDescent="0.35"/>
    <row r="920" ht="12.75" x14ac:dyDescent="0.35"/>
    <row r="921" ht="12.75" x14ac:dyDescent="0.35"/>
    <row r="922" ht="12.75" x14ac:dyDescent="0.35"/>
    <row r="923" ht="12.75" x14ac:dyDescent="0.35"/>
    <row r="924" ht="12.75" x14ac:dyDescent="0.35"/>
    <row r="925" ht="12.75" x14ac:dyDescent="0.35"/>
    <row r="926" ht="12.75" x14ac:dyDescent="0.35"/>
    <row r="927" ht="12.75" x14ac:dyDescent="0.35"/>
    <row r="928" ht="12.75" x14ac:dyDescent="0.35"/>
    <row r="929" ht="12.75" x14ac:dyDescent="0.35"/>
    <row r="930" ht="12.75" x14ac:dyDescent="0.35"/>
    <row r="931" ht="12.75" x14ac:dyDescent="0.35"/>
    <row r="932" ht="12.75" x14ac:dyDescent="0.35"/>
    <row r="933" ht="12.75" x14ac:dyDescent="0.35"/>
    <row r="934" ht="12.75" x14ac:dyDescent="0.35"/>
    <row r="935" ht="12.75" x14ac:dyDescent="0.35"/>
    <row r="936" ht="12.75" x14ac:dyDescent="0.35"/>
    <row r="937" ht="12.75" x14ac:dyDescent="0.35"/>
    <row r="938" ht="12.75" x14ac:dyDescent="0.35"/>
    <row r="939" ht="12.75" x14ac:dyDescent="0.35"/>
    <row r="940" ht="12.75" x14ac:dyDescent="0.35"/>
    <row r="941" ht="12.75" x14ac:dyDescent="0.35"/>
    <row r="942" ht="12.75" x14ac:dyDescent="0.35"/>
    <row r="943" ht="12.75" x14ac:dyDescent="0.35"/>
    <row r="944" ht="12.75" x14ac:dyDescent="0.35"/>
    <row r="945" ht="12.75" x14ac:dyDescent="0.35"/>
    <row r="946" ht="12.75" x14ac:dyDescent="0.35"/>
    <row r="947" ht="12.75" x14ac:dyDescent="0.35"/>
    <row r="948" ht="12.75" x14ac:dyDescent="0.35"/>
    <row r="949" ht="12.75" x14ac:dyDescent="0.35"/>
    <row r="950" ht="12.75" x14ac:dyDescent="0.35"/>
    <row r="951" ht="12.75" x14ac:dyDescent="0.35"/>
    <row r="952" ht="12.75" x14ac:dyDescent="0.35"/>
    <row r="953" ht="12.75" x14ac:dyDescent="0.35"/>
    <row r="954" ht="12.75" x14ac:dyDescent="0.35"/>
    <row r="955" ht="12.75" x14ac:dyDescent="0.35"/>
    <row r="956" ht="12.75" x14ac:dyDescent="0.35"/>
    <row r="957" ht="12.75" x14ac:dyDescent="0.35"/>
    <row r="958" ht="12.75" x14ac:dyDescent="0.35"/>
    <row r="959" ht="12.75" x14ac:dyDescent="0.35"/>
    <row r="960" ht="12.75" x14ac:dyDescent="0.35"/>
    <row r="961" ht="12.75" x14ac:dyDescent="0.35"/>
    <row r="962" ht="12.75" x14ac:dyDescent="0.35"/>
    <row r="963" ht="12.75" x14ac:dyDescent="0.35"/>
    <row r="964" ht="12.75" x14ac:dyDescent="0.35"/>
    <row r="965" ht="12.75" x14ac:dyDescent="0.35"/>
    <row r="966" ht="12.75" x14ac:dyDescent="0.35"/>
    <row r="967" ht="12.75" x14ac:dyDescent="0.35"/>
    <row r="968" ht="12.75" x14ac:dyDescent="0.35"/>
    <row r="969" ht="12.75" x14ac:dyDescent="0.35"/>
    <row r="970" ht="12.75" x14ac:dyDescent="0.35"/>
    <row r="971" ht="12.75" x14ac:dyDescent="0.35"/>
    <row r="972" ht="12.75" x14ac:dyDescent="0.35"/>
    <row r="973" ht="12.75" x14ac:dyDescent="0.35"/>
    <row r="974" ht="12.75" x14ac:dyDescent="0.35"/>
    <row r="975" ht="12.75" x14ac:dyDescent="0.35"/>
    <row r="976" ht="12.75" x14ac:dyDescent="0.35"/>
    <row r="977" ht="12.75" x14ac:dyDescent="0.35"/>
    <row r="978" ht="12.75" x14ac:dyDescent="0.35"/>
    <row r="979" ht="12.75" x14ac:dyDescent="0.35"/>
    <row r="980" ht="12.75" x14ac:dyDescent="0.35"/>
    <row r="981" ht="12.75" x14ac:dyDescent="0.35"/>
    <row r="982" ht="12.75" x14ac:dyDescent="0.35"/>
    <row r="983" ht="12.75" x14ac:dyDescent="0.35"/>
    <row r="984" ht="12.75" x14ac:dyDescent="0.35"/>
    <row r="985" ht="12.75" x14ac:dyDescent="0.35"/>
    <row r="986" ht="12.75" x14ac:dyDescent="0.35"/>
    <row r="987" ht="12.75" x14ac:dyDescent="0.35"/>
    <row r="988" ht="12.75" x14ac:dyDescent="0.35"/>
    <row r="989" ht="12.75" x14ac:dyDescent="0.35"/>
    <row r="990" ht="12.75" x14ac:dyDescent="0.35"/>
    <row r="991" ht="12.75" x14ac:dyDescent="0.35"/>
    <row r="992" ht="12.75" x14ac:dyDescent="0.35"/>
    <row r="993" ht="12.75" x14ac:dyDescent="0.35"/>
    <row r="994" ht="12.75" x14ac:dyDescent="0.35"/>
    <row r="995" ht="12.75" x14ac:dyDescent="0.35"/>
    <row r="996" ht="12.75" x14ac:dyDescent="0.35"/>
    <row r="997" ht="12.75" x14ac:dyDescent="0.35"/>
    <row r="998" ht="12.75" x14ac:dyDescent="0.35"/>
    <row r="999" ht="12.75" x14ac:dyDescent="0.35"/>
    <row r="1000" ht="12.75" x14ac:dyDescent="0.35"/>
  </sheetData>
  <conditionalFormatting sqref="B2:DR122">
    <cfRule type="colorScale" priority="1">
      <colorScale>
        <cfvo type="formula" val="-5"/>
        <cfvo type="formula" val="10"/>
        <cfvo type="formula" val="30"/>
        <color rgb="FFDFF8FC"/>
        <color rgb="FF5B865E"/>
        <color rgb="FF806840"/>
      </colorScale>
    </cfRule>
  </conditionalFormatting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B1001"/>
  <sheetViews>
    <sheetView workbookViewId="0">
      <selection activeCell="I19" sqref="I19"/>
    </sheetView>
  </sheetViews>
  <sheetFormatPr defaultColWidth="12.59765625" defaultRowHeight="15.75" customHeight="1" x14ac:dyDescent="0.35"/>
  <cols>
    <col min="1" max="2" width="24.73046875" customWidth="1"/>
    <col min="4" max="4" width="13.1328125" customWidth="1"/>
    <col min="6" max="6" width="21" customWidth="1"/>
    <col min="9" max="9" width="16.1328125" customWidth="1"/>
    <col min="12" max="12" width="14.46484375" customWidth="1"/>
  </cols>
  <sheetData>
    <row r="1" spans="1:28" ht="15.75" customHeight="1" x14ac:dyDescent="0.45">
      <c r="A1" s="5"/>
      <c r="B1" s="217" t="s">
        <v>276</v>
      </c>
      <c r="C1" s="217" t="s">
        <v>277</v>
      </c>
      <c r="D1" s="219" t="s">
        <v>278</v>
      </c>
      <c r="E1" s="217" t="s">
        <v>281</v>
      </c>
      <c r="F1" s="302" t="s">
        <v>282</v>
      </c>
      <c r="G1" s="295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15.75" customHeight="1" x14ac:dyDescent="0.45">
      <c r="A2" s="219" t="s">
        <v>283</v>
      </c>
      <c r="B2" s="220" t="s">
        <v>284</v>
      </c>
      <c r="C2" s="221" t="str">
        <f>Parameters!M25</f>
        <v>Full Roof</v>
      </c>
      <c r="D2" s="222">
        <f>IF($C$2="Full Roof",350,0)</f>
        <v>350</v>
      </c>
      <c r="E2" s="220"/>
      <c r="F2" s="220"/>
      <c r="G2" s="220"/>
      <c r="H2" s="195" t="s">
        <v>285</v>
      </c>
      <c r="I2" s="195" t="s">
        <v>83</v>
      </c>
      <c r="J2" s="195" t="s">
        <v>8</v>
      </c>
      <c r="K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 ht="15.75" customHeight="1" x14ac:dyDescent="0.45">
      <c r="A3" s="223"/>
      <c r="B3" s="220" t="s">
        <v>286</v>
      </c>
      <c r="C3" s="221" t="str">
        <f>Parameters!M26</f>
        <v>y</v>
      </c>
      <c r="D3" s="222">
        <f>Parameters!M33</f>
        <v>1790</v>
      </c>
      <c r="E3" s="220"/>
      <c r="F3" s="220"/>
      <c r="G3" s="220"/>
      <c r="H3" s="8" t="s">
        <v>287</v>
      </c>
      <c r="I3" s="224">
        <v>110000</v>
      </c>
      <c r="J3" s="8" t="s">
        <v>122</v>
      </c>
      <c r="K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 ht="15.75" customHeight="1" x14ac:dyDescent="0.45">
      <c r="A4" s="223"/>
      <c r="B4" s="220" t="s">
        <v>288</v>
      </c>
      <c r="C4" s="221">
        <f>Parameters!M34</f>
        <v>2500</v>
      </c>
      <c r="D4" s="222">
        <f>IF($C$4=400,200,IF($C$4=1500,500,IF($C$4=2500,900,IF($C$4=10000,2000))))</f>
        <v>900</v>
      </c>
      <c r="E4" s="220"/>
      <c r="F4" s="220"/>
      <c r="G4" s="220"/>
      <c r="H4" s="8" t="s">
        <v>289</v>
      </c>
      <c r="I4" s="224">
        <v>90</v>
      </c>
      <c r="J4" s="8" t="s">
        <v>290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15.75" customHeight="1" x14ac:dyDescent="0.45">
      <c r="A5" s="217" t="s">
        <v>291</v>
      </c>
      <c r="B5" s="220" t="s">
        <v>292</v>
      </c>
      <c r="C5" s="221">
        <f>Parameters!G25</f>
        <v>50</v>
      </c>
      <c r="D5" s="222">
        <f>IF($C$5&gt;0,IF($C$5&gt;50,"Volume must be between 1-50m^3",300*$C$5),"Volume must be between 1-50m^3")</f>
        <v>15000</v>
      </c>
      <c r="E5" s="220"/>
      <c r="F5" s="220"/>
      <c r="G5" s="225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1:28" ht="15.75" customHeight="1" x14ac:dyDescent="0.45">
      <c r="A6" s="223"/>
      <c r="B6" s="220" t="s">
        <v>293</v>
      </c>
      <c r="C6" s="221">
        <f>Parameters!B27</f>
        <v>0</v>
      </c>
      <c r="D6" s="226">
        <f>IF(C6=0,0,25*(C5)^(1.6)+150*(C6)^(1.8))</f>
        <v>0</v>
      </c>
      <c r="E6" s="220"/>
      <c r="F6" s="220"/>
      <c r="G6" s="220"/>
      <c r="I6" s="135" t="s">
        <v>294</v>
      </c>
      <c r="J6" s="227">
        <f>G26</f>
        <v>38825.219886565654</v>
      </c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 ht="15.75" customHeight="1" x14ac:dyDescent="0.45">
      <c r="A7" s="223"/>
      <c r="B7" s="220" t="s">
        <v>295</v>
      </c>
      <c r="C7" s="228">
        <f>Parameters!B60</f>
        <v>52.780497164141408</v>
      </c>
      <c r="D7" s="226">
        <f>40*C7</f>
        <v>2111.2198865656565</v>
      </c>
      <c r="E7" s="220"/>
      <c r="F7" s="220"/>
      <c r="G7" s="220"/>
      <c r="I7" s="135" t="s">
        <v>296</v>
      </c>
      <c r="J7" s="229">
        <f>J6/I3</f>
        <v>0.35295654442332414</v>
      </c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 ht="15.75" customHeight="1" x14ac:dyDescent="0.45">
      <c r="A8" s="217" t="s">
        <v>297</v>
      </c>
      <c r="B8" s="220" t="s">
        <v>298</v>
      </c>
      <c r="C8" s="221" t="b">
        <f>IF(Parameters!G29="y",TRUE,FALSE)</f>
        <v>1</v>
      </c>
      <c r="D8" s="230">
        <f>IF(C8=TRUE,100,0)</f>
        <v>100</v>
      </c>
      <c r="E8" s="231">
        <f>SUM('Energy Usage'!Q12:Q1001)</f>
        <v>9</v>
      </c>
      <c r="F8" s="231">
        <f>50*E8</f>
        <v>450</v>
      </c>
      <c r="G8" s="220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 ht="15.75" customHeight="1" x14ac:dyDescent="0.45">
      <c r="A9" s="223"/>
      <c r="B9" s="220" t="s">
        <v>299</v>
      </c>
      <c r="C9" s="221" t="b">
        <f>IF(Parameters!G30="y",TRUE,FALSE)</f>
        <v>1</v>
      </c>
      <c r="D9" s="230">
        <f>IF(C9=TRUE,110,0)</f>
        <v>110</v>
      </c>
      <c r="E9" s="231">
        <f>SUM('Energy Usage'!R12:R1001)</f>
        <v>12</v>
      </c>
      <c r="F9" s="231">
        <f>60*E9</f>
        <v>720</v>
      </c>
      <c r="G9" s="220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 ht="15.75" customHeight="1" x14ac:dyDescent="0.45">
      <c r="A10" s="223"/>
      <c r="B10" s="220" t="s">
        <v>300</v>
      </c>
      <c r="C10" s="221" t="b">
        <f>IF(Parameters!G31="y",TRUE,FALSE)</f>
        <v>1</v>
      </c>
      <c r="D10" s="230">
        <f>IF(C10=TRUE,125,0)</f>
        <v>125</v>
      </c>
      <c r="E10" s="231">
        <f>SUM('Energy Usage'!S12:S1001)</f>
        <v>12</v>
      </c>
      <c r="F10" s="231">
        <f>75*E10</f>
        <v>900</v>
      </c>
      <c r="G10" s="220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 ht="15.75" customHeight="1" x14ac:dyDescent="0.45">
      <c r="A11" s="223"/>
      <c r="B11" s="220" t="s">
        <v>301</v>
      </c>
      <c r="C11" s="221" t="b">
        <f>IF(Parameters!$B$70="Chlorine",TRUE,FALSE)</f>
        <v>0</v>
      </c>
      <c r="D11" s="222">
        <f>IF(C11=TRUE,700,0)</f>
        <v>0</v>
      </c>
      <c r="E11" s="232"/>
      <c r="F11" s="231">
        <f>100*E11</f>
        <v>0</v>
      </c>
      <c r="G11" s="220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 ht="15.75" customHeight="1" x14ac:dyDescent="0.45">
      <c r="A12" s="223"/>
      <c r="B12" s="220" t="s">
        <v>302</v>
      </c>
      <c r="C12" s="221" t="b">
        <f>IF(Parameters!$B$70="Ozone",TRUE,FALSE)</f>
        <v>1</v>
      </c>
      <c r="D12" s="222">
        <f>IF(C12=TRUE,4000,0)</f>
        <v>4000</v>
      </c>
      <c r="E12" s="232"/>
      <c r="F12" s="220"/>
      <c r="G12" s="220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 ht="15.75" customHeight="1" x14ac:dyDescent="0.45">
      <c r="A13" s="223"/>
      <c r="B13" s="220" t="s">
        <v>303</v>
      </c>
      <c r="C13" s="221">
        <f>Parameters!E29</f>
        <v>36</v>
      </c>
      <c r="D13" s="222">
        <f>IF(C13=36,500,IF(C13=40,600,IF(C13=50,850,0)))</f>
        <v>500</v>
      </c>
      <c r="E13" s="220"/>
      <c r="F13" s="220"/>
      <c r="G13" s="220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 ht="15.75" customHeight="1" x14ac:dyDescent="0.45">
      <c r="A14" s="223"/>
      <c r="B14" s="220" t="s">
        <v>304</v>
      </c>
      <c r="C14" s="233" t="str">
        <f>Parameters!B66</f>
        <v>Storage Line</v>
      </c>
      <c r="D14" s="234"/>
      <c r="E14" s="220"/>
      <c r="F14" s="220"/>
      <c r="G14" s="220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 ht="15.75" customHeight="1" x14ac:dyDescent="0.4">
      <c r="A15" s="235" t="s">
        <v>305</v>
      </c>
      <c r="B15" s="236" t="s">
        <v>305</v>
      </c>
      <c r="C15" s="237" t="str">
        <f>Parameters!B31</f>
        <v>A</v>
      </c>
      <c r="D15" s="237">
        <f>IF(C15="A",640,IF(C15="B",1250,IF(C15="C",3250)))</f>
        <v>640</v>
      </c>
      <c r="E15" s="236"/>
      <c r="F15" s="236"/>
      <c r="G15" s="236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 ht="15.75" customHeight="1" x14ac:dyDescent="0.4">
      <c r="A16" s="238"/>
      <c r="B16" s="236"/>
      <c r="C16" s="236"/>
      <c r="D16" s="236"/>
      <c r="E16" s="236"/>
      <c r="F16" s="236"/>
      <c r="G16" s="236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 ht="15.75" customHeight="1" x14ac:dyDescent="0.4">
      <c r="A17" s="238"/>
      <c r="B17" s="236"/>
      <c r="C17" s="236"/>
      <c r="D17" s="236"/>
      <c r="E17" s="236"/>
      <c r="F17" s="236"/>
      <c r="G17" s="236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 ht="15.75" customHeight="1" x14ac:dyDescent="0.45">
      <c r="A18" s="217" t="s">
        <v>306</v>
      </c>
      <c r="B18" s="220" t="s">
        <v>77</v>
      </c>
      <c r="C18" s="233" t="str">
        <f>Parameters!D36</f>
        <v>HES-260</v>
      </c>
      <c r="D18" s="222">
        <f>C19*IF($C$18=Parameters!D35,450,IF($C$18=Parameters!D34,205,IF($C$18=Parameters!D33,550,IF($C$18="None",0))))</f>
        <v>4950</v>
      </c>
      <c r="E18" s="231"/>
      <c r="F18" s="220"/>
      <c r="G18" s="220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 ht="15.75" customHeight="1" x14ac:dyDescent="0.45">
      <c r="A19" s="223"/>
      <c r="B19" s="220" t="s">
        <v>307</v>
      </c>
      <c r="C19" s="239">
        <f>Parameters!E37</f>
        <v>9</v>
      </c>
      <c r="D19" s="234"/>
      <c r="E19" s="220"/>
      <c r="F19" s="220"/>
      <c r="G19" s="220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 ht="15.75" customHeight="1" x14ac:dyDescent="0.45">
      <c r="A20" s="223"/>
      <c r="B20" s="220" t="s">
        <v>174</v>
      </c>
      <c r="C20" s="221" t="str">
        <f>Parameters!E39</f>
        <v>y</v>
      </c>
      <c r="D20" s="222">
        <f>IF(C20="y",2369,0)</f>
        <v>2369</v>
      </c>
      <c r="E20" s="220"/>
      <c r="F20" s="220"/>
      <c r="G20" s="220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 ht="15.75" customHeight="1" x14ac:dyDescent="0.45">
      <c r="A21" s="223"/>
      <c r="B21" s="220" t="s">
        <v>207</v>
      </c>
      <c r="C21" s="239">
        <f>Parameters!E38</f>
        <v>7</v>
      </c>
      <c r="D21" s="222">
        <f>IF(C21&lt;1,"You need batteries!",390*C21)</f>
        <v>2730</v>
      </c>
      <c r="E21" s="220"/>
      <c r="F21" s="220"/>
      <c r="G21" s="220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 ht="15.75" customHeight="1" x14ac:dyDescent="0.45">
      <c r="A22" s="223"/>
      <c r="B22" s="220" t="s">
        <v>308</v>
      </c>
      <c r="C22" s="240" t="b">
        <v>0</v>
      </c>
      <c r="D22" s="222">
        <f>IF(C22=TRUE,3250,0)</f>
        <v>0</v>
      </c>
      <c r="E22" s="241"/>
      <c r="F22" s="231">
        <v>0</v>
      </c>
      <c r="G22" s="220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 ht="15.75" customHeight="1" x14ac:dyDescent="0.45">
      <c r="A23" s="217" t="s">
        <v>309</v>
      </c>
      <c r="B23" s="220" t="s">
        <v>310</v>
      </c>
      <c r="C23" s="231">
        <f>'Energy Usage'!B8</f>
        <v>12</v>
      </c>
      <c r="D23" s="222">
        <f>C23*I4</f>
        <v>1080</v>
      </c>
      <c r="E23" s="242"/>
      <c r="F23" s="231"/>
      <c r="G23" s="220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 ht="15.75" customHeight="1" x14ac:dyDescent="0.45">
      <c r="A24" s="223"/>
      <c r="B24" s="220"/>
      <c r="C24" s="220"/>
      <c r="D24" s="234"/>
      <c r="E24" s="242"/>
      <c r="F24" s="220"/>
      <c r="G24" s="220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 ht="15.75" customHeight="1" x14ac:dyDescent="0.45">
      <c r="A25" s="217" t="s">
        <v>311</v>
      </c>
      <c r="B25" s="220"/>
      <c r="C25" s="220"/>
      <c r="D25" s="226">
        <f>SUM(D2:D24)</f>
        <v>36755.219886565654</v>
      </c>
      <c r="E25" s="225"/>
      <c r="F25" s="231">
        <f>SUM(F2:F24)</f>
        <v>2070</v>
      </c>
      <c r="G25" s="220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 ht="15.75" customHeight="1" x14ac:dyDescent="0.45">
      <c r="A26" s="5"/>
      <c r="B26" s="5"/>
      <c r="C26" s="5"/>
      <c r="D26" s="80"/>
      <c r="F26" s="243"/>
      <c r="G26" s="244">
        <f>D25+F25</f>
        <v>38825.219886565654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 ht="15.75" customHeight="1" x14ac:dyDescent="0.4">
      <c r="A27" s="8"/>
      <c r="B27" s="8"/>
      <c r="C27" s="8"/>
      <c r="D27" s="12"/>
      <c r="E27" s="8"/>
      <c r="F27" s="12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 ht="13.15" x14ac:dyDescent="0.4">
      <c r="A28" s="8"/>
      <c r="B28" s="8"/>
      <c r="C28" s="8"/>
      <c r="D28" s="12"/>
      <c r="E28" s="8"/>
      <c r="F28" s="12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 ht="13.15" x14ac:dyDescent="0.4">
      <c r="A29" s="8"/>
      <c r="B29" s="8"/>
      <c r="C29" s="8"/>
      <c r="D29" s="12"/>
      <c r="E29" s="8"/>
      <c r="F29" s="12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 ht="13.15" x14ac:dyDescent="0.4">
      <c r="A30" s="8"/>
      <c r="B30" s="8"/>
      <c r="C30" s="8"/>
      <c r="D30" s="12"/>
      <c r="E30" s="8"/>
      <c r="F30" s="12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 ht="13.15" x14ac:dyDescent="0.4">
      <c r="A31" s="8"/>
      <c r="B31" s="8"/>
      <c r="C31" s="8"/>
      <c r="D31" s="12"/>
      <c r="E31" s="8"/>
      <c r="F31" s="12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 ht="13.15" x14ac:dyDescent="0.4">
      <c r="A32" s="8"/>
      <c r="B32" s="8"/>
      <c r="C32" s="8"/>
      <c r="D32" s="12"/>
      <c r="E32" s="8"/>
      <c r="F32" s="12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 ht="13.15" x14ac:dyDescent="0.4">
      <c r="A33" s="8"/>
      <c r="B33" s="8"/>
      <c r="C33" s="8"/>
      <c r="D33" s="12"/>
      <c r="E33" s="8"/>
      <c r="F33" s="12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 ht="13.15" x14ac:dyDescent="0.4">
      <c r="A34" s="8"/>
      <c r="B34" s="8"/>
      <c r="C34" s="8"/>
      <c r="D34" s="12"/>
      <c r="E34" s="8"/>
      <c r="F34" s="12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 ht="13.15" x14ac:dyDescent="0.4">
      <c r="A35" s="8"/>
      <c r="B35" s="8"/>
      <c r="C35" s="8"/>
      <c r="D35" s="12"/>
      <c r="E35" s="8"/>
      <c r="F35" s="12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 ht="13.15" x14ac:dyDescent="0.4">
      <c r="A36" s="8"/>
      <c r="B36" s="8"/>
      <c r="C36" s="8"/>
      <c r="D36" s="12"/>
      <c r="E36" s="8"/>
      <c r="F36" s="12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 ht="13.15" x14ac:dyDescent="0.4">
      <c r="A37" s="8"/>
      <c r="B37" s="8"/>
      <c r="C37" s="8"/>
      <c r="D37" s="12"/>
      <c r="E37" s="8"/>
      <c r="F37" s="12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 ht="13.15" x14ac:dyDescent="0.4">
      <c r="A38" s="8"/>
      <c r="B38" s="8"/>
      <c r="C38" s="8"/>
      <c r="D38" s="12"/>
      <c r="E38" s="8"/>
      <c r="F38" s="12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 ht="13.15" x14ac:dyDescent="0.4">
      <c r="A39" s="8"/>
      <c r="B39" s="8"/>
      <c r="C39" s="8"/>
      <c r="D39" s="12"/>
      <c r="E39" s="8"/>
      <c r="F39" s="12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 ht="13.15" x14ac:dyDescent="0.4">
      <c r="A40" s="8"/>
      <c r="B40" s="8"/>
      <c r="C40" s="8"/>
      <c r="D40" s="12"/>
      <c r="E40" s="8"/>
      <c r="F40" s="12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 ht="13.15" x14ac:dyDescent="0.4">
      <c r="A41" s="8"/>
      <c r="B41" s="8"/>
      <c r="C41" s="8"/>
      <c r="D41" s="12"/>
      <c r="E41" s="8"/>
      <c r="F41" s="12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 ht="13.15" x14ac:dyDescent="0.4">
      <c r="A42" s="8"/>
      <c r="B42" s="8"/>
      <c r="C42" s="8"/>
      <c r="D42" s="12"/>
      <c r="E42" s="8"/>
      <c r="F42" s="12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 ht="13.15" x14ac:dyDescent="0.4">
      <c r="A43" s="8"/>
      <c r="B43" s="8"/>
      <c r="C43" s="8"/>
      <c r="D43" s="12"/>
      <c r="E43" s="8"/>
      <c r="F43" s="12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 ht="13.15" x14ac:dyDescent="0.4">
      <c r="A44" s="8"/>
      <c r="B44" s="8"/>
      <c r="C44" s="8"/>
      <c r="D44" s="12"/>
      <c r="E44" s="8"/>
      <c r="F44" s="12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 ht="13.15" x14ac:dyDescent="0.4">
      <c r="A45" s="8"/>
      <c r="B45" s="8"/>
      <c r="C45" s="8"/>
      <c r="D45" s="12"/>
      <c r="E45" s="8"/>
      <c r="F45" s="12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 ht="13.15" x14ac:dyDescent="0.4">
      <c r="A46" s="8"/>
      <c r="B46" s="8"/>
      <c r="C46" s="8"/>
      <c r="D46" s="12"/>
      <c r="E46" s="8"/>
      <c r="F46" s="12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 ht="13.15" x14ac:dyDescent="0.4">
      <c r="A47" s="8"/>
      <c r="B47" s="8"/>
      <c r="C47" s="8"/>
      <c r="D47" s="12"/>
      <c r="E47" s="8"/>
      <c r="F47" s="12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 ht="13.15" x14ac:dyDescent="0.4">
      <c r="A48" s="8"/>
      <c r="B48" s="8"/>
      <c r="C48" s="8"/>
      <c r="D48" s="12"/>
      <c r="E48" s="8"/>
      <c r="F48" s="12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 ht="13.15" x14ac:dyDescent="0.4">
      <c r="A49" s="8"/>
      <c r="B49" s="8"/>
      <c r="C49" s="8"/>
      <c r="D49" s="12"/>
      <c r="E49" s="8"/>
      <c r="F49" s="12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 ht="13.15" x14ac:dyDescent="0.4">
      <c r="A50" s="8"/>
      <c r="B50" s="8"/>
      <c r="C50" s="8"/>
      <c r="D50" s="12"/>
      <c r="E50" s="8"/>
      <c r="F50" s="12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 ht="13.15" x14ac:dyDescent="0.4">
      <c r="A51" s="8"/>
      <c r="B51" s="8"/>
      <c r="C51" s="8"/>
      <c r="D51" s="12"/>
      <c r="E51" s="8"/>
      <c r="F51" s="12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 ht="13.15" x14ac:dyDescent="0.4">
      <c r="A52" s="8"/>
      <c r="B52" s="8"/>
      <c r="C52" s="8"/>
      <c r="D52" s="12"/>
      <c r="E52" s="8"/>
      <c r="F52" s="12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 ht="13.15" x14ac:dyDescent="0.4">
      <c r="A53" s="8"/>
      <c r="B53" s="8"/>
      <c r="C53" s="8"/>
      <c r="D53" s="12"/>
      <c r="E53" s="8"/>
      <c r="F53" s="12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 ht="13.15" x14ac:dyDescent="0.4">
      <c r="A54" s="8"/>
      <c r="B54" s="8"/>
      <c r="C54" s="8"/>
      <c r="D54" s="12"/>
      <c r="E54" s="8"/>
      <c r="F54" s="12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 ht="13.15" x14ac:dyDescent="0.4">
      <c r="A55" s="8"/>
      <c r="B55" s="8"/>
      <c r="C55" s="8"/>
      <c r="D55" s="12"/>
      <c r="E55" s="8"/>
      <c r="F55" s="12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 ht="13.15" x14ac:dyDescent="0.4">
      <c r="A56" s="8"/>
      <c r="B56" s="8"/>
      <c r="C56" s="8"/>
      <c r="D56" s="12"/>
      <c r="E56" s="8"/>
      <c r="F56" s="12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 ht="13.15" x14ac:dyDescent="0.4">
      <c r="A57" s="8"/>
      <c r="B57" s="8"/>
      <c r="C57" s="8"/>
      <c r="D57" s="12"/>
      <c r="E57" s="8"/>
      <c r="F57" s="12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 ht="13.15" x14ac:dyDescent="0.4">
      <c r="A58" s="8"/>
      <c r="B58" s="8"/>
      <c r="C58" s="8"/>
      <c r="D58" s="12"/>
      <c r="E58" s="8"/>
      <c r="F58" s="12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 ht="13.15" x14ac:dyDescent="0.4">
      <c r="A59" s="8"/>
      <c r="B59" s="8"/>
      <c r="C59" s="8"/>
      <c r="D59" s="12"/>
      <c r="E59" s="8"/>
      <c r="F59" s="12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 ht="13.15" x14ac:dyDescent="0.4">
      <c r="A60" s="8"/>
      <c r="B60" s="8"/>
      <c r="C60" s="8"/>
      <c r="D60" s="12"/>
      <c r="E60" s="8"/>
      <c r="F60" s="12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 ht="13.15" x14ac:dyDescent="0.4">
      <c r="A61" s="8"/>
      <c r="B61" s="8"/>
      <c r="C61" s="8"/>
      <c r="D61" s="12"/>
      <c r="E61" s="8"/>
      <c r="F61" s="12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 ht="13.15" x14ac:dyDescent="0.4">
      <c r="A62" s="8"/>
      <c r="B62" s="8"/>
      <c r="C62" s="8"/>
      <c r="D62" s="12"/>
      <c r="E62" s="8"/>
      <c r="F62" s="12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 ht="13.15" x14ac:dyDescent="0.4">
      <c r="A63" s="8"/>
      <c r="B63" s="8"/>
      <c r="C63" s="8"/>
      <c r="D63" s="12"/>
      <c r="E63" s="8"/>
      <c r="F63" s="12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 ht="13.15" x14ac:dyDescent="0.4">
      <c r="A64" s="8"/>
      <c r="B64" s="8"/>
      <c r="C64" s="8"/>
      <c r="D64" s="12"/>
      <c r="E64" s="8"/>
      <c r="F64" s="12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 ht="13.15" x14ac:dyDescent="0.4">
      <c r="A65" s="8"/>
      <c r="B65" s="8"/>
      <c r="C65" s="8"/>
      <c r="D65" s="12"/>
      <c r="E65" s="8"/>
      <c r="F65" s="12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 ht="13.15" x14ac:dyDescent="0.4">
      <c r="A66" s="8"/>
      <c r="B66" s="8"/>
      <c r="C66" s="8"/>
      <c r="D66" s="12"/>
      <c r="E66" s="8"/>
      <c r="F66" s="12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 ht="13.15" x14ac:dyDescent="0.4">
      <c r="A67" s="8"/>
      <c r="B67" s="8"/>
      <c r="C67" s="8"/>
      <c r="D67" s="12"/>
      <c r="E67" s="8"/>
      <c r="F67" s="12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 ht="13.15" x14ac:dyDescent="0.4">
      <c r="A68" s="8"/>
      <c r="B68" s="8"/>
      <c r="C68" s="8"/>
      <c r="D68" s="12"/>
      <c r="E68" s="8"/>
      <c r="F68" s="12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 ht="13.15" x14ac:dyDescent="0.4">
      <c r="A69" s="8"/>
      <c r="B69" s="8"/>
      <c r="C69" s="8"/>
      <c r="D69" s="12"/>
      <c r="E69" s="8"/>
      <c r="F69" s="12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 ht="13.15" x14ac:dyDescent="0.4">
      <c r="A70" s="8"/>
      <c r="B70" s="8"/>
      <c r="C70" s="8"/>
      <c r="D70" s="12"/>
      <c r="E70" s="8"/>
      <c r="F70" s="12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 ht="13.15" x14ac:dyDescent="0.4">
      <c r="A71" s="8"/>
      <c r="B71" s="8"/>
      <c r="C71" s="8"/>
      <c r="D71" s="12"/>
      <c r="E71" s="8"/>
      <c r="F71" s="12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 ht="13.15" x14ac:dyDescent="0.4">
      <c r="A72" s="8"/>
      <c r="B72" s="8"/>
      <c r="C72" s="8"/>
      <c r="D72" s="12"/>
      <c r="E72" s="8"/>
      <c r="F72" s="12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 ht="13.15" x14ac:dyDescent="0.4">
      <c r="A73" s="8"/>
      <c r="B73" s="8"/>
      <c r="C73" s="8"/>
      <c r="D73" s="12"/>
      <c r="E73" s="8"/>
      <c r="F73" s="12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 ht="13.15" x14ac:dyDescent="0.4">
      <c r="A74" s="8"/>
      <c r="B74" s="8"/>
      <c r="C74" s="8"/>
      <c r="D74" s="12"/>
      <c r="E74" s="8"/>
      <c r="F74" s="12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 ht="13.15" x14ac:dyDescent="0.4">
      <c r="A75" s="8"/>
      <c r="B75" s="8"/>
      <c r="C75" s="8"/>
      <c r="D75" s="12"/>
      <c r="E75" s="8"/>
      <c r="F75" s="12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 ht="13.15" x14ac:dyDescent="0.4">
      <c r="A76" s="8"/>
      <c r="B76" s="8"/>
      <c r="C76" s="8"/>
      <c r="D76" s="12"/>
      <c r="E76" s="8"/>
      <c r="F76" s="12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 ht="13.15" x14ac:dyDescent="0.4">
      <c r="A77" s="8"/>
      <c r="B77" s="8"/>
      <c r="C77" s="8"/>
      <c r="D77" s="12"/>
      <c r="E77" s="8"/>
      <c r="F77" s="12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 ht="13.15" x14ac:dyDescent="0.4">
      <c r="A78" s="8"/>
      <c r="B78" s="8"/>
      <c r="C78" s="8"/>
      <c r="D78" s="12"/>
      <c r="E78" s="8"/>
      <c r="F78" s="12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 ht="13.15" x14ac:dyDescent="0.4">
      <c r="A79" s="8"/>
      <c r="B79" s="8"/>
      <c r="C79" s="8"/>
      <c r="D79" s="12"/>
      <c r="E79" s="8"/>
      <c r="F79" s="12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 ht="13.15" x14ac:dyDescent="0.4">
      <c r="A80" s="8"/>
      <c r="B80" s="8"/>
      <c r="C80" s="8"/>
      <c r="D80" s="12"/>
      <c r="E80" s="8"/>
      <c r="F80" s="12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 ht="13.15" x14ac:dyDescent="0.4">
      <c r="A81" s="8"/>
      <c r="B81" s="8"/>
      <c r="C81" s="8"/>
      <c r="D81" s="12"/>
      <c r="E81" s="8"/>
      <c r="F81" s="12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 ht="13.15" x14ac:dyDescent="0.4">
      <c r="A82" s="8"/>
      <c r="B82" s="8"/>
      <c r="C82" s="8"/>
      <c r="D82" s="12"/>
      <c r="E82" s="8"/>
      <c r="F82" s="12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 ht="13.15" x14ac:dyDescent="0.4">
      <c r="A83" s="8"/>
      <c r="B83" s="8"/>
      <c r="C83" s="8"/>
      <c r="D83" s="12"/>
      <c r="E83" s="8"/>
      <c r="F83" s="12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 ht="13.15" x14ac:dyDescent="0.4">
      <c r="A84" s="8"/>
      <c r="B84" s="8"/>
      <c r="C84" s="8"/>
      <c r="D84" s="12"/>
      <c r="E84" s="8"/>
      <c r="F84" s="12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 ht="13.15" x14ac:dyDescent="0.4">
      <c r="A85" s="8"/>
      <c r="B85" s="8"/>
      <c r="C85" s="8"/>
      <c r="D85" s="12"/>
      <c r="E85" s="8"/>
      <c r="F85" s="12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 ht="13.15" x14ac:dyDescent="0.4">
      <c r="A86" s="8"/>
      <c r="B86" s="8"/>
      <c r="C86" s="8"/>
      <c r="D86" s="12"/>
      <c r="E86" s="8"/>
      <c r="F86" s="12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 ht="13.15" x14ac:dyDescent="0.4">
      <c r="A87" s="8"/>
      <c r="B87" s="8"/>
      <c r="C87" s="8"/>
      <c r="D87" s="12"/>
      <c r="E87" s="8"/>
      <c r="F87" s="12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 ht="13.15" x14ac:dyDescent="0.4">
      <c r="A88" s="8"/>
      <c r="B88" s="8"/>
      <c r="C88" s="8"/>
      <c r="D88" s="12"/>
      <c r="E88" s="8"/>
      <c r="F88" s="12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 ht="13.15" x14ac:dyDescent="0.4">
      <c r="A89" s="8"/>
      <c r="B89" s="8"/>
      <c r="C89" s="8"/>
      <c r="D89" s="12"/>
      <c r="E89" s="8"/>
      <c r="F89" s="12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 ht="13.15" x14ac:dyDescent="0.4">
      <c r="A90" s="8"/>
      <c r="B90" s="8"/>
      <c r="C90" s="8"/>
      <c r="D90" s="12"/>
      <c r="E90" s="8"/>
      <c r="F90" s="12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 ht="13.15" x14ac:dyDescent="0.4">
      <c r="A91" s="8"/>
      <c r="B91" s="8"/>
      <c r="C91" s="8"/>
      <c r="D91" s="12"/>
      <c r="E91" s="8"/>
      <c r="F91" s="12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 ht="13.15" x14ac:dyDescent="0.4">
      <c r="A92" s="8"/>
      <c r="B92" s="8"/>
      <c r="C92" s="8"/>
      <c r="D92" s="12"/>
      <c r="E92" s="8"/>
      <c r="F92" s="12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 ht="13.15" x14ac:dyDescent="0.4">
      <c r="A93" s="8"/>
      <c r="B93" s="8"/>
      <c r="C93" s="8"/>
      <c r="D93" s="12"/>
      <c r="E93" s="8"/>
      <c r="F93" s="12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 ht="13.15" x14ac:dyDescent="0.4">
      <c r="A94" s="8"/>
      <c r="B94" s="8"/>
      <c r="C94" s="8"/>
      <c r="D94" s="12"/>
      <c r="E94" s="8"/>
      <c r="F94" s="12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 ht="13.15" x14ac:dyDescent="0.4">
      <c r="A95" s="8"/>
      <c r="B95" s="8"/>
      <c r="C95" s="8"/>
      <c r="D95" s="12"/>
      <c r="E95" s="8"/>
      <c r="F95" s="12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 ht="13.15" x14ac:dyDescent="0.4">
      <c r="A96" s="8"/>
      <c r="B96" s="8"/>
      <c r="C96" s="8"/>
      <c r="D96" s="12"/>
      <c r="E96" s="8"/>
      <c r="F96" s="12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 ht="13.15" x14ac:dyDescent="0.4">
      <c r="A97" s="8"/>
      <c r="B97" s="8"/>
      <c r="C97" s="8"/>
      <c r="D97" s="12"/>
      <c r="E97" s="8"/>
      <c r="F97" s="12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 ht="13.15" x14ac:dyDescent="0.4">
      <c r="A98" s="8"/>
      <c r="B98" s="8"/>
      <c r="C98" s="8"/>
      <c r="D98" s="12"/>
      <c r="E98" s="8"/>
      <c r="F98" s="12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 ht="13.15" x14ac:dyDescent="0.4">
      <c r="A99" s="8"/>
      <c r="B99" s="8"/>
      <c r="C99" s="8"/>
      <c r="D99" s="12"/>
      <c r="E99" s="8"/>
      <c r="F99" s="12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 ht="13.15" x14ac:dyDescent="0.4">
      <c r="A100" s="8"/>
      <c r="B100" s="8"/>
      <c r="C100" s="8"/>
      <c r="D100" s="12"/>
      <c r="E100" s="8"/>
      <c r="F100" s="12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 ht="13.15" x14ac:dyDescent="0.4">
      <c r="A101" s="8"/>
      <c r="B101" s="8"/>
      <c r="C101" s="8"/>
      <c r="D101" s="12"/>
      <c r="E101" s="8"/>
      <c r="F101" s="12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 ht="13.15" x14ac:dyDescent="0.4">
      <c r="A102" s="8"/>
      <c r="B102" s="8"/>
      <c r="C102" s="8"/>
      <c r="D102" s="12"/>
      <c r="E102" s="8"/>
      <c r="F102" s="12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 ht="13.15" x14ac:dyDescent="0.4">
      <c r="A103" s="8"/>
      <c r="B103" s="8"/>
      <c r="C103" s="8"/>
      <c r="D103" s="12"/>
      <c r="E103" s="8"/>
      <c r="F103" s="12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 ht="13.15" x14ac:dyDescent="0.4">
      <c r="A104" s="8"/>
      <c r="B104" s="8"/>
      <c r="C104" s="8"/>
      <c r="D104" s="12"/>
      <c r="E104" s="8"/>
      <c r="F104" s="12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 ht="13.15" x14ac:dyDescent="0.4">
      <c r="A105" s="8"/>
      <c r="B105" s="8"/>
      <c r="C105" s="8"/>
      <c r="D105" s="12"/>
      <c r="E105" s="8"/>
      <c r="F105" s="12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 ht="13.15" x14ac:dyDescent="0.4">
      <c r="A106" s="8"/>
      <c r="B106" s="8"/>
      <c r="C106" s="8"/>
      <c r="D106" s="12"/>
      <c r="E106" s="8"/>
      <c r="F106" s="12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spans="1:28" ht="13.15" x14ac:dyDescent="0.4">
      <c r="A107" s="8"/>
      <c r="B107" s="8"/>
      <c r="C107" s="8"/>
      <c r="D107" s="12"/>
      <c r="E107" s="8"/>
      <c r="F107" s="12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spans="1:28" ht="13.15" x14ac:dyDescent="0.4">
      <c r="A108" s="8"/>
      <c r="B108" s="8"/>
      <c r="C108" s="8"/>
      <c r="D108" s="12"/>
      <c r="E108" s="8"/>
      <c r="F108" s="12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spans="1:28" ht="13.15" x14ac:dyDescent="0.4">
      <c r="A109" s="8"/>
      <c r="B109" s="8"/>
      <c r="C109" s="8"/>
      <c r="D109" s="12"/>
      <c r="E109" s="8"/>
      <c r="F109" s="12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spans="1:28" ht="13.15" x14ac:dyDescent="0.4">
      <c r="A110" s="8"/>
      <c r="B110" s="8"/>
      <c r="C110" s="8"/>
      <c r="D110" s="12"/>
      <c r="E110" s="8"/>
      <c r="F110" s="12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spans="1:28" ht="13.15" x14ac:dyDescent="0.4">
      <c r="A111" s="8"/>
      <c r="B111" s="8"/>
      <c r="C111" s="8"/>
      <c r="D111" s="12"/>
      <c r="E111" s="8"/>
      <c r="F111" s="12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spans="1:28" ht="13.15" x14ac:dyDescent="0.4">
      <c r="A112" s="8"/>
      <c r="B112" s="8"/>
      <c r="C112" s="8"/>
      <c r="D112" s="12"/>
      <c r="E112" s="8"/>
      <c r="F112" s="12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spans="1:28" ht="13.15" x14ac:dyDescent="0.4">
      <c r="A113" s="8"/>
      <c r="B113" s="8"/>
      <c r="C113" s="8"/>
      <c r="D113" s="12"/>
      <c r="E113" s="8"/>
      <c r="F113" s="12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spans="1:28" ht="13.15" x14ac:dyDescent="0.4">
      <c r="A114" s="8"/>
      <c r="B114" s="8"/>
      <c r="C114" s="8"/>
      <c r="D114" s="12"/>
      <c r="E114" s="8"/>
      <c r="F114" s="12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spans="1:28" ht="13.15" x14ac:dyDescent="0.4">
      <c r="A115" s="8"/>
      <c r="B115" s="8"/>
      <c r="C115" s="8"/>
      <c r="D115" s="12"/>
      <c r="E115" s="8"/>
      <c r="F115" s="12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spans="1:28" ht="13.15" x14ac:dyDescent="0.4">
      <c r="A116" s="8"/>
      <c r="B116" s="8"/>
      <c r="C116" s="8"/>
      <c r="D116" s="12"/>
      <c r="E116" s="8"/>
      <c r="F116" s="12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spans="1:28" ht="13.15" x14ac:dyDescent="0.4">
      <c r="A117" s="8"/>
      <c r="B117" s="8"/>
      <c r="C117" s="8"/>
      <c r="D117" s="12"/>
      <c r="E117" s="8"/>
      <c r="F117" s="12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spans="1:28" ht="13.15" x14ac:dyDescent="0.4">
      <c r="A118" s="8"/>
      <c r="B118" s="8"/>
      <c r="C118" s="8"/>
      <c r="D118" s="12"/>
      <c r="E118" s="8"/>
      <c r="F118" s="12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spans="1:28" ht="13.15" x14ac:dyDescent="0.4">
      <c r="A119" s="8"/>
      <c r="B119" s="8"/>
      <c r="C119" s="8"/>
      <c r="D119" s="12"/>
      <c r="E119" s="8"/>
      <c r="F119" s="12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spans="1:28" ht="13.15" x14ac:dyDescent="0.4">
      <c r="A120" s="8"/>
      <c r="B120" s="8"/>
      <c r="C120" s="8"/>
      <c r="D120" s="12"/>
      <c r="E120" s="8"/>
      <c r="F120" s="12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spans="1:28" ht="13.15" x14ac:dyDescent="0.4">
      <c r="A121" s="8"/>
      <c r="B121" s="8"/>
      <c r="C121" s="8"/>
      <c r="D121" s="12"/>
      <c r="E121" s="8"/>
      <c r="F121" s="12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spans="1:28" ht="13.15" x14ac:dyDescent="0.4">
      <c r="A122" s="8"/>
      <c r="B122" s="8"/>
      <c r="C122" s="8"/>
      <c r="D122" s="12"/>
      <c r="E122" s="8"/>
      <c r="F122" s="12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spans="1:28" ht="13.15" x14ac:dyDescent="0.4">
      <c r="A123" s="8"/>
      <c r="B123" s="8"/>
      <c r="C123" s="8"/>
      <c r="D123" s="12"/>
      <c r="E123" s="8"/>
      <c r="F123" s="12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spans="1:28" ht="13.15" x14ac:dyDescent="0.4">
      <c r="A124" s="8"/>
      <c r="B124" s="8"/>
      <c r="C124" s="8"/>
      <c r="D124" s="12"/>
      <c r="E124" s="8"/>
      <c r="F124" s="12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spans="1:28" ht="13.15" x14ac:dyDescent="0.4">
      <c r="A125" s="8"/>
      <c r="B125" s="8"/>
      <c r="C125" s="8"/>
      <c r="D125" s="12"/>
      <c r="E125" s="8"/>
      <c r="F125" s="12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spans="1:28" ht="13.15" x14ac:dyDescent="0.4">
      <c r="A126" s="8"/>
      <c r="B126" s="8"/>
      <c r="C126" s="8"/>
      <c r="D126" s="12"/>
      <c r="E126" s="8"/>
      <c r="F126" s="12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spans="1:28" ht="13.15" x14ac:dyDescent="0.4">
      <c r="A127" s="8"/>
      <c r="B127" s="8"/>
      <c r="C127" s="8"/>
      <c r="D127" s="12"/>
      <c r="E127" s="8"/>
      <c r="F127" s="12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spans="1:28" ht="13.15" x14ac:dyDescent="0.4">
      <c r="A128" s="8"/>
      <c r="B128" s="8"/>
      <c r="C128" s="8"/>
      <c r="D128" s="12"/>
      <c r="E128" s="8"/>
      <c r="F128" s="12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spans="1:28" ht="13.15" x14ac:dyDescent="0.4">
      <c r="A129" s="8"/>
      <c r="B129" s="8"/>
      <c r="C129" s="8"/>
      <c r="D129" s="12"/>
      <c r="E129" s="8"/>
      <c r="F129" s="12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spans="1:28" ht="13.15" x14ac:dyDescent="0.4">
      <c r="A130" s="8"/>
      <c r="B130" s="8"/>
      <c r="C130" s="8"/>
      <c r="D130" s="12"/>
      <c r="E130" s="8"/>
      <c r="F130" s="12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spans="1:28" ht="13.15" x14ac:dyDescent="0.4">
      <c r="A131" s="8"/>
      <c r="B131" s="8"/>
      <c r="C131" s="8"/>
      <c r="D131" s="12"/>
      <c r="E131" s="8"/>
      <c r="F131" s="12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spans="1:28" ht="13.15" x14ac:dyDescent="0.4">
      <c r="A132" s="8"/>
      <c r="B132" s="8"/>
      <c r="C132" s="8"/>
      <c r="D132" s="12"/>
      <c r="E132" s="8"/>
      <c r="F132" s="12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spans="1:28" ht="13.15" x14ac:dyDescent="0.4">
      <c r="A133" s="8"/>
      <c r="B133" s="8"/>
      <c r="C133" s="8"/>
      <c r="D133" s="12"/>
      <c r="E133" s="8"/>
      <c r="F133" s="12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spans="1:28" ht="13.15" x14ac:dyDescent="0.4">
      <c r="A134" s="8"/>
      <c r="B134" s="8"/>
      <c r="C134" s="8"/>
      <c r="D134" s="12"/>
      <c r="E134" s="8"/>
      <c r="F134" s="12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spans="1:28" ht="13.15" x14ac:dyDescent="0.4">
      <c r="A135" s="8"/>
      <c r="B135" s="8"/>
      <c r="C135" s="8"/>
      <c r="D135" s="12"/>
      <c r="E135" s="8"/>
      <c r="F135" s="12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spans="1:28" ht="13.15" x14ac:dyDescent="0.4">
      <c r="A136" s="8"/>
      <c r="B136" s="8"/>
      <c r="C136" s="8"/>
      <c r="D136" s="12"/>
      <c r="E136" s="8"/>
      <c r="F136" s="12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spans="1:28" ht="13.15" x14ac:dyDescent="0.4">
      <c r="A137" s="8"/>
      <c r="B137" s="8"/>
      <c r="C137" s="8"/>
      <c r="D137" s="12"/>
      <c r="E137" s="8"/>
      <c r="F137" s="12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spans="1:28" ht="13.15" x14ac:dyDescent="0.4">
      <c r="A138" s="8"/>
      <c r="B138" s="8"/>
      <c r="C138" s="8"/>
      <c r="D138" s="12"/>
      <c r="E138" s="8"/>
      <c r="F138" s="12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pans="1:28" ht="13.15" x14ac:dyDescent="0.4">
      <c r="A139" s="8"/>
      <c r="B139" s="8"/>
      <c r="C139" s="8"/>
      <c r="D139" s="12"/>
      <c r="E139" s="8"/>
      <c r="F139" s="12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spans="1:28" ht="13.15" x14ac:dyDescent="0.4">
      <c r="A140" s="8"/>
      <c r="B140" s="8"/>
      <c r="C140" s="8"/>
      <c r="D140" s="12"/>
      <c r="E140" s="8"/>
      <c r="F140" s="12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spans="1:28" ht="13.15" x14ac:dyDescent="0.4">
      <c r="A141" s="8"/>
      <c r="B141" s="8"/>
      <c r="C141" s="8"/>
      <c r="D141" s="12"/>
      <c r="E141" s="8"/>
      <c r="F141" s="12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spans="1:28" ht="13.15" x14ac:dyDescent="0.4">
      <c r="A142" s="8"/>
      <c r="B142" s="8"/>
      <c r="C142" s="8"/>
      <c r="D142" s="12"/>
      <c r="E142" s="8"/>
      <c r="F142" s="12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spans="1:28" ht="13.15" x14ac:dyDescent="0.4">
      <c r="A143" s="8"/>
      <c r="B143" s="8"/>
      <c r="C143" s="8"/>
      <c r="D143" s="12"/>
      <c r="E143" s="8"/>
      <c r="F143" s="12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spans="1:28" ht="13.15" x14ac:dyDescent="0.4">
      <c r="A144" s="8"/>
      <c r="B144" s="8"/>
      <c r="C144" s="8"/>
      <c r="D144" s="12"/>
      <c r="E144" s="8"/>
      <c r="F144" s="12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spans="1:28" ht="13.15" x14ac:dyDescent="0.4">
      <c r="A145" s="8"/>
      <c r="B145" s="8"/>
      <c r="C145" s="8"/>
      <c r="D145" s="12"/>
      <c r="E145" s="8"/>
      <c r="F145" s="12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spans="1:28" ht="13.15" x14ac:dyDescent="0.4">
      <c r="A146" s="8"/>
      <c r="B146" s="8"/>
      <c r="C146" s="8"/>
      <c r="D146" s="12"/>
      <c r="E146" s="8"/>
      <c r="F146" s="12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spans="1:28" ht="13.15" x14ac:dyDescent="0.4">
      <c r="A147" s="8"/>
      <c r="B147" s="8"/>
      <c r="C147" s="8"/>
      <c r="D147" s="12"/>
      <c r="E147" s="8"/>
      <c r="F147" s="12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spans="1:28" ht="13.15" x14ac:dyDescent="0.4">
      <c r="A148" s="8"/>
      <c r="B148" s="8"/>
      <c r="C148" s="8"/>
      <c r="D148" s="12"/>
      <c r="E148" s="8"/>
      <c r="F148" s="12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spans="1:28" ht="13.15" x14ac:dyDescent="0.4">
      <c r="A149" s="8"/>
      <c r="B149" s="8"/>
      <c r="C149" s="8"/>
      <c r="D149" s="12"/>
      <c r="E149" s="8"/>
      <c r="F149" s="12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spans="1:28" ht="13.15" x14ac:dyDescent="0.4">
      <c r="A150" s="8"/>
      <c r="B150" s="8"/>
      <c r="C150" s="8"/>
      <c r="D150" s="12"/>
      <c r="E150" s="8"/>
      <c r="F150" s="12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spans="1:28" ht="13.15" x14ac:dyDescent="0.4">
      <c r="A151" s="8"/>
      <c r="B151" s="8"/>
      <c r="C151" s="8"/>
      <c r="D151" s="12"/>
      <c r="E151" s="8"/>
      <c r="F151" s="12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spans="1:28" ht="13.15" x14ac:dyDescent="0.4">
      <c r="A152" s="8"/>
      <c r="B152" s="8"/>
      <c r="C152" s="8"/>
      <c r="D152" s="12"/>
      <c r="E152" s="8"/>
      <c r="F152" s="12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spans="1:28" ht="13.15" x14ac:dyDescent="0.4">
      <c r="A153" s="8"/>
      <c r="B153" s="8"/>
      <c r="C153" s="8"/>
      <c r="D153" s="12"/>
      <c r="E153" s="8"/>
      <c r="F153" s="12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spans="1:28" ht="13.15" x14ac:dyDescent="0.4">
      <c r="A154" s="8"/>
      <c r="B154" s="8"/>
      <c r="C154" s="8"/>
      <c r="D154" s="12"/>
      <c r="E154" s="8"/>
      <c r="F154" s="12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spans="1:28" ht="13.15" x14ac:dyDescent="0.4">
      <c r="A155" s="8"/>
      <c r="B155" s="8"/>
      <c r="C155" s="8"/>
      <c r="D155" s="12"/>
      <c r="E155" s="8"/>
      <c r="F155" s="12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spans="1:28" ht="13.15" x14ac:dyDescent="0.4">
      <c r="A156" s="8"/>
      <c r="B156" s="8"/>
      <c r="C156" s="8"/>
      <c r="D156" s="12"/>
      <c r="E156" s="8"/>
      <c r="F156" s="12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spans="1:28" ht="13.15" x14ac:dyDescent="0.4">
      <c r="A157" s="8"/>
      <c r="B157" s="8"/>
      <c r="C157" s="8"/>
      <c r="D157" s="12"/>
      <c r="E157" s="8"/>
      <c r="F157" s="12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spans="1:28" ht="13.15" x14ac:dyDescent="0.4">
      <c r="A158" s="8"/>
      <c r="B158" s="8"/>
      <c r="C158" s="8"/>
      <c r="D158" s="12"/>
      <c r="E158" s="8"/>
      <c r="F158" s="12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spans="1:28" ht="13.15" x14ac:dyDescent="0.4">
      <c r="A159" s="8"/>
      <c r="B159" s="8"/>
      <c r="C159" s="8"/>
      <c r="D159" s="12"/>
      <c r="E159" s="8"/>
      <c r="F159" s="12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spans="1:28" ht="13.15" x14ac:dyDescent="0.4">
      <c r="A160" s="8"/>
      <c r="B160" s="8"/>
      <c r="C160" s="8"/>
      <c r="D160" s="12"/>
      <c r="E160" s="8"/>
      <c r="F160" s="12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spans="1:28" ht="13.15" x14ac:dyDescent="0.4">
      <c r="A161" s="8"/>
      <c r="B161" s="8"/>
      <c r="C161" s="8"/>
      <c r="D161" s="12"/>
      <c r="E161" s="8"/>
      <c r="F161" s="12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spans="1:28" ht="13.15" x14ac:dyDescent="0.4">
      <c r="A162" s="8"/>
      <c r="B162" s="8"/>
      <c r="C162" s="8"/>
      <c r="D162" s="12"/>
      <c r="E162" s="8"/>
      <c r="F162" s="12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spans="1:28" ht="13.15" x14ac:dyDescent="0.4">
      <c r="A163" s="8"/>
      <c r="B163" s="8"/>
      <c r="C163" s="8"/>
      <c r="D163" s="12"/>
      <c r="E163" s="8"/>
      <c r="F163" s="12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spans="1:28" ht="13.15" x14ac:dyDescent="0.4">
      <c r="A164" s="8"/>
      <c r="B164" s="8"/>
      <c r="C164" s="8"/>
      <c r="D164" s="12"/>
      <c r="E164" s="8"/>
      <c r="F164" s="12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spans="1:28" ht="13.15" x14ac:dyDescent="0.4">
      <c r="A165" s="8"/>
      <c r="B165" s="8"/>
      <c r="C165" s="8"/>
      <c r="D165" s="12"/>
      <c r="E165" s="8"/>
      <c r="F165" s="12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spans="1:28" ht="13.15" x14ac:dyDescent="0.4">
      <c r="A166" s="8"/>
      <c r="B166" s="8"/>
      <c r="C166" s="8"/>
      <c r="D166" s="12"/>
      <c r="E166" s="8"/>
      <c r="F166" s="12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spans="1:28" ht="13.15" x14ac:dyDescent="0.4">
      <c r="A167" s="8"/>
      <c r="B167" s="8"/>
      <c r="C167" s="8"/>
      <c r="D167" s="12"/>
      <c r="E167" s="8"/>
      <c r="F167" s="12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spans="1:28" ht="13.15" x14ac:dyDescent="0.4">
      <c r="A168" s="8"/>
      <c r="B168" s="8"/>
      <c r="C168" s="8"/>
      <c r="D168" s="12"/>
      <c r="E168" s="8"/>
      <c r="F168" s="12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spans="1:28" ht="13.15" x14ac:dyDescent="0.4">
      <c r="A169" s="8"/>
      <c r="B169" s="8"/>
      <c r="C169" s="8"/>
      <c r="D169" s="12"/>
      <c r="E169" s="8"/>
      <c r="F169" s="12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spans="1:28" ht="13.15" x14ac:dyDescent="0.4">
      <c r="A170" s="8"/>
      <c r="B170" s="8"/>
      <c r="C170" s="8"/>
      <c r="D170" s="12"/>
      <c r="E170" s="8"/>
      <c r="F170" s="12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spans="1:28" ht="13.15" x14ac:dyDescent="0.4">
      <c r="A171" s="8"/>
      <c r="B171" s="8"/>
      <c r="C171" s="8"/>
      <c r="D171" s="12"/>
      <c r="E171" s="8"/>
      <c r="F171" s="12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spans="1:28" ht="13.15" x14ac:dyDescent="0.4">
      <c r="A172" s="8"/>
      <c r="B172" s="8"/>
      <c r="C172" s="8"/>
      <c r="D172" s="12"/>
      <c r="E172" s="8"/>
      <c r="F172" s="12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spans="1:28" ht="13.15" x14ac:dyDescent="0.4">
      <c r="A173" s="8"/>
      <c r="B173" s="8"/>
      <c r="C173" s="8"/>
      <c r="D173" s="12"/>
      <c r="E173" s="8"/>
      <c r="F173" s="12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spans="1:28" ht="13.15" x14ac:dyDescent="0.4">
      <c r="A174" s="8"/>
      <c r="B174" s="8"/>
      <c r="C174" s="8"/>
      <c r="D174" s="12"/>
      <c r="E174" s="8"/>
      <c r="F174" s="12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spans="1:28" ht="13.15" x14ac:dyDescent="0.4">
      <c r="A175" s="8"/>
      <c r="B175" s="8"/>
      <c r="C175" s="8"/>
      <c r="D175" s="12"/>
      <c r="E175" s="8"/>
      <c r="F175" s="12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spans="1:28" ht="13.15" x14ac:dyDescent="0.4">
      <c r="A176" s="8"/>
      <c r="B176" s="8"/>
      <c r="C176" s="8"/>
      <c r="D176" s="12"/>
      <c r="E176" s="8"/>
      <c r="F176" s="12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spans="1:28" ht="13.15" x14ac:dyDescent="0.4">
      <c r="A177" s="8"/>
      <c r="B177" s="8"/>
      <c r="C177" s="8"/>
      <c r="D177" s="12"/>
      <c r="E177" s="8"/>
      <c r="F177" s="12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spans="1:28" ht="13.15" x14ac:dyDescent="0.4">
      <c r="A178" s="8"/>
      <c r="B178" s="8"/>
      <c r="C178" s="8"/>
      <c r="D178" s="12"/>
      <c r="E178" s="8"/>
      <c r="F178" s="12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spans="1:28" ht="13.15" x14ac:dyDescent="0.4">
      <c r="A179" s="8"/>
      <c r="B179" s="8"/>
      <c r="C179" s="8"/>
      <c r="D179" s="12"/>
      <c r="E179" s="8"/>
      <c r="F179" s="12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spans="1:28" ht="13.15" x14ac:dyDescent="0.4">
      <c r="A180" s="8"/>
      <c r="B180" s="8"/>
      <c r="C180" s="8"/>
      <c r="D180" s="12"/>
      <c r="E180" s="8"/>
      <c r="F180" s="12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spans="1:28" ht="13.15" x14ac:dyDescent="0.4">
      <c r="A181" s="8"/>
      <c r="B181" s="8"/>
      <c r="C181" s="8"/>
      <c r="D181" s="12"/>
      <c r="E181" s="8"/>
      <c r="F181" s="12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spans="1:28" ht="13.15" x14ac:dyDescent="0.4">
      <c r="A182" s="8"/>
      <c r="B182" s="8"/>
      <c r="C182" s="8"/>
      <c r="D182" s="12"/>
      <c r="E182" s="8"/>
      <c r="F182" s="12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spans="1:28" ht="13.15" x14ac:dyDescent="0.4">
      <c r="A183" s="8"/>
      <c r="B183" s="8"/>
      <c r="C183" s="8"/>
      <c r="D183" s="12"/>
      <c r="E183" s="8"/>
      <c r="F183" s="12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spans="1:28" ht="13.15" x14ac:dyDescent="0.4">
      <c r="A184" s="8"/>
      <c r="B184" s="8"/>
      <c r="C184" s="8"/>
      <c r="D184" s="12"/>
      <c r="E184" s="8"/>
      <c r="F184" s="12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spans="1:28" ht="13.15" x14ac:dyDescent="0.4">
      <c r="A185" s="8"/>
      <c r="B185" s="8"/>
      <c r="C185" s="8"/>
      <c r="D185" s="12"/>
      <c r="E185" s="8"/>
      <c r="F185" s="12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spans="1:28" ht="13.15" x14ac:dyDescent="0.4">
      <c r="A186" s="8"/>
      <c r="B186" s="8"/>
      <c r="C186" s="8"/>
      <c r="D186" s="12"/>
      <c r="E186" s="8"/>
      <c r="F186" s="12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spans="1:28" ht="13.15" x14ac:dyDescent="0.4">
      <c r="A187" s="8"/>
      <c r="B187" s="8"/>
      <c r="C187" s="8"/>
      <c r="D187" s="12"/>
      <c r="E187" s="8"/>
      <c r="F187" s="12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spans="1:28" ht="13.15" x14ac:dyDescent="0.4">
      <c r="A188" s="8"/>
      <c r="B188" s="8"/>
      <c r="C188" s="8"/>
      <c r="D188" s="12"/>
      <c r="E188" s="8"/>
      <c r="F188" s="12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spans="1:28" ht="13.15" x14ac:dyDescent="0.4">
      <c r="A189" s="8"/>
      <c r="B189" s="8"/>
      <c r="C189" s="8"/>
      <c r="D189" s="12"/>
      <c r="E189" s="8"/>
      <c r="F189" s="12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spans="1:28" ht="13.15" x14ac:dyDescent="0.4">
      <c r="A190" s="8"/>
      <c r="B190" s="8"/>
      <c r="C190" s="8"/>
      <c r="D190" s="12"/>
      <c r="E190" s="8"/>
      <c r="F190" s="12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spans="1:28" ht="13.15" x14ac:dyDescent="0.4">
      <c r="A191" s="8"/>
      <c r="B191" s="8"/>
      <c r="C191" s="8"/>
      <c r="D191" s="12"/>
      <c r="E191" s="8"/>
      <c r="F191" s="12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spans="1:28" ht="13.15" x14ac:dyDescent="0.4">
      <c r="A192" s="8"/>
      <c r="B192" s="8"/>
      <c r="C192" s="8"/>
      <c r="D192" s="12"/>
      <c r="E192" s="8"/>
      <c r="F192" s="12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spans="1:28" ht="13.15" x14ac:dyDescent="0.4">
      <c r="A193" s="8"/>
      <c r="B193" s="8"/>
      <c r="C193" s="8"/>
      <c r="D193" s="12"/>
      <c r="E193" s="8"/>
      <c r="F193" s="12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spans="1:28" ht="13.15" x14ac:dyDescent="0.4">
      <c r="A194" s="8"/>
      <c r="B194" s="8"/>
      <c r="C194" s="8"/>
      <c r="D194" s="12"/>
      <c r="E194" s="8"/>
      <c r="F194" s="12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spans="1:28" ht="13.15" x14ac:dyDescent="0.4">
      <c r="A195" s="8"/>
      <c r="B195" s="8"/>
      <c r="C195" s="8"/>
      <c r="D195" s="12"/>
      <c r="E195" s="8"/>
      <c r="F195" s="12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spans="1:28" ht="13.15" x14ac:dyDescent="0.4">
      <c r="A196" s="8"/>
      <c r="B196" s="8"/>
      <c r="C196" s="8"/>
      <c r="D196" s="12"/>
      <c r="E196" s="8"/>
      <c r="F196" s="12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spans="1:28" ht="13.15" x14ac:dyDescent="0.4">
      <c r="A197" s="8"/>
      <c r="B197" s="8"/>
      <c r="C197" s="8"/>
      <c r="D197" s="12"/>
      <c r="E197" s="8"/>
      <c r="F197" s="12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spans="1:28" ht="13.15" x14ac:dyDescent="0.4">
      <c r="A198" s="8"/>
      <c r="B198" s="8"/>
      <c r="C198" s="8"/>
      <c r="D198" s="12"/>
      <c r="E198" s="8"/>
      <c r="F198" s="12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spans="1:28" ht="13.15" x14ac:dyDescent="0.4">
      <c r="A199" s="8"/>
      <c r="B199" s="8"/>
      <c r="C199" s="8"/>
      <c r="D199" s="12"/>
      <c r="E199" s="8"/>
      <c r="F199" s="12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spans="1:28" ht="13.15" x14ac:dyDescent="0.4">
      <c r="A200" s="8"/>
      <c r="B200" s="8"/>
      <c r="C200" s="8"/>
      <c r="D200" s="12"/>
      <c r="E200" s="8"/>
      <c r="F200" s="12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spans="1:28" ht="13.15" x14ac:dyDescent="0.4">
      <c r="A201" s="8"/>
      <c r="B201" s="8"/>
      <c r="C201" s="8"/>
      <c r="D201" s="12"/>
      <c r="E201" s="8"/>
      <c r="F201" s="12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spans="1:28" ht="13.15" x14ac:dyDescent="0.4">
      <c r="A202" s="8"/>
      <c r="B202" s="8"/>
      <c r="C202" s="8"/>
      <c r="D202" s="12"/>
      <c r="E202" s="8"/>
      <c r="F202" s="12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spans="1:28" ht="13.15" x14ac:dyDescent="0.4">
      <c r="A203" s="8"/>
      <c r="B203" s="8"/>
      <c r="C203" s="8"/>
      <c r="D203" s="12"/>
      <c r="E203" s="8"/>
      <c r="F203" s="12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spans="1:28" ht="13.15" x14ac:dyDescent="0.4">
      <c r="A204" s="8"/>
      <c r="B204" s="8"/>
      <c r="C204" s="8"/>
      <c r="D204" s="12"/>
      <c r="E204" s="8"/>
      <c r="F204" s="12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spans="1:28" ht="13.15" x14ac:dyDescent="0.4">
      <c r="A205" s="8"/>
      <c r="B205" s="8"/>
      <c r="C205" s="8"/>
      <c r="D205" s="12"/>
      <c r="E205" s="8"/>
      <c r="F205" s="12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spans="1:28" ht="13.15" x14ac:dyDescent="0.4">
      <c r="A206" s="8"/>
      <c r="B206" s="8"/>
      <c r="C206" s="8"/>
      <c r="D206" s="12"/>
      <c r="E206" s="8"/>
      <c r="F206" s="12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spans="1:28" ht="13.15" x14ac:dyDescent="0.4">
      <c r="A207" s="8"/>
      <c r="B207" s="8"/>
      <c r="C207" s="8"/>
      <c r="D207" s="12"/>
      <c r="E207" s="8"/>
      <c r="F207" s="12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spans="1:28" ht="13.15" x14ac:dyDescent="0.4">
      <c r="A208" s="8"/>
      <c r="B208" s="8"/>
      <c r="C208" s="8"/>
      <c r="D208" s="12"/>
      <c r="E208" s="8"/>
      <c r="F208" s="12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spans="1:28" ht="13.15" x14ac:dyDescent="0.4">
      <c r="A209" s="8"/>
      <c r="B209" s="8"/>
      <c r="C209" s="8"/>
      <c r="D209" s="12"/>
      <c r="E209" s="8"/>
      <c r="F209" s="12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spans="1:28" ht="13.15" x14ac:dyDescent="0.4">
      <c r="A210" s="8"/>
      <c r="B210" s="8"/>
      <c r="C210" s="8"/>
      <c r="D210" s="12"/>
      <c r="E210" s="8"/>
      <c r="F210" s="12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spans="1:28" ht="13.15" x14ac:dyDescent="0.4">
      <c r="A211" s="8"/>
      <c r="B211" s="8"/>
      <c r="C211" s="8"/>
      <c r="D211" s="12"/>
      <c r="E211" s="8"/>
      <c r="F211" s="12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spans="1:28" ht="13.15" x14ac:dyDescent="0.4">
      <c r="A212" s="8"/>
      <c r="B212" s="8"/>
      <c r="C212" s="8"/>
      <c r="D212" s="12"/>
      <c r="E212" s="8"/>
      <c r="F212" s="12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spans="1:28" ht="13.15" x14ac:dyDescent="0.4">
      <c r="A213" s="8"/>
      <c r="B213" s="8"/>
      <c r="C213" s="8"/>
      <c r="D213" s="12"/>
      <c r="E213" s="8"/>
      <c r="F213" s="12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spans="1:28" ht="13.15" x14ac:dyDescent="0.4">
      <c r="A214" s="8"/>
      <c r="B214" s="8"/>
      <c r="C214" s="8"/>
      <c r="D214" s="12"/>
      <c r="E214" s="8"/>
      <c r="F214" s="12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spans="1:28" ht="13.15" x14ac:dyDescent="0.4">
      <c r="A215" s="8"/>
      <c r="B215" s="8"/>
      <c r="C215" s="8"/>
      <c r="D215" s="12"/>
      <c r="E215" s="8"/>
      <c r="F215" s="12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spans="1:28" ht="13.15" x14ac:dyDescent="0.4">
      <c r="A216" s="8"/>
      <c r="B216" s="8"/>
      <c r="C216" s="8"/>
      <c r="D216" s="12"/>
      <c r="E216" s="8"/>
      <c r="F216" s="12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spans="1:28" ht="13.15" x14ac:dyDescent="0.4">
      <c r="A217" s="8"/>
      <c r="B217" s="8"/>
      <c r="C217" s="8"/>
      <c r="D217" s="12"/>
      <c r="E217" s="8"/>
      <c r="F217" s="12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spans="1:28" ht="13.15" x14ac:dyDescent="0.4">
      <c r="A218" s="8"/>
      <c r="B218" s="8"/>
      <c r="C218" s="8"/>
      <c r="D218" s="12"/>
      <c r="E218" s="8"/>
      <c r="F218" s="12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spans="1:28" ht="13.15" x14ac:dyDescent="0.4">
      <c r="A219" s="8"/>
      <c r="B219" s="8"/>
      <c r="C219" s="8"/>
      <c r="D219" s="12"/>
      <c r="E219" s="8"/>
      <c r="F219" s="12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spans="1:28" ht="13.15" x14ac:dyDescent="0.4">
      <c r="A220" s="8"/>
      <c r="B220" s="8"/>
      <c r="C220" s="8"/>
      <c r="D220" s="12"/>
      <c r="E220" s="8"/>
      <c r="F220" s="12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spans="1:28" ht="13.15" x14ac:dyDescent="0.4">
      <c r="A221" s="8"/>
      <c r="B221" s="8"/>
      <c r="C221" s="8"/>
      <c r="D221" s="12"/>
      <c r="E221" s="8"/>
      <c r="F221" s="12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spans="1:28" ht="13.15" x14ac:dyDescent="0.4">
      <c r="A222" s="8"/>
      <c r="B222" s="8"/>
      <c r="C222" s="8"/>
      <c r="D222" s="12"/>
      <c r="E222" s="8"/>
      <c r="F222" s="12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spans="1:28" ht="13.15" x14ac:dyDescent="0.4">
      <c r="A223" s="8"/>
      <c r="B223" s="8"/>
      <c r="C223" s="8"/>
      <c r="D223" s="12"/>
      <c r="E223" s="8"/>
      <c r="F223" s="12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spans="1:28" ht="13.15" x14ac:dyDescent="0.4">
      <c r="A224" s="8"/>
      <c r="B224" s="8"/>
      <c r="C224" s="8"/>
      <c r="D224" s="12"/>
      <c r="E224" s="8"/>
      <c r="F224" s="12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spans="1:28" ht="13.15" x14ac:dyDescent="0.4">
      <c r="A225" s="8"/>
      <c r="B225" s="8"/>
      <c r="C225" s="8"/>
      <c r="D225" s="12"/>
      <c r="E225" s="8"/>
      <c r="F225" s="12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spans="1:28" ht="13.15" x14ac:dyDescent="0.4">
      <c r="A226" s="8"/>
      <c r="B226" s="8"/>
      <c r="C226" s="8"/>
      <c r="D226" s="12"/>
      <c r="E226" s="8"/>
      <c r="F226" s="12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spans="1:28" ht="13.15" x14ac:dyDescent="0.4">
      <c r="A227" s="8"/>
      <c r="B227" s="8"/>
      <c r="C227" s="8"/>
      <c r="D227" s="12"/>
      <c r="E227" s="8"/>
      <c r="F227" s="12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spans="1:28" ht="13.15" x14ac:dyDescent="0.4">
      <c r="A228" s="8"/>
      <c r="B228" s="8"/>
      <c r="C228" s="8"/>
      <c r="D228" s="12"/>
      <c r="E228" s="8"/>
      <c r="F228" s="12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spans="1:28" ht="13.15" x14ac:dyDescent="0.4">
      <c r="A229" s="8"/>
      <c r="B229" s="8"/>
      <c r="C229" s="8"/>
      <c r="D229" s="12"/>
      <c r="E229" s="8"/>
      <c r="F229" s="12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spans="1:28" ht="13.15" x14ac:dyDescent="0.4">
      <c r="A230" s="8"/>
      <c r="B230" s="8"/>
      <c r="C230" s="8"/>
      <c r="D230" s="12"/>
      <c r="E230" s="8"/>
      <c r="F230" s="12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spans="1:28" ht="13.15" x14ac:dyDescent="0.4">
      <c r="A231" s="8"/>
      <c r="B231" s="8"/>
      <c r="C231" s="8"/>
      <c r="D231" s="12"/>
      <c r="E231" s="8"/>
      <c r="F231" s="12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spans="1:28" ht="13.15" x14ac:dyDescent="0.4">
      <c r="A232" s="8"/>
      <c r="B232" s="8"/>
      <c r="C232" s="8"/>
      <c r="D232" s="12"/>
      <c r="E232" s="8"/>
      <c r="F232" s="12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spans="1:28" ht="13.15" x14ac:dyDescent="0.4">
      <c r="A233" s="8"/>
      <c r="B233" s="8"/>
      <c r="C233" s="8"/>
      <c r="D233" s="12"/>
      <c r="E233" s="8"/>
      <c r="F233" s="12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spans="1:28" ht="13.15" x14ac:dyDescent="0.4">
      <c r="A234" s="8"/>
      <c r="B234" s="8"/>
      <c r="C234" s="8"/>
      <c r="D234" s="12"/>
      <c r="E234" s="8"/>
      <c r="F234" s="12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spans="1:28" ht="13.15" x14ac:dyDescent="0.4">
      <c r="A235" s="8"/>
      <c r="B235" s="8"/>
      <c r="C235" s="8"/>
      <c r="D235" s="12"/>
      <c r="E235" s="8"/>
      <c r="F235" s="12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spans="1:28" ht="13.15" x14ac:dyDescent="0.4">
      <c r="A236" s="8"/>
      <c r="B236" s="8"/>
      <c r="C236" s="8"/>
      <c r="D236" s="12"/>
      <c r="E236" s="8"/>
      <c r="F236" s="12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spans="1:28" ht="13.15" x14ac:dyDescent="0.4">
      <c r="A237" s="8"/>
      <c r="B237" s="8"/>
      <c r="C237" s="8"/>
      <c r="D237" s="12"/>
      <c r="E237" s="8"/>
      <c r="F237" s="12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spans="1:28" ht="13.15" x14ac:dyDescent="0.4">
      <c r="A238" s="8"/>
      <c r="B238" s="8"/>
      <c r="C238" s="8"/>
      <c r="D238" s="12"/>
      <c r="E238" s="8"/>
      <c r="F238" s="12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spans="1:28" ht="13.15" x14ac:dyDescent="0.4">
      <c r="A239" s="8"/>
      <c r="B239" s="8"/>
      <c r="C239" s="8"/>
      <c r="D239" s="12"/>
      <c r="E239" s="8"/>
      <c r="F239" s="12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spans="1:28" ht="13.15" x14ac:dyDescent="0.4">
      <c r="A240" s="8"/>
      <c r="B240" s="8"/>
      <c r="C240" s="8"/>
      <c r="D240" s="12"/>
      <c r="E240" s="8"/>
      <c r="F240" s="12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spans="1:28" ht="13.15" x14ac:dyDescent="0.4">
      <c r="A241" s="8"/>
      <c r="B241" s="8"/>
      <c r="C241" s="8"/>
      <c r="D241" s="12"/>
      <c r="E241" s="8"/>
      <c r="F241" s="12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spans="1:28" ht="13.15" x14ac:dyDescent="0.4">
      <c r="A242" s="8"/>
      <c r="B242" s="8"/>
      <c r="C242" s="8"/>
      <c r="D242" s="12"/>
      <c r="E242" s="8"/>
      <c r="F242" s="12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spans="1:28" ht="13.15" x14ac:dyDescent="0.4">
      <c r="A243" s="8"/>
      <c r="B243" s="8"/>
      <c r="C243" s="8"/>
      <c r="D243" s="12"/>
      <c r="E243" s="8"/>
      <c r="F243" s="12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spans="1:28" ht="13.15" x14ac:dyDescent="0.4">
      <c r="A244" s="8"/>
      <c r="B244" s="8"/>
      <c r="C244" s="8"/>
      <c r="D244" s="12"/>
      <c r="E244" s="8"/>
      <c r="F244" s="12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spans="1:28" ht="13.15" x14ac:dyDescent="0.4">
      <c r="A245" s="8"/>
      <c r="B245" s="8"/>
      <c r="C245" s="8"/>
      <c r="D245" s="12"/>
      <c r="E245" s="8"/>
      <c r="F245" s="12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spans="1:28" ht="13.15" x14ac:dyDescent="0.4">
      <c r="A246" s="8"/>
      <c r="B246" s="8"/>
      <c r="C246" s="8"/>
      <c r="D246" s="12"/>
      <c r="E246" s="8"/>
      <c r="F246" s="12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spans="1:28" ht="13.15" x14ac:dyDescent="0.4">
      <c r="A247" s="8"/>
      <c r="B247" s="8"/>
      <c r="C247" s="8"/>
      <c r="D247" s="12"/>
      <c r="E247" s="8"/>
      <c r="F247" s="12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spans="1:28" ht="13.15" x14ac:dyDescent="0.4">
      <c r="A248" s="8"/>
      <c r="B248" s="8"/>
      <c r="C248" s="8"/>
      <c r="D248" s="12"/>
      <c r="E248" s="8"/>
      <c r="F248" s="12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spans="1:28" ht="13.15" x14ac:dyDescent="0.4">
      <c r="A249" s="8"/>
      <c r="B249" s="8"/>
      <c r="C249" s="8"/>
      <c r="D249" s="12"/>
      <c r="E249" s="8"/>
      <c r="F249" s="12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spans="1:28" ht="13.15" x14ac:dyDescent="0.4">
      <c r="A250" s="8"/>
      <c r="B250" s="8"/>
      <c r="C250" s="8"/>
      <c r="D250" s="12"/>
      <c r="E250" s="8"/>
      <c r="F250" s="12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spans="1:28" ht="13.15" x14ac:dyDescent="0.4">
      <c r="A251" s="8"/>
      <c r="B251" s="8"/>
      <c r="C251" s="8"/>
      <c r="D251" s="12"/>
      <c r="E251" s="8"/>
      <c r="F251" s="12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spans="1:28" ht="13.15" x14ac:dyDescent="0.4">
      <c r="A252" s="8"/>
      <c r="B252" s="8"/>
      <c r="C252" s="8"/>
      <c r="D252" s="12"/>
      <c r="E252" s="8"/>
      <c r="F252" s="12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spans="1:28" ht="13.15" x14ac:dyDescent="0.4">
      <c r="A253" s="8"/>
      <c r="B253" s="8"/>
      <c r="C253" s="8"/>
      <c r="D253" s="12"/>
      <c r="E253" s="8"/>
      <c r="F253" s="12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spans="1:28" ht="13.15" x14ac:dyDescent="0.4">
      <c r="A254" s="8"/>
      <c r="B254" s="8"/>
      <c r="C254" s="8"/>
      <c r="D254" s="12"/>
      <c r="E254" s="8"/>
      <c r="F254" s="12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spans="1:28" ht="13.15" x14ac:dyDescent="0.4">
      <c r="A255" s="8"/>
      <c r="B255" s="8"/>
      <c r="C255" s="8"/>
      <c r="D255" s="12"/>
      <c r="E255" s="8"/>
      <c r="F255" s="12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spans="1:28" ht="13.15" x14ac:dyDescent="0.4">
      <c r="A256" s="8"/>
      <c r="B256" s="8"/>
      <c r="C256" s="8"/>
      <c r="D256" s="12"/>
      <c r="E256" s="8"/>
      <c r="F256" s="12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spans="1:28" ht="13.15" x14ac:dyDescent="0.4">
      <c r="A257" s="8"/>
      <c r="B257" s="8"/>
      <c r="C257" s="8"/>
      <c r="D257" s="12"/>
      <c r="E257" s="8"/>
      <c r="F257" s="12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spans="1:28" ht="13.15" x14ac:dyDescent="0.4">
      <c r="A258" s="8"/>
      <c r="B258" s="8"/>
      <c r="C258" s="8"/>
      <c r="D258" s="12"/>
      <c r="E258" s="8"/>
      <c r="F258" s="12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spans="1:28" ht="13.15" x14ac:dyDescent="0.4">
      <c r="A259" s="8"/>
      <c r="B259" s="8"/>
      <c r="C259" s="8"/>
      <c r="D259" s="12"/>
      <c r="E259" s="8"/>
      <c r="F259" s="12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spans="1:28" ht="13.15" x14ac:dyDescent="0.4">
      <c r="A260" s="8"/>
      <c r="B260" s="8"/>
      <c r="C260" s="8"/>
      <c r="D260" s="12"/>
      <c r="E260" s="8"/>
      <c r="F260" s="12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spans="1:28" ht="13.15" x14ac:dyDescent="0.4">
      <c r="A261" s="8"/>
      <c r="B261" s="8"/>
      <c r="C261" s="8"/>
      <c r="D261" s="12"/>
      <c r="E261" s="8"/>
      <c r="F261" s="12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spans="1:28" ht="13.15" x14ac:dyDescent="0.4">
      <c r="A262" s="8"/>
      <c r="B262" s="8"/>
      <c r="C262" s="8"/>
      <c r="D262" s="12"/>
      <c r="E262" s="8"/>
      <c r="F262" s="12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spans="1:28" ht="13.15" x14ac:dyDescent="0.4">
      <c r="A263" s="8"/>
      <c r="B263" s="8"/>
      <c r="C263" s="8"/>
      <c r="D263" s="12"/>
      <c r="E263" s="8"/>
      <c r="F263" s="12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spans="1:28" ht="13.15" x14ac:dyDescent="0.4">
      <c r="A264" s="8"/>
      <c r="B264" s="8"/>
      <c r="C264" s="8"/>
      <c r="D264" s="12"/>
      <c r="E264" s="8"/>
      <c r="F264" s="12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spans="1:28" ht="13.15" x14ac:dyDescent="0.4">
      <c r="A265" s="8"/>
      <c r="B265" s="8"/>
      <c r="C265" s="8"/>
      <c r="D265" s="12"/>
      <c r="E265" s="8"/>
      <c r="F265" s="12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spans="1:28" ht="13.15" x14ac:dyDescent="0.4">
      <c r="A266" s="8"/>
      <c r="B266" s="8"/>
      <c r="C266" s="8"/>
      <c r="D266" s="12"/>
      <c r="E266" s="8"/>
      <c r="F266" s="12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spans="1:28" ht="13.15" x14ac:dyDescent="0.4">
      <c r="A267" s="8"/>
      <c r="B267" s="8"/>
      <c r="C267" s="8"/>
      <c r="D267" s="12"/>
      <c r="E267" s="8"/>
      <c r="F267" s="12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spans="1:28" ht="13.15" x14ac:dyDescent="0.4">
      <c r="A268" s="8"/>
      <c r="B268" s="8"/>
      <c r="C268" s="8"/>
      <c r="D268" s="12"/>
      <c r="E268" s="8"/>
      <c r="F268" s="12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spans="1:28" ht="13.15" x14ac:dyDescent="0.4">
      <c r="A269" s="8"/>
      <c r="B269" s="8"/>
      <c r="C269" s="8"/>
      <c r="D269" s="12"/>
      <c r="E269" s="8"/>
      <c r="F269" s="12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spans="1:28" ht="13.15" x14ac:dyDescent="0.4">
      <c r="A270" s="8"/>
      <c r="B270" s="8"/>
      <c r="C270" s="8"/>
      <c r="D270" s="12"/>
      <c r="E270" s="8"/>
      <c r="F270" s="12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spans="1:28" ht="13.15" x14ac:dyDescent="0.4">
      <c r="A271" s="8"/>
      <c r="B271" s="8"/>
      <c r="C271" s="8"/>
      <c r="D271" s="12"/>
      <c r="E271" s="8"/>
      <c r="F271" s="12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spans="1:28" ht="13.15" x14ac:dyDescent="0.4">
      <c r="A272" s="8"/>
      <c r="B272" s="8"/>
      <c r="C272" s="8"/>
      <c r="D272" s="12"/>
      <c r="E272" s="8"/>
      <c r="F272" s="12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spans="1:28" ht="13.15" x14ac:dyDescent="0.4">
      <c r="A273" s="8"/>
      <c r="B273" s="8"/>
      <c r="C273" s="8"/>
      <c r="D273" s="12"/>
      <c r="E273" s="8"/>
      <c r="F273" s="12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spans="1:28" ht="13.15" x14ac:dyDescent="0.4">
      <c r="A274" s="8"/>
      <c r="B274" s="8"/>
      <c r="C274" s="8"/>
      <c r="D274" s="12"/>
      <c r="E274" s="8"/>
      <c r="F274" s="12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spans="1:28" ht="13.15" x14ac:dyDescent="0.4">
      <c r="A275" s="8"/>
      <c r="B275" s="8"/>
      <c r="C275" s="8"/>
      <c r="D275" s="12"/>
      <c r="E275" s="8"/>
      <c r="F275" s="12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spans="1:28" ht="13.15" x14ac:dyDescent="0.4">
      <c r="A276" s="8"/>
      <c r="B276" s="8"/>
      <c r="C276" s="8"/>
      <c r="D276" s="12"/>
      <c r="E276" s="8"/>
      <c r="F276" s="12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spans="1:28" ht="13.15" x14ac:dyDescent="0.4">
      <c r="A277" s="8"/>
      <c r="B277" s="8"/>
      <c r="C277" s="8"/>
      <c r="D277" s="12"/>
      <c r="E277" s="8"/>
      <c r="F277" s="12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spans="1:28" ht="13.15" x14ac:dyDescent="0.4">
      <c r="A278" s="8"/>
      <c r="B278" s="8"/>
      <c r="C278" s="8"/>
      <c r="D278" s="12"/>
      <c r="E278" s="8"/>
      <c r="F278" s="12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spans="1:28" ht="13.15" x14ac:dyDescent="0.4">
      <c r="A279" s="8"/>
      <c r="B279" s="8"/>
      <c r="C279" s="8"/>
      <c r="D279" s="12"/>
      <c r="E279" s="8"/>
      <c r="F279" s="12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spans="1:28" ht="13.15" x14ac:dyDescent="0.4">
      <c r="A280" s="8"/>
      <c r="B280" s="8"/>
      <c r="C280" s="8"/>
      <c r="D280" s="12"/>
      <c r="E280" s="8"/>
      <c r="F280" s="12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spans="1:28" ht="13.15" x14ac:dyDescent="0.4">
      <c r="A281" s="8"/>
      <c r="B281" s="8"/>
      <c r="C281" s="8"/>
      <c r="D281" s="12"/>
      <c r="E281" s="8"/>
      <c r="F281" s="12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spans="1:28" ht="13.15" x14ac:dyDescent="0.4">
      <c r="A282" s="8"/>
      <c r="B282" s="8"/>
      <c r="C282" s="8"/>
      <c r="D282" s="12"/>
      <c r="E282" s="8"/>
      <c r="F282" s="12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spans="1:28" ht="13.15" x14ac:dyDescent="0.4">
      <c r="A283" s="8"/>
      <c r="B283" s="8"/>
      <c r="C283" s="8"/>
      <c r="D283" s="12"/>
      <c r="E283" s="8"/>
      <c r="F283" s="12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spans="1:28" ht="13.15" x14ac:dyDescent="0.4">
      <c r="A284" s="8"/>
      <c r="B284" s="8"/>
      <c r="C284" s="8"/>
      <c r="D284" s="12"/>
      <c r="E284" s="8"/>
      <c r="F284" s="12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spans="1:28" ht="13.15" x14ac:dyDescent="0.4">
      <c r="A285" s="8"/>
      <c r="B285" s="8"/>
      <c r="C285" s="8"/>
      <c r="D285" s="12"/>
      <c r="E285" s="8"/>
      <c r="F285" s="12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spans="1:28" ht="13.15" x14ac:dyDescent="0.4">
      <c r="A286" s="8"/>
      <c r="B286" s="8"/>
      <c r="C286" s="8"/>
      <c r="D286" s="12"/>
      <c r="E286" s="8"/>
      <c r="F286" s="12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spans="1:28" ht="13.15" x14ac:dyDescent="0.4">
      <c r="A287" s="8"/>
      <c r="B287" s="8"/>
      <c r="C287" s="8"/>
      <c r="D287" s="12"/>
      <c r="E287" s="8"/>
      <c r="F287" s="12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ht="13.15" x14ac:dyDescent="0.4">
      <c r="A288" s="8"/>
      <c r="B288" s="8"/>
      <c r="C288" s="8"/>
      <c r="D288" s="12"/>
      <c r="E288" s="8"/>
      <c r="F288" s="12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ht="13.15" x14ac:dyDescent="0.4">
      <c r="A289" s="8"/>
      <c r="B289" s="8"/>
      <c r="C289" s="8"/>
      <c r="D289" s="12"/>
      <c r="E289" s="8"/>
      <c r="F289" s="12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ht="13.15" x14ac:dyDescent="0.4">
      <c r="A290" s="8"/>
      <c r="B290" s="8"/>
      <c r="C290" s="8"/>
      <c r="D290" s="12"/>
      <c r="E290" s="8"/>
      <c r="F290" s="12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ht="13.15" x14ac:dyDescent="0.4">
      <c r="A291" s="8"/>
      <c r="B291" s="8"/>
      <c r="C291" s="8"/>
      <c r="D291" s="12"/>
      <c r="E291" s="8"/>
      <c r="F291" s="12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ht="13.15" x14ac:dyDescent="0.4">
      <c r="A292" s="8"/>
      <c r="B292" s="8"/>
      <c r="C292" s="8"/>
      <c r="D292" s="12"/>
      <c r="E292" s="8"/>
      <c r="F292" s="12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ht="13.15" x14ac:dyDescent="0.4">
      <c r="A293" s="8"/>
      <c r="B293" s="8"/>
      <c r="C293" s="8"/>
      <c r="D293" s="12"/>
      <c r="E293" s="8"/>
      <c r="F293" s="12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ht="13.15" x14ac:dyDescent="0.4">
      <c r="A294" s="8"/>
      <c r="B294" s="8"/>
      <c r="C294" s="8"/>
      <c r="D294" s="12"/>
      <c r="E294" s="8"/>
      <c r="F294" s="12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ht="13.15" x14ac:dyDescent="0.4">
      <c r="A295" s="8"/>
      <c r="B295" s="8"/>
      <c r="C295" s="8"/>
      <c r="D295" s="12"/>
      <c r="E295" s="8"/>
      <c r="F295" s="12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ht="13.15" x14ac:dyDescent="0.4">
      <c r="A296" s="8"/>
      <c r="B296" s="8"/>
      <c r="C296" s="8"/>
      <c r="D296" s="12"/>
      <c r="E296" s="8"/>
      <c r="F296" s="12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ht="13.15" x14ac:dyDescent="0.4">
      <c r="A297" s="8"/>
      <c r="B297" s="8"/>
      <c r="C297" s="8"/>
      <c r="D297" s="12"/>
      <c r="E297" s="8"/>
      <c r="F297" s="12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ht="13.15" x14ac:dyDescent="0.4">
      <c r="A298" s="8"/>
      <c r="B298" s="8"/>
      <c r="C298" s="8"/>
      <c r="D298" s="12"/>
      <c r="E298" s="8"/>
      <c r="F298" s="12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ht="13.15" x14ac:dyDescent="0.4">
      <c r="A299" s="8"/>
      <c r="B299" s="8"/>
      <c r="C299" s="8"/>
      <c r="D299" s="12"/>
      <c r="E299" s="8"/>
      <c r="F299" s="12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ht="13.15" x14ac:dyDescent="0.4">
      <c r="A300" s="8"/>
      <c r="B300" s="8"/>
      <c r="C300" s="8"/>
      <c r="D300" s="12"/>
      <c r="E300" s="8"/>
      <c r="F300" s="12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ht="13.15" x14ac:dyDescent="0.4">
      <c r="A301" s="8"/>
      <c r="B301" s="8"/>
      <c r="C301" s="8"/>
      <c r="D301" s="12"/>
      <c r="E301" s="8"/>
      <c r="F301" s="12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ht="13.15" x14ac:dyDescent="0.4">
      <c r="A302" s="8"/>
      <c r="B302" s="8"/>
      <c r="C302" s="8"/>
      <c r="D302" s="12"/>
      <c r="E302" s="8"/>
      <c r="F302" s="12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ht="13.15" x14ac:dyDescent="0.4">
      <c r="A303" s="8"/>
      <c r="B303" s="8"/>
      <c r="C303" s="8"/>
      <c r="D303" s="12"/>
      <c r="E303" s="8"/>
      <c r="F303" s="12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ht="13.15" x14ac:dyDescent="0.4">
      <c r="A304" s="8"/>
      <c r="B304" s="8"/>
      <c r="C304" s="8"/>
      <c r="D304" s="12"/>
      <c r="E304" s="8"/>
      <c r="F304" s="12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ht="13.15" x14ac:dyDescent="0.4">
      <c r="A305" s="8"/>
      <c r="B305" s="8"/>
      <c r="C305" s="8"/>
      <c r="D305" s="12"/>
      <c r="E305" s="8"/>
      <c r="F305" s="12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ht="13.15" x14ac:dyDescent="0.4">
      <c r="A306" s="8"/>
      <c r="B306" s="8"/>
      <c r="C306" s="8"/>
      <c r="D306" s="12"/>
      <c r="E306" s="8"/>
      <c r="F306" s="12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ht="13.15" x14ac:dyDescent="0.4">
      <c r="A307" s="8"/>
      <c r="B307" s="8"/>
      <c r="C307" s="8"/>
      <c r="D307" s="12"/>
      <c r="E307" s="8"/>
      <c r="F307" s="12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ht="13.15" x14ac:dyDescent="0.4">
      <c r="A308" s="8"/>
      <c r="B308" s="8"/>
      <c r="C308" s="8"/>
      <c r="D308" s="12"/>
      <c r="E308" s="8"/>
      <c r="F308" s="12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ht="13.15" x14ac:dyDescent="0.4">
      <c r="A309" s="8"/>
      <c r="B309" s="8"/>
      <c r="C309" s="8"/>
      <c r="D309" s="12"/>
      <c r="E309" s="8"/>
      <c r="F309" s="12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ht="13.15" x14ac:dyDescent="0.4">
      <c r="A310" s="8"/>
      <c r="B310" s="8"/>
      <c r="C310" s="8"/>
      <c r="D310" s="12"/>
      <c r="E310" s="8"/>
      <c r="F310" s="12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ht="13.15" x14ac:dyDescent="0.4">
      <c r="A311" s="8"/>
      <c r="B311" s="8"/>
      <c r="C311" s="8"/>
      <c r="D311" s="12"/>
      <c r="E311" s="8"/>
      <c r="F311" s="12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ht="13.15" x14ac:dyDescent="0.4">
      <c r="A312" s="8"/>
      <c r="B312" s="8"/>
      <c r="C312" s="8"/>
      <c r="D312" s="12"/>
      <c r="E312" s="8"/>
      <c r="F312" s="12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ht="13.15" x14ac:dyDescent="0.4">
      <c r="A313" s="8"/>
      <c r="B313" s="8"/>
      <c r="C313" s="8"/>
      <c r="D313" s="12"/>
      <c r="E313" s="8"/>
      <c r="F313" s="12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ht="13.15" x14ac:dyDescent="0.4">
      <c r="A314" s="8"/>
      <c r="B314" s="8"/>
      <c r="C314" s="8"/>
      <c r="D314" s="12"/>
      <c r="E314" s="8"/>
      <c r="F314" s="12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ht="13.15" x14ac:dyDescent="0.4">
      <c r="A315" s="8"/>
      <c r="B315" s="8"/>
      <c r="C315" s="8"/>
      <c r="D315" s="12"/>
      <c r="E315" s="8"/>
      <c r="F315" s="12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ht="13.15" x14ac:dyDescent="0.4">
      <c r="A316" s="8"/>
      <c r="B316" s="8"/>
      <c r="C316" s="8"/>
      <c r="D316" s="12"/>
      <c r="E316" s="8"/>
      <c r="F316" s="12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ht="13.15" x14ac:dyDescent="0.4">
      <c r="A317" s="8"/>
      <c r="B317" s="8"/>
      <c r="C317" s="8"/>
      <c r="D317" s="12"/>
      <c r="E317" s="8"/>
      <c r="F317" s="12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ht="13.15" x14ac:dyDescent="0.4">
      <c r="A318" s="8"/>
      <c r="B318" s="8"/>
      <c r="C318" s="8"/>
      <c r="D318" s="12"/>
      <c r="E318" s="8"/>
      <c r="F318" s="12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ht="13.15" x14ac:dyDescent="0.4">
      <c r="A319" s="8"/>
      <c r="B319" s="8"/>
      <c r="C319" s="8"/>
      <c r="D319" s="12"/>
      <c r="E319" s="8"/>
      <c r="F319" s="12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ht="13.15" x14ac:dyDescent="0.4">
      <c r="A320" s="8"/>
      <c r="B320" s="8"/>
      <c r="C320" s="8"/>
      <c r="D320" s="12"/>
      <c r="E320" s="8"/>
      <c r="F320" s="12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ht="13.15" x14ac:dyDescent="0.4">
      <c r="A321" s="8"/>
      <c r="B321" s="8"/>
      <c r="C321" s="8"/>
      <c r="D321" s="12"/>
      <c r="E321" s="8"/>
      <c r="F321" s="12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ht="13.15" x14ac:dyDescent="0.4">
      <c r="A322" s="8"/>
      <c r="B322" s="8"/>
      <c r="C322" s="8"/>
      <c r="D322" s="12"/>
      <c r="E322" s="8"/>
      <c r="F322" s="12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ht="13.15" x14ac:dyDescent="0.4">
      <c r="A323" s="8"/>
      <c r="B323" s="8"/>
      <c r="C323" s="8"/>
      <c r="D323" s="12"/>
      <c r="E323" s="8"/>
      <c r="F323" s="12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ht="13.15" x14ac:dyDescent="0.4">
      <c r="A324" s="8"/>
      <c r="B324" s="8"/>
      <c r="C324" s="8"/>
      <c r="D324" s="12"/>
      <c r="E324" s="8"/>
      <c r="F324" s="12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ht="13.15" x14ac:dyDescent="0.4">
      <c r="A325" s="8"/>
      <c r="B325" s="8"/>
      <c r="C325" s="8"/>
      <c r="D325" s="12"/>
      <c r="E325" s="8"/>
      <c r="F325" s="12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ht="13.15" x14ac:dyDescent="0.4">
      <c r="A326" s="8"/>
      <c r="B326" s="8"/>
      <c r="C326" s="8"/>
      <c r="D326" s="12"/>
      <c r="E326" s="8"/>
      <c r="F326" s="12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ht="13.15" x14ac:dyDescent="0.4">
      <c r="A327" s="8"/>
      <c r="B327" s="8"/>
      <c r="C327" s="8"/>
      <c r="D327" s="12"/>
      <c r="E327" s="8"/>
      <c r="F327" s="12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ht="13.15" x14ac:dyDescent="0.4">
      <c r="A328" s="8"/>
      <c r="B328" s="8"/>
      <c r="C328" s="8"/>
      <c r="D328" s="12"/>
      <c r="E328" s="8"/>
      <c r="F328" s="12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ht="13.15" x14ac:dyDescent="0.4">
      <c r="A329" s="8"/>
      <c r="B329" s="8"/>
      <c r="C329" s="8"/>
      <c r="D329" s="12"/>
      <c r="E329" s="8"/>
      <c r="F329" s="12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ht="13.15" x14ac:dyDescent="0.4">
      <c r="A330" s="8"/>
      <c r="B330" s="8"/>
      <c r="C330" s="8"/>
      <c r="D330" s="12"/>
      <c r="E330" s="8"/>
      <c r="F330" s="12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ht="13.15" x14ac:dyDescent="0.4">
      <c r="A331" s="8"/>
      <c r="B331" s="8"/>
      <c r="C331" s="8"/>
      <c r="D331" s="12"/>
      <c r="E331" s="8"/>
      <c r="F331" s="12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ht="13.15" x14ac:dyDescent="0.4">
      <c r="A332" s="8"/>
      <c r="B332" s="8"/>
      <c r="C332" s="8"/>
      <c r="D332" s="12"/>
      <c r="E332" s="8"/>
      <c r="F332" s="12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ht="13.15" x14ac:dyDescent="0.4">
      <c r="A333" s="8"/>
      <c r="B333" s="8"/>
      <c r="C333" s="8"/>
      <c r="D333" s="12"/>
      <c r="E333" s="8"/>
      <c r="F333" s="12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ht="13.15" x14ac:dyDescent="0.4">
      <c r="A334" s="8"/>
      <c r="B334" s="8"/>
      <c r="C334" s="8"/>
      <c r="D334" s="12"/>
      <c r="E334" s="8"/>
      <c r="F334" s="12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ht="13.15" x14ac:dyDescent="0.4">
      <c r="A335" s="8"/>
      <c r="B335" s="8"/>
      <c r="C335" s="8"/>
      <c r="D335" s="12"/>
      <c r="E335" s="8"/>
      <c r="F335" s="12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ht="13.15" x14ac:dyDescent="0.4">
      <c r="A336" s="8"/>
      <c r="B336" s="8"/>
      <c r="C336" s="8"/>
      <c r="D336" s="12"/>
      <c r="E336" s="8"/>
      <c r="F336" s="12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ht="13.15" x14ac:dyDescent="0.4">
      <c r="A337" s="8"/>
      <c r="B337" s="8"/>
      <c r="C337" s="8"/>
      <c r="D337" s="12"/>
      <c r="E337" s="8"/>
      <c r="F337" s="12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ht="13.15" x14ac:dyDescent="0.4">
      <c r="A338" s="8"/>
      <c r="B338" s="8"/>
      <c r="C338" s="8"/>
      <c r="D338" s="12"/>
      <c r="E338" s="8"/>
      <c r="F338" s="12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ht="13.15" x14ac:dyDescent="0.4">
      <c r="A339" s="8"/>
      <c r="B339" s="8"/>
      <c r="C339" s="8"/>
      <c r="D339" s="12"/>
      <c r="E339" s="8"/>
      <c r="F339" s="12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ht="13.15" x14ac:dyDescent="0.4">
      <c r="A340" s="8"/>
      <c r="B340" s="8"/>
      <c r="C340" s="8"/>
      <c r="D340" s="12"/>
      <c r="E340" s="8"/>
      <c r="F340" s="12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ht="13.15" x14ac:dyDescent="0.4">
      <c r="A341" s="8"/>
      <c r="B341" s="8"/>
      <c r="C341" s="8"/>
      <c r="D341" s="12"/>
      <c r="E341" s="8"/>
      <c r="F341" s="12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ht="13.15" x14ac:dyDescent="0.4">
      <c r="A342" s="8"/>
      <c r="B342" s="8"/>
      <c r="C342" s="8"/>
      <c r="D342" s="12"/>
      <c r="E342" s="8"/>
      <c r="F342" s="12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ht="13.15" x14ac:dyDescent="0.4">
      <c r="A343" s="8"/>
      <c r="B343" s="8"/>
      <c r="C343" s="8"/>
      <c r="D343" s="12"/>
      <c r="E343" s="8"/>
      <c r="F343" s="12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13.15" x14ac:dyDescent="0.4">
      <c r="A344" s="8"/>
      <c r="B344" s="8"/>
      <c r="C344" s="8"/>
      <c r="D344" s="12"/>
      <c r="E344" s="8"/>
      <c r="F344" s="12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13.15" x14ac:dyDescent="0.4">
      <c r="A345" s="8"/>
      <c r="B345" s="8"/>
      <c r="C345" s="8"/>
      <c r="D345" s="12"/>
      <c r="E345" s="8"/>
      <c r="F345" s="12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13.15" x14ac:dyDescent="0.4">
      <c r="A346" s="8"/>
      <c r="B346" s="8"/>
      <c r="C346" s="8"/>
      <c r="D346" s="12"/>
      <c r="E346" s="8"/>
      <c r="F346" s="12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13.15" x14ac:dyDescent="0.4">
      <c r="A347" s="8"/>
      <c r="B347" s="8"/>
      <c r="C347" s="8"/>
      <c r="D347" s="12"/>
      <c r="E347" s="8"/>
      <c r="F347" s="12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13.15" x14ac:dyDescent="0.4">
      <c r="A348" s="8"/>
      <c r="B348" s="8"/>
      <c r="C348" s="8"/>
      <c r="D348" s="12"/>
      <c r="E348" s="8"/>
      <c r="F348" s="12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13.15" x14ac:dyDescent="0.4">
      <c r="A349" s="8"/>
      <c r="B349" s="8"/>
      <c r="C349" s="8"/>
      <c r="D349" s="12"/>
      <c r="E349" s="8"/>
      <c r="F349" s="12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13.15" x14ac:dyDescent="0.4">
      <c r="A350" s="8"/>
      <c r="B350" s="8"/>
      <c r="C350" s="8"/>
      <c r="D350" s="12"/>
      <c r="E350" s="8"/>
      <c r="F350" s="12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13.15" x14ac:dyDescent="0.4">
      <c r="A351" s="8"/>
      <c r="B351" s="8"/>
      <c r="C351" s="8"/>
      <c r="D351" s="12"/>
      <c r="E351" s="8"/>
      <c r="F351" s="12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13.15" x14ac:dyDescent="0.4">
      <c r="A352" s="8"/>
      <c r="B352" s="8"/>
      <c r="C352" s="8"/>
      <c r="D352" s="12"/>
      <c r="E352" s="8"/>
      <c r="F352" s="12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13.15" x14ac:dyDescent="0.4">
      <c r="A353" s="8"/>
      <c r="B353" s="8"/>
      <c r="C353" s="8"/>
      <c r="D353" s="12"/>
      <c r="E353" s="8"/>
      <c r="F353" s="12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13.15" x14ac:dyDescent="0.4">
      <c r="A354" s="8"/>
      <c r="B354" s="8"/>
      <c r="C354" s="8"/>
      <c r="D354" s="12"/>
      <c r="E354" s="8"/>
      <c r="F354" s="12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13.15" x14ac:dyDescent="0.4">
      <c r="A355" s="8"/>
      <c r="B355" s="8"/>
      <c r="C355" s="8"/>
      <c r="D355" s="12"/>
      <c r="E355" s="8"/>
      <c r="F355" s="12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13.15" x14ac:dyDescent="0.4">
      <c r="A356" s="8"/>
      <c r="B356" s="8"/>
      <c r="C356" s="8"/>
      <c r="D356" s="12"/>
      <c r="E356" s="8"/>
      <c r="F356" s="12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13.15" x14ac:dyDescent="0.4">
      <c r="A357" s="8"/>
      <c r="B357" s="8"/>
      <c r="C357" s="8"/>
      <c r="D357" s="12"/>
      <c r="E357" s="8"/>
      <c r="F357" s="12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13.15" x14ac:dyDescent="0.4">
      <c r="A358" s="8"/>
      <c r="B358" s="8"/>
      <c r="C358" s="8"/>
      <c r="D358" s="12"/>
      <c r="E358" s="8"/>
      <c r="F358" s="12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13.15" x14ac:dyDescent="0.4">
      <c r="A359" s="8"/>
      <c r="B359" s="8"/>
      <c r="C359" s="8"/>
      <c r="D359" s="12"/>
      <c r="E359" s="8"/>
      <c r="F359" s="12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13.15" x14ac:dyDescent="0.4">
      <c r="A360" s="8"/>
      <c r="B360" s="8"/>
      <c r="C360" s="8"/>
      <c r="D360" s="12"/>
      <c r="E360" s="8"/>
      <c r="F360" s="12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13.15" x14ac:dyDescent="0.4">
      <c r="A361" s="8"/>
      <c r="B361" s="8"/>
      <c r="C361" s="8"/>
      <c r="D361" s="12"/>
      <c r="E361" s="8"/>
      <c r="F361" s="12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13.15" x14ac:dyDescent="0.4">
      <c r="A362" s="8"/>
      <c r="B362" s="8"/>
      <c r="C362" s="8"/>
      <c r="D362" s="12"/>
      <c r="E362" s="8"/>
      <c r="F362" s="12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13.15" x14ac:dyDescent="0.4">
      <c r="A363" s="8"/>
      <c r="B363" s="8"/>
      <c r="C363" s="8"/>
      <c r="D363" s="12"/>
      <c r="E363" s="8"/>
      <c r="F363" s="12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13.15" x14ac:dyDescent="0.4">
      <c r="A364" s="8"/>
      <c r="B364" s="8"/>
      <c r="C364" s="8"/>
      <c r="D364" s="12"/>
      <c r="E364" s="8"/>
      <c r="F364" s="12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13.15" x14ac:dyDescent="0.4">
      <c r="A365" s="8"/>
      <c r="B365" s="8"/>
      <c r="C365" s="8"/>
      <c r="D365" s="12"/>
      <c r="E365" s="8"/>
      <c r="F365" s="12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13.15" x14ac:dyDescent="0.4">
      <c r="A366" s="8"/>
      <c r="B366" s="8"/>
      <c r="C366" s="8"/>
      <c r="D366" s="12"/>
      <c r="E366" s="8"/>
      <c r="F366" s="12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13.15" x14ac:dyDescent="0.4">
      <c r="A367" s="8"/>
      <c r="B367" s="8"/>
      <c r="C367" s="8"/>
      <c r="D367" s="12"/>
      <c r="E367" s="8"/>
      <c r="F367" s="12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13.15" x14ac:dyDescent="0.4">
      <c r="A368" s="8"/>
      <c r="B368" s="8"/>
      <c r="C368" s="8"/>
      <c r="D368" s="12"/>
      <c r="E368" s="8"/>
      <c r="F368" s="12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13.15" x14ac:dyDescent="0.4">
      <c r="A369" s="8"/>
      <c r="B369" s="8"/>
      <c r="C369" s="8"/>
      <c r="D369" s="12"/>
      <c r="E369" s="8"/>
      <c r="F369" s="12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13.15" x14ac:dyDescent="0.4">
      <c r="A370" s="8"/>
      <c r="B370" s="8"/>
      <c r="C370" s="8"/>
      <c r="D370" s="12"/>
      <c r="E370" s="8"/>
      <c r="F370" s="12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13.15" x14ac:dyDescent="0.4">
      <c r="A371" s="8"/>
      <c r="B371" s="8"/>
      <c r="C371" s="8"/>
      <c r="D371" s="12"/>
      <c r="E371" s="8"/>
      <c r="F371" s="12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13.15" x14ac:dyDescent="0.4">
      <c r="A372" s="8"/>
      <c r="B372" s="8"/>
      <c r="C372" s="8"/>
      <c r="D372" s="12"/>
      <c r="E372" s="8"/>
      <c r="F372" s="12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13.15" x14ac:dyDescent="0.4">
      <c r="A373" s="8"/>
      <c r="B373" s="8"/>
      <c r="C373" s="8"/>
      <c r="D373" s="12"/>
      <c r="E373" s="8"/>
      <c r="F373" s="12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13.15" x14ac:dyDescent="0.4">
      <c r="A374" s="8"/>
      <c r="B374" s="8"/>
      <c r="C374" s="8"/>
      <c r="D374" s="12"/>
      <c r="E374" s="8"/>
      <c r="F374" s="12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13.15" x14ac:dyDescent="0.4">
      <c r="A375" s="8"/>
      <c r="B375" s="8"/>
      <c r="C375" s="8"/>
      <c r="D375" s="12"/>
      <c r="E375" s="8"/>
      <c r="F375" s="12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13.15" x14ac:dyDescent="0.4">
      <c r="A376" s="8"/>
      <c r="B376" s="8"/>
      <c r="C376" s="8"/>
      <c r="D376" s="12"/>
      <c r="E376" s="8"/>
      <c r="F376" s="12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13.15" x14ac:dyDescent="0.4">
      <c r="A377" s="8"/>
      <c r="B377" s="8"/>
      <c r="C377" s="8"/>
      <c r="D377" s="12"/>
      <c r="E377" s="8"/>
      <c r="F377" s="12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ht="13.15" x14ac:dyDescent="0.4">
      <c r="A378" s="8"/>
      <c r="B378" s="8"/>
      <c r="C378" s="8"/>
      <c r="D378" s="12"/>
      <c r="E378" s="8"/>
      <c r="F378" s="12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ht="13.15" x14ac:dyDescent="0.4">
      <c r="A379" s="8"/>
      <c r="B379" s="8"/>
      <c r="C379" s="8"/>
      <c r="D379" s="12"/>
      <c r="E379" s="8"/>
      <c r="F379" s="12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ht="13.15" x14ac:dyDescent="0.4">
      <c r="A380" s="8"/>
      <c r="B380" s="8"/>
      <c r="C380" s="8"/>
      <c r="D380" s="12"/>
      <c r="E380" s="8"/>
      <c r="F380" s="12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ht="13.15" x14ac:dyDescent="0.4">
      <c r="A381" s="8"/>
      <c r="B381" s="8"/>
      <c r="C381" s="8"/>
      <c r="D381" s="12"/>
      <c r="E381" s="8"/>
      <c r="F381" s="12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ht="13.15" x14ac:dyDescent="0.4">
      <c r="A382" s="8"/>
      <c r="B382" s="8"/>
      <c r="C382" s="8"/>
      <c r="D382" s="12"/>
      <c r="E382" s="8"/>
      <c r="F382" s="12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ht="13.15" x14ac:dyDescent="0.4">
      <c r="A383" s="8"/>
      <c r="B383" s="8"/>
      <c r="C383" s="8"/>
      <c r="D383" s="12"/>
      <c r="E383" s="8"/>
      <c r="F383" s="12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ht="13.15" x14ac:dyDescent="0.4">
      <c r="A384" s="8"/>
      <c r="B384" s="8"/>
      <c r="C384" s="8"/>
      <c r="D384" s="12"/>
      <c r="E384" s="8"/>
      <c r="F384" s="12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ht="13.15" x14ac:dyDescent="0.4">
      <c r="A385" s="8"/>
      <c r="B385" s="8"/>
      <c r="C385" s="8"/>
      <c r="D385" s="12"/>
      <c r="E385" s="8"/>
      <c r="F385" s="12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ht="13.15" x14ac:dyDescent="0.4">
      <c r="A386" s="8"/>
      <c r="B386" s="8"/>
      <c r="C386" s="8"/>
      <c r="D386" s="12"/>
      <c r="E386" s="8"/>
      <c r="F386" s="12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ht="13.15" x14ac:dyDescent="0.4">
      <c r="A387" s="8"/>
      <c r="B387" s="8"/>
      <c r="C387" s="8"/>
      <c r="D387" s="12"/>
      <c r="E387" s="8"/>
      <c r="F387" s="12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ht="13.15" x14ac:dyDescent="0.4">
      <c r="A388" s="8"/>
      <c r="B388" s="8"/>
      <c r="C388" s="8"/>
      <c r="D388" s="12"/>
      <c r="E388" s="8"/>
      <c r="F388" s="12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ht="13.15" x14ac:dyDescent="0.4">
      <c r="A389" s="8"/>
      <c r="B389" s="8"/>
      <c r="C389" s="8"/>
      <c r="D389" s="12"/>
      <c r="E389" s="8"/>
      <c r="F389" s="12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ht="13.15" x14ac:dyDescent="0.4">
      <c r="A390" s="8"/>
      <c r="B390" s="8"/>
      <c r="C390" s="8"/>
      <c r="D390" s="12"/>
      <c r="E390" s="8"/>
      <c r="F390" s="12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ht="13.15" x14ac:dyDescent="0.4">
      <c r="A391" s="8"/>
      <c r="B391" s="8"/>
      <c r="C391" s="8"/>
      <c r="D391" s="12"/>
      <c r="E391" s="8"/>
      <c r="F391" s="12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ht="13.15" x14ac:dyDescent="0.4">
      <c r="A392" s="8"/>
      <c r="B392" s="8"/>
      <c r="C392" s="8"/>
      <c r="D392" s="12"/>
      <c r="E392" s="8"/>
      <c r="F392" s="12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ht="13.15" x14ac:dyDescent="0.4">
      <c r="A393" s="8"/>
      <c r="B393" s="8"/>
      <c r="C393" s="8"/>
      <c r="D393" s="12"/>
      <c r="E393" s="8"/>
      <c r="F393" s="12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ht="13.15" x14ac:dyDescent="0.4">
      <c r="A394" s="8"/>
      <c r="B394" s="8"/>
      <c r="C394" s="8"/>
      <c r="D394" s="12"/>
      <c r="E394" s="8"/>
      <c r="F394" s="12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ht="13.15" x14ac:dyDescent="0.4">
      <c r="A395" s="8"/>
      <c r="B395" s="8"/>
      <c r="C395" s="8"/>
      <c r="D395" s="12"/>
      <c r="E395" s="8"/>
      <c r="F395" s="12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ht="13.15" x14ac:dyDescent="0.4">
      <c r="A396" s="8"/>
      <c r="B396" s="8"/>
      <c r="C396" s="8"/>
      <c r="D396" s="12"/>
      <c r="E396" s="8"/>
      <c r="F396" s="12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ht="13.15" x14ac:dyDescent="0.4">
      <c r="A397" s="8"/>
      <c r="B397" s="8"/>
      <c r="C397" s="8"/>
      <c r="D397" s="12"/>
      <c r="E397" s="8"/>
      <c r="F397" s="12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ht="13.15" x14ac:dyDescent="0.4">
      <c r="A398" s="8"/>
      <c r="B398" s="8"/>
      <c r="C398" s="8"/>
      <c r="D398" s="12"/>
      <c r="E398" s="8"/>
      <c r="F398" s="12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ht="13.15" x14ac:dyDescent="0.4">
      <c r="A399" s="8"/>
      <c r="B399" s="8"/>
      <c r="C399" s="8"/>
      <c r="D399" s="12"/>
      <c r="E399" s="8"/>
      <c r="F399" s="12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ht="13.15" x14ac:dyDescent="0.4">
      <c r="A400" s="8"/>
      <c r="B400" s="8"/>
      <c r="C400" s="8"/>
      <c r="D400" s="12"/>
      <c r="E400" s="8"/>
      <c r="F400" s="12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ht="13.15" x14ac:dyDescent="0.4">
      <c r="A401" s="8"/>
      <c r="B401" s="8"/>
      <c r="C401" s="8"/>
      <c r="D401" s="12"/>
      <c r="E401" s="8"/>
      <c r="F401" s="12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ht="13.15" x14ac:dyDescent="0.4">
      <c r="A402" s="8"/>
      <c r="B402" s="8"/>
      <c r="C402" s="8"/>
      <c r="D402" s="12"/>
      <c r="E402" s="8"/>
      <c r="F402" s="12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ht="13.15" x14ac:dyDescent="0.4">
      <c r="A403" s="8"/>
      <c r="B403" s="8"/>
      <c r="C403" s="8"/>
      <c r="D403" s="12"/>
      <c r="E403" s="8"/>
      <c r="F403" s="12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ht="13.15" x14ac:dyDescent="0.4">
      <c r="A404" s="8"/>
      <c r="B404" s="8"/>
      <c r="C404" s="8"/>
      <c r="D404" s="12"/>
      <c r="E404" s="8"/>
      <c r="F404" s="12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ht="13.15" x14ac:dyDescent="0.4">
      <c r="A405" s="8"/>
      <c r="B405" s="8"/>
      <c r="C405" s="8"/>
      <c r="D405" s="12"/>
      <c r="E405" s="8"/>
      <c r="F405" s="12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ht="13.15" x14ac:dyDescent="0.4">
      <c r="A406" s="8"/>
      <c r="B406" s="8"/>
      <c r="C406" s="8"/>
      <c r="D406" s="12"/>
      <c r="E406" s="8"/>
      <c r="F406" s="12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ht="13.15" x14ac:dyDescent="0.4">
      <c r="A407" s="8"/>
      <c r="B407" s="8"/>
      <c r="C407" s="8"/>
      <c r="D407" s="12"/>
      <c r="E407" s="8"/>
      <c r="F407" s="12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ht="13.15" x14ac:dyDescent="0.4">
      <c r="A408" s="8"/>
      <c r="B408" s="8"/>
      <c r="C408" s="8"/>
      <c r="D408" s="12"/>
      <c r="E408" s="8"/>
      <c r="F408" s="12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ht="13.15" x14ac:dyDescent="0.4">
      <c r="A409" s="8"/>
      <c r="B409" s="8"/>
      <c r="C409" s="8"/>
      <c r="D409" s="12"/>
      <c r="E409" s="8"/>
      <c r="F409" s="12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ht="13.15" x14ac:dyDescent="0.4">
      <c r="A410" s="8"/>
      <c r="B410" s="8"/>
      <c r="C410" s="8"/>
      <c r="D410" s="12"/>
      <c r="E410" s="8"/>
      <c r="F410" s="12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ht="13.15" x14ac:dyDescent="0.4">
      <c r="A411" s="8"/>
      <c r="B411" s="8"/>
      <c r="C411" s="8"/>
      <c r="D411" s="12"/>
      <c r="E411" s="8"/>
      <c r="F411" s="12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ht="13.15" x14ac:dyDescent="0.4">
      <c r="A412" s="8"/>
      <c r="B412" s="8"/>
      <c r="C412" s="8"/>
      <c r="D412" s="12"/>
      <c r="E412" s="8"/>
      <c r="F412" s="12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ht="13.15" x14ac:dyDescent="0.4">
      <c r="A413" s="8"/>
      <c r="B413" s="8"/>
      <c r="C413" s="8"/>
      <c r="D413" s="12"/>
      <c r="E413" s="8"/>
      <c r="F413" s="12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ht="13.15" x14ac:dyDescent="0.4">
      <c r="A414" s="8"/>
      <c r="B414" s="8"/>
      <c r="C414" s="8"/>
      <c r="D414" s="12"/>
      <c r="E414" s="8"/>
      <c r="F414" s="12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ht="13.15" x14ac:dyDescent="0.4">
      <c r="A415" s="8"/>
      <c r="B415" s="8"/>
      <c r="C415" s="8"/>
      <c r="D415" s="12"/>
      <c r="E415" s="8"/>
      <c r="F415" s="12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ht="13.15" x14ac:dyDescent="0.4">
      <c r="A416" s="8"/>
      <c r="B416" s="8"/>
      <c r="C416" s="8"/>
      <c r="D416" s="12"/>
      <c r="E416" s="8"/>
      <c r="F416" s="12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ht="13.15" x14ac:dyDescent="0.4">
      <c r="A417" s="8"/>
      <c r="B417" s="8"/>
      <c r="C417" s="8"/>
      <c r="D417" s="12"/>
      <c r="E417" s="8"/>
      <c r="F417" s="12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ht="13.15" x14ac:dyDescent="0.4">
      <c r="A418" s="8"/>
      <c r="B418" s="8"/>
      <c r="C418" s="8"/>
      <c r="D418" s="12"/>
      <c r="E418" s="8"/>
      <c r="F418" s="12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ht="13.15" x14ac:dyDescent="0.4">
      <c r="A419" s="8"/>
      <c r="B419" s="8"/>
      <c r="C419" s="8"/>
      <c r="D419" s="12"/>
      <c r="E419" s="8"/>
      <c r="F419" s="12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ht="13.15" x14ac:dyDescent="0.4">
      <c r="A420" s="8"/>
      <c r="B420" s="8"/>
      <c r="C420" s="8"/>
      <c r="D420" s="12"/>
      <c r="E420" s="8"/>
      <c r="F420" s="12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ht="13.15" x14ac:dyDescent="0.4">
      <c r="A421" s="8"/>
      <c r="B421" s="8"/>
      <c r="C421" s="8"/>
      <c r="D421" s="12"/>
      <c r="E421" s="8"/>
      <c r="F421" s="12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ht="13.15" x14ac:dyDescent="0.4">
      <c r="A422" s="8"/>
      <c r="B422" s="8"/>
      <c r="C422" s="8"/>
      <c r="D422" s="12"/>
      <c r="E422" s="8"/>
      <c r="F422" s="12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ht="13.15" x14ac:dyDescent="0.4">
      <c r="A423" s="8"/>
      <c r="B423" s="8"/>
      <c r="C423" s="8"/>
      <c r="D423" s="12"/>
      <c r="E423" s="8"/>
      <c r="F423" s="12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ht="13.15" x14ac:dyDescent="0.4">
      <c r="A424" s="8"/>
      <c r="B424" s="8"/>
      <c r="C424" s="8"/>
      <c r="D424" s="12"/>
      <c r="E424" s="8"/>
      <c r="F424" s="12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ht="13.15" x14ac:dyDescent="0.4">
      <c r="A425" s="8"/>
      <c r="B425" s="8"/>
      <c r="C425" s="8"/>
      <c r="D425" s="12"/>
      <c r="E425" s="8"/>
      <c r="F425" s="12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ht="13.15" x14ac:dyDescent="0.4">
      <c r="A426" s="8"/>
      <c r="B426" s="8"/>
      <c r="C426" s="8"/>
      <c r="D426" s="12"/>
      <c r="E426" s="8"/>
      <c r="F426" s="12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ht="13.15" x14ac:dyDescent="0.4">
      <c r="A427" s="8"/>
      <c r="B427" s="8"/>
      <c r="C427" s="8"/>
      <c r="D427" s="12"/>
      <c r="E427" s="8"/>
      <c r="F427" s="12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ht="13.15" x14ac:dyDescent="0.4">
      <c r="A428" s="8"/>
      <c r="B428" s="8"/>
      <c r="C428" s="8"/>
      <c r="D428" s="12"/>
      <c r="E428" s="8"/>
      <c r="F428" s="12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ht="13.15" x14ac:dyDescent="0.4">
      <c r="A429" s="8"/>
      <c r="B429" s="8"/>
      <c r="C429" s="8"/>
      <c r="D429" s="12"/>
      <c r="E429" s="8"/>
      <c r="F429" s="12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ht="13.15" x14ac:dyDescent="0.4">
      <c r="A430" s="8"/>
      <c r="B430" s="8"/>
      <c r="C430" s="8"/>
      <c r="D430" s="12"/>
      <c r="E430" s="8"/>
      <c r="F430" s="12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ht="13.15" x14ac:dyDescent="0.4">
      <c r="A431" s="8"/>
      <c r="B431" s="8"/>
      <c r="C431" s="8"/>
      <c r="D431" s="12"/>
      <c r="E431" s="8"/>
      <c r="F431" s="12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ht="13.15" x14ac:dyDescent="0.4">
      <c r="A432" s="8"/>
      <c r="B432" s="8"/>
      <c r="C432" s="8"/>
      <c r="D432" s="12"/>
      <c r="E432" s="8"/>
      <c r="F432" s="12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ht="13.15" x14ac:dyDescent="0.4">
      <c r="A433" s="8"/>
      <c r="B433" s="8"/>
      <c r="C433" s="8"/>
      <c r="D433" s="12"/>
      <c r="E433" s="8"/>
      <c r="F433" s="12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ht="13.15" x14ac:dyDescent="0.4">
      <c r="A434" s="8"/>
      <c r="B434" s="8"/>
      <c r="C434" s="8"/>
      <c r="D434" s="12"/>
      <c r="E434" s="8"/>
      <c r="F434" s="12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ht="13.15" x14ac:dyDescent="0.4">
      <c r="A435" s="8"/>
      <c r="B435" s="8"/>
      <c r="C435" s="8"/>
      <c r="D435" s="12"/>
      <c r="E435" s="8"/>
      <c r="F435" s="12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ht="13.15" x14ac:dyDescent="0.4">
      <c r="A436" s="8"/>
      <c r="B436" s="8"/>
      <c r="C436" s="8"/>
      <c r="D436" s="12"/>
      <c r="E436" s="8"/>
      <c r="F436" s="12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ht="13.15" x14ac:dyDescent="0.4">
      <c r="A437" s="8"/>
      <c r="B437" s="8"/>
      <c r="C437" s="8"/>
      <c r="D437" s="12"/>
      <c r="E437" s="8"/>
      <c r="F437" s="12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ht="13.15" x14ac:dyDescent="0.4">
      <c r="A438" s="8"/>
      <c r="B438" s="8"/>
      <c r="C438" s="8"/>
      <c r="D438" s="12"/>
      <c r="E438" s="8"/>
      <c r="F438" s="12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ht="13.15" x14ac:dyDescent="0.4">
      <c r="A439" s="8"/>
      <c r="B439" s="8"/>
      <c r="C439" s="8"/>
      <c r="D439" s="12"/>
      <c r="E439" s="8"/>
      <c r="F439" s="12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ht="13.15" x14ac:dyDescent="0.4">
      <c r="A440" s="8"/>
      <c r="B440" s="8"/>
      <c r="C440" s="8"/>
      <c r="D440" s="12"/>
      <c r="E440" s="8"/>
      <c r="F440" s="12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ht="13.15" x14ac:dyDescent="0.4">
      <c r="A441" s="8"/>
      <c r="B441" s="8"/>
      <c r="C441" s="8"/>
      <c r="D441" s="12"/>
      <c r="E441" s="8"/>
      <c r="F441" s="12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ht="13.15" x14ac:dyDescent="0.4">
      <c r="A442" s="8"/>
      <c r="B442" s="8"/>
      <c r="C442" s="8"/>
      <c r="D442" s="12"/>
      <c r="E442" s="8"/>
      <c r="F442" s="12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ht="13.15" x14ac:dyDescent="0.4">
      <c r="A443" s="8"/>
      <c r="B443" s="8"/>
      <c r="C443" s="8"/>
      <c r="D443" s="12"/>
      <c r="E443" s="8"/>
      <c r="F443" s="12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ht="13.15" x14ac:dyDescent="0.4">
      <c r="A444" s="8"/>
      <c r="B444" s="8"/>
      <c r="C444" s="8"/>
      <c r="D444" s="12"/>
      <c r="E444" s="8"/>
      <c r="F444" s="12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ht="13.15" x14ac:dyDescent="0.4">
      <c r="A445" s="8"/>
      <c r="B445" s="8"/>
      <c r="C445" s="8"/>
      <c r="D445" s="12"/>
      <c r="E445" s="8"/>
      <c r="F445" s="12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ht="13.15" x14ac:dyDescent="0.4">
      <c r="A446" s="8"/>
      <c r="B446" s="8"/>
      <c r="C446" s="8"/>
      <c r="D446" s="12"/>
      <c r="E446" s="8"/>
      <c r="F446" s="12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ht="13.15" x14ac:dyDescent="0.4">
      <c r="A447" s="8"/>
      <c r="B447" s="8"/>
      <c r="C447" s="8"/>
      <c r="D447" s="12"/>
      <c r="E447" s="8"/>
      <c r="F447" s="12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ht="13.15" x14ac:dyDescent="0.4">
      <c r="A448" s="8"/>
      <c r="B448" s="8"/>
      <c r="C448" s="8"/>
      <c r="D448" s="12"/>
      <c r="E448" s="8"/>
      <c r="F448" s="12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ht="13.15" x14ac:dyDescent="0.4">
      <c r="A449" s="8"/>
      <c r="B449" s="8"/>
      <c r="C449" s="8"/>
      <c r="D449" s="12"/>
      <c r="E449" s="8"/>
      <c r="F449" s="12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ht="13.15" x14ac:dyDescent="0.4">
      <c r="A450" s="8"/>
      <c r="B450" s="8"/>
      <c r="C450" s="8"/>
      <c r="D450" s="12"/>
      <c r="E450" s="8"/>
      <c r="F450" s="12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ht="13.15" x14ac:dyDescent="0.4">
      <c r="A451" s="8"/>
      <c r="B451" s="8"/>
      <c r="C451" s="8"/>
      <c r="D451" s="12"/>
      <c r="E451" s="8"/>
      <c r="F451" s="12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ht="13.15" x14ac:dyDescent="0.4">
      <c r="A452" s="8"/>
      <c r="B452" s="8"/>
      <c r="C452" s="8"/>
      <c r="D452" s="12"/>
      <c r="E452" s="8"/>
      <c r="F452" s="12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ht="13.15" x14ac:dyDescent="0.4">
      <c r="A453" s="8"/>
      <c r="B453" s="8"/>
      <c r="C453" s="8"/>
      <c r="D453" s="12"/>
      <c r="E453" s="8"/>
      <c r="F453" s="12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ht="13.15" x14ac:dyDescent="0.4">
      <c r="A454" s="8"/>
      <c r="B454" s="8"/>
      <c r="C454" s="8"/>
      <c r="D454" s="12"/>
      <c r="E454" s="8"/>
      <c r="F454" s="12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ht="13.15" x14ac:dyDescent="0.4">
      <c r="A455" s="8"/>
      <c r="B455" s="8"/>
      <c r="C455" s="8"/>
      <c r="D455" s="12"/>
      <c r="E455" s="8"/>
      <c r="F455" s="12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ht="13.15" x14ac:dyDescent="0.4">
      <c r="A456" s="8"/>
      <c r="B456" s="8"/>
      <c r="C456" s="8"/>
      <c r="D456" s="12"/>
      <c r="E456" s="8"/>
      <c r="F456" s="12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ht="13.15" x14ac:dyDescent="0.4">
      <c r="A457" s="8"/>
      <c r="B457" s="8"/>
      <c r="C457" s="8"/>
      <c r="D457" s="12"/>
      <c r="E457" s="8"/>
      <c r="F457" s="12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ht="13.15" x14ac:dyDescent="0.4">
      <c r="A458" s="8"/>
      <c r="B458" s="8"/>
      <c r="C458" s="8"/>
      <c r="D458" s="12"/>
      <c r="E458" s="8"/>
      <c r="F458" s="12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ht="13.15" x14ac:dyDescent="0.4">
      <c r="A459" s="8"/>
      <c r="B459" s="8"/>
      <c r="C459" s="8"/>
      <c r="D459" s="12"/>
      <c r="E459" s="8"/>
      <c r="F459" s="12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ht="13.15" x14ac:dyDescent="0.4">
      <c r="A460" s="8"/>
      <c r="B460" s="8"/>
      <c r="C460" s="8"/>
      <c r="D460" s="12"/>
      <c r="E460" s="8"/>
      <c r="F460" s="12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ht="13.15" x14ac:dyDescent="0.4">
      <c r="A461" s="8"/>
      <c r="B461" s="8"/>
      <c r="C461" s="8"/>
      <c r="D461" s="12"/>
      <c r="E461" s="8"/>
      <c r="F461" s="12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ht="13.15" x14ac:dyDescent="0.4">
      <c r="A462" s="8"/>
      <c r="B462" s="8"/>
      <c r="C462" s="8"/>
      <c r="D462" s="12"/>
      <c r="E462" s="8"/>
      <c r="F462" s="12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ht="13.15" x14ac:dyDescent="0.4">
      <c r="A463" s="8"/>
      <c r="B463" s="8"/>
      <c r="C463" s="8"/>
      <c r="D463" s="12"/>
      <c r="E463" s="8"/>
      <c r="F463" s="12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ht="13.15" x14ac:dyDescent="0.4">
      <c r="A464" s="8"/>
      <c r="B464" s="8"/>
      <c r="C464" s="8"/>
      <c r="D464" s="12"/>
      <c r="E464" s="8"/>
      <c r="F464" s="12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ht="13.15" x14ac:dyDescent="0.4">
      <c r="A465" s="8"/>
      <c r="B465" s="8"/>
      <c r="C465" s="8"/>
      <c r="D465" s="12"/>
      <c r="E465" s="8"/>
      <c r="F465" s="12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ht="13.15" x14ac:dyDescent="0.4">
      <c r="A466" s="8"/>
      <c r="B466" s="8"/>
      <c r="C466" s="8"/>
      <c r="D466" s="12"/>
      <c r="E466" s="8"/>
      <c r="F466" s="12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ht="13.15" x14ac:dyDescent="0.4">
      <c r="A467" s="8"/>
      <c r="B467" s="8"/>
      <c r="C467" s="8"/>
      <c r="D467" s="12"/>
      <c r="E467" s="8"/>
      <c r="F467" s="12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ht="13.15" x14ac:dyDescent="0.4">
      <c r="A468" s="8"/>
      <c r="B468" s="8"/>
      <c r="C468" s="8"/>
      <c r="D468" s="12"/>
      <c r="E468" s="8"/>
      <c r="F468" s="12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ht="13.15" x14ac:dyDescent="0.4">
      <c r="A469" s="8"/>
      <c r="B469" s="8"/>
      <c r="C469" s="8"/>
      <c r="D469" s="12"/>
      <c r="E469" s="8"/>
      <c r="F469" s="12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ht="13.15" x14ac:dyDescent="0.4">
      <c r="A470" s="8"/>
      <c r="B470" s="8"/>
      <c r="C470" s="8"/>
      <c r="D470" s="12"/>
      <c r="E470" s="8"/>
      <c r="F470" s="12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ht="13.15" x14ac:dyDescent="0.4">
      <c r="A471" s="8"/>
      <c r="B471" s="8"/>
      <c r="C471" s="8"/>
      <c r="D471" s="12"/>
      <c r="E471" s="8"/>
      <c r="F471" s="12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ht="13.15" x14ac:dyDescent="0.4">
      <c r="A472" s="8"/>
      <c r="B472" s="8"/>
      <c r="C472" s="8"/>
      <c r="D472" s="12"/>
      <c r="E472" s="8"/>
      <c r="F472" s="12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ht="13.15" x14ac:dyDescent="0.4">
      <c r="A473" s="8"/>
      <c r="B473" s="8"/>
      <c r="C473" s="8"/>
      <c r="D473" s="12"/>
      <c r="E473" s="8"/>
      <c r="F473" s="12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ht="13.15" x14ac:dyDescent="0.4">
      <c r="A474" s="8"/>
      <c r="B474" s="8"/>
      <c r="C474" s="8"/>
      <c r="D474" s="12"/>
      <c r="E474" s="8"/>
      <c r="F474" s="12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ht="13.15" x14ac:dyDescent="0.4">
      <c r="A475" s="8"/>
      <c r="B475" s="8"/>
      <c r="C475" s="8"/>
      <c r="D475" s="12"/>
      <c r="E475" s="8"/>
      <c r="F475" s="12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ht="13.15" x14ac:dyDescent="0.4">
      <c r="A476" s="8"/>
      <c r="B476" s="8"/>
      <c r="C476" s="8"/>
      <c r="D476" s="12"/>
      <c r="E476" s="8"/>
      <c r="F476" s="12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ht="13.15" x14ac:dyDescent="0.4">
      <c r="A477" s="8"/>
      <c r="B477" s="8"/>
      <c r="C477" s="8"/>
      <c r="D477" s="12"/>
      <c r="E477" s="8"/>
      <c r="F477" s="12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ht="13.15" x14ac:dyDescent="0.4">
      <c r="A478" s="8"/>
      <c r="B478" s="8"/>
      <c r="C478" s="8"/>
      <c r="D478" s="12"/>
      <c r="E478" s="8"/>
      <c r="F478" s="12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ht="13.15" x14ac:dyDescent="0.4">
      <c r="A479" s="8"/>
      <c r="B479" s="8"/>
      <c r="C479" s="8"/>
      <c r="D479" s="12"/>
      <c r="E479" s="8"/>
      <c r="F479" s="12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ht="13.15" x14ac:dyDescent="0.4">
      <c r="A480" s="8"/>
      <c r="B480" s="8"/>
      <c r="C480" s="8"/>
      <c r="D480" s="12"/>
      <c r="E480" s="8"/>
      <c r="F480" s="12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ht="13.15" x14ac:dyDescent="0.4">
      <c r="A481" s="8"/>
      <c r="B481" s="8"/>
      <c r="C481" s="8"/>
      <c r="D481" s="12"/>
      <c r="E481" s="8"/>
      <c r="F481" s="12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ht="13.15" x14ac:dyDescent="0.4">
      <c r="A482" s="8"/>
      <c r="B482" s="8"/>
      <c r="C482" s="8"/>
      <c r="D482" s="12"/>
      <c r="E482" s="8"/>
      <c r="F482" s="12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ht="13.15" x14ac:dyDescent="0.4">
      <c r="A483" s="8"/>
      <c r="B483" s="8"/>
      <c r="C483" s="8"/>
      <c r="D483" s="12"/>
      <c r="E483" s="8"/>
      <c r="F483" s="12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ht="13.15" x14ac:dyDescent="0.4">
      <c r="A484" s="8"/>
      <c r="B484" s="8"/>
      <c r="C484" s="8"/>
      <c r="D484" s="12"/>
      <c r="E484" s="8"/>
      <c r="F484" s="12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ht="13.15" x14ac:dyDescent="0.4">
      <c r="A485" s="8"/>
      <c r="B485" s="8"/>
      <c r="C485" s="8"/>
      <c r="D485" s="12"/>
      <c r="E485" s="8"/>
      <c r="F485" s="12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ht="13.15" x14ac:dyDescent="0.4">
      <c r="A486" s="8"/>
      <c r="B486" s="8"/>
      <c r="C486" s="8"/>
      <c r="D486" s="12"/>
      <c r="E486" s="8"/>
      <c r="F486" s="12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ht="13.15" x14ac:dyDescent="0.4">
      <c r="A487" s="8"/>
      <c r="B487" s="8"/>
      <c r="C487" s="8"/>
      <c r="D487" s="12"/>
      <c r="E487" s="8"/>
      <c r="F487" s="12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ht="13.15" x14ac:dyDescent="0.4">
      <c r="A488" s="8"/>
      <c r="B488" s="8"/>
      <c r="C488" s="8"/>
      <c r="D488" s="12"/>
      <c r="E488" s="8"/>
      <c r="F488" s="12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ht="13.15" x14ac:dyDescent="0.4">
      <c r="A489" s="8"/>
      <c r="B489" s="8"/>
      <c r="C489" s="8"/>
      <c r="D489" s="12"/>
      <c r="E489" s="8"/>
      <c r="F489" s="12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ht="13.15" x14ac:dyDescent="0.4">
      <c r="A490" s="8"/>
      <c r="B490" s="8"/>
      <c r="C490" s="8"/>
      <c r="D490" s="12"/>
      <c r="E490" s="8"/>
      <c r="F490" s="12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ht="13.15" x14ac:dyDescent="0.4">
      <c r="A491" s="8"/>
      <c r="B491" s="8"/>
      <c r="C491" s="8"/>
      <c r="D491" s="12"/>
      <c r="E491" s="8"/>
      <c r="F491" s="12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ht="13.15" x14ac:dyDescent="0.4">
      <c r="A492" s="8"/>
      <c r="B492" s="8"/>
      <c r="C492" s="8"/>
      <c r="D492" s="12"/>
      <c r="E492" s="8"/>
      <c r="F492" s="12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ht="13.15" x14ac:dyDescent="0.4">
      <c r="A493" s="8"/>
      <c r="B493" s="8"/>
      <c r="C493" s="8"/>
      <c r="D493" s="12"/>
      <c r="E493" s="8"/>
      <c r="F493" s="12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ht="13.15" x14ac:dyDescent="0.4">
      <c r="A494" s="8"/>
      <c r="B494" s="8"/>
      <c r="C494" s="8"/>
      <c r="D494" s="12"/>
      <c r="E494" s="8"/>
      <c r="F494" s="12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ht="13.15" x14ac:dyDescent="0.4">
      <c r="A495" s="8"/>
      <c r="B495" s="8"/>
      <c r="C495" s="8"/>
      <c r="D495" s="12"/>
      <c r="E495" s="8"/>
      <c r="F495" s="12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ht="13.15" x14ac:dyDescent="0.4">
      <c r="A496" s="8"/>
      <c r="B496" s="8"/>
      <c r="C496" s="8"/>
      <c r="D496" s="12"/>
      <c r="E496" s="8"/>
      <c r="F496" s="12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ht="13.15" x14ac:dyDescent="0.4">
      <c r="A497" s="8"/>
      <c r="B497" s="8"/>
      <c r="C497" s="8"/>
      <c r="D497" s="12"/>
      <c r="E497" s="8"/>
      <c r="F497" s="12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ht="13.15" x14ac:dyDescent="0.4">
      <c r="A498" s="8"/>
      <c r="B498" s="8"/>
      <c r="C498" s="8"/>
      <c r="D498" s="12"/>
      <c r="E498" s="8"/>
      <c r="F498" s="12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ht="13.15" x14ac:dyDescent="0.4">
      <c r="A499" s="8"/>
      <c r="B499" s="8"/>
      <c r="C499" s="8"/>
      <c r="D499" s="12"/>
      <c r="E499" s="8"/>
      <c r="F499" s="12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ht="13.15" x14ac:dyDescent="0.4">
      <c r="A500" s="8"/>
      <c r="B500" s="8"/>
      <c r="C500" s="8"/>
      <c r="D500" s="12"/>
      <c r="E500" s="8"/>
      <c r="F500" s="12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ht="13.15" x14ac:dyDescent="0.4">
      <c r="A501" s="8"/>
      <c r="B501" s="8"/>
      <c r="C501" s="8"/>
      <c r="D501" s="12"/>
      <c r="E501" s="8"/>
      <c r="F501" s="12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ht="13.15" x14ac:dyDescent="0.4">
      <c r="A502" s="8"/>
      <c r="B502" s="8"/>
      <c r="C502" s="8"/>
      <c r="D502" s="12"/>
      <c r="E502" s="8"/>
      <c r="F502" s="12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ht="13.15" x14ac:dyDescent="0.4">
      <c r="A503" s="8"/>
      <c r="B503" s="8"/>
      <c r="C503" s="8"/>
      <c r="D503" s="12"/>
      <c r="E503" s="8"/>
      <c r="F503" s="12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ht="13.15" x14ac:dyDescent="0.4">
      <c r="A504" s="8"/>
      <c r="B504" s="8"/>
      <c r="C504" s="8"/>
      <c r="D504" s="12"/>
      <c r="E504" s="8"/>
      <c r="F504" s="12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ht="13.15" x14ac:dyDescent="0.4">
      <c r="A505" s="8"/>
      <c r="B505" s="8"/>
      <c r="C505" s="8"/>
      <c r="D505" s="12"/>
      <c r="E505" s="8"/>
      <c r="F505" s="12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ht="13.15" x14ac:dyDescent="0.4">
      <c r="A506" s="8"/>
      <c r="B506" s="8"/>
      <c r="C506" s="8"/>
      <c r="D506" s="12"/>
      <c r="E506" s="8"/>
      <c r="F506" s="12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ht="13.15" x14ac:dyDescent="0.4">
      <c r="A507" s="8"/>
      <c r="B507" s="8"/>
      <c r="C507" s="8"/>
      <c r="D507" s="12"/>
      <c r="E507" s="8"/>
      <c r="F507" s="12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ht="13.15" x14ac:dyDescent="0.4">
      <c r="A508" s="8"/>
      <c r="B508" s="8"/>
      <c r="C508" s="8"/>
      <c r="D508" s="12"/>
      <c r="E508" s="8"/>
      <c r="F508" s="12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ht="13.15" x14ac:dyDescent="0.4">
      <c r="A509" s="8"/>
      <c r="B509" s="8"/>
      <c r="C509" s="8"/>
      <c r="D509" s="12"/>
      <c r="E509" s="8"/>
      <c r="F509" s="12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ht="13.15" x14ac:dyDescent="0.4">
      <c r="A510" s="8"/>
      <c r="B510" s="8"/>
      <c r="C510" s="8"/>
      <c r="D510" s="12"/>
      <c r="E510" s="8"/>
      <c r="F510" s="12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ht="13.15" x14ac:dyDescent="0.4">
      <c r="A511" s="8"/>
      <c r="B511" s="8"/>
      <c r="C511" s="8"/>
      <c r="D511" s="12"/>
      <c r="E511" s="8"/>
      <c r="F511" s="12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ht="13.15" x14ac:dyDescent="0.4">
      <c r="A512" s="8"/>
      <c r="B512" s="8"/>
      <c r="C512" s="8"/>
      <c r="D512" s="12"/>
      <c r="E512" s="8"/>
      <c r="F512" s="12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ht="13.15" x14ac:dyDescent="0.4">
      <c r="A513" s="8"/>
      <c r="B513" s="8"/>
      <c r="C513" s="8"/>
      <c r="D513" s="12"/>
      <c r="E513" s="8"/>
      <c r="F513" s="12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ht="13.15" x14ac:dyDescent="0.4">
      <c r="A514" s="8"/>
      <c r="B514" s="8"/>
      <c r="C514" s="8"/>
      <c r="D514" s="12"/>
      <c r="E514" s="8"/>
      <c r="F514" s="12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ht="13.15" x14ac:dyDescent="0.4">
      <c r="A515" s="8"/>
      <c r="B515" s="8"/>
      <c r="C515" s="8"/>
      <c r="D515" s="12"/>
      <c r="E515" s="8"/>
      <c r="F515" s="12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ht="13.15" x14ac:dyDescent="0.4">
      <c r="A516" s="8"/>
      <c r="B516" s="8"/>
      <c r="C516" s="8"/>
      <c r="D516" s="12"/>
      <c r="E516" s="8"/>
      <c r="F516" s="12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ht="13.15" x14ac:dyDescent="0.4">
      <c r="A517" s="8"/>
      <c r="B517" s="8"/>
      <c r="C517" s="8"/>
      <c r="D517" s="12"/>
      <c r="E517" s="8"/>
      <c r="F517" s="12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ht="13.15" x14ac:dyDescent="0.4">
      <c r="A518" s="8"/>
      <c r="B518" s="8"/>
      <c r="C518" s="8"/>
      <c r="D518" s="12"/>
      <c r="E518" s="8"/>
      <c r="F518" s="12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ht="13.15" x14ac:dyDescent="0.4">
      <c r="A519" s="8"/>
      <c r="B519" s="8"/>
      <c r="C519" s="8"/>
      <c r="D519" s="12"/>
      <c r="E519" s="8"/>
      <c r="F519" s="12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ht="13.15" x14ac:dyDescent="0.4">
      <c r="A520" s="8"/>
      <c r="B520" s="8"/>
      <c r="C520" s="8"/>
      <c r="D520" s="12"/>
      <c r="E520" s="8"/>
      <c r="F520" s="12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ht="13.15" x14ac:dyDescent="0.4">
      <c r="A521" s="8"/>
      <c r="B521" s="8"/>
      <c r="C521" s="8"/>
      <c r="D521" s="12"/>
      <c r="E521" s="8"/>
      <c r="F521" s="12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ht="13.15" x14ac:dyDescent="0.4">
      <c r="A522" s="8"/>
      <c r="B522" s="8"/>
      <c r="C522" s="8"/>
      <c r="D522" s="12"/>
      <c r="E522" s="8"/>
      <c r="F522" s="12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ht="13.15" x14ac:dyDescent="0.4">
      <c r="A523" s="8"/>
      <c r="B523" s="8"/>
      <c r="C523" s="8"/>
      <c r="D523" s="12"/>
      <c r="E523" s="8"/>
      <c r="F523" s="12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ht="13.15" x14ac:dyDescent="0.4">
      <c r="A524" s="8"/>
      <c r="B524" s="8"/>
      <c r="C524" s="8"/>
      <c r="D524" s="12"/>
      <c r="E524" s="8"/>
      <c r="F524" s="12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ht="13.15" x14ac:dyDescent="0.4">
      <c r="A525" s="8"/>
      <c r="B525" s="8"/>
      <c r="C525" s="8"/>
      <c r="D525" s="12"/>
      <c r="E525" s="8"/>
      <c r="F525" s="12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ht="13.15" x14ac:dyDescent="0.4">
      <c r="A526" s="8"/>
      <c r="B526" s="8"/>
      <c r="C526" s="8"/>
      <c r="D526" s="12"/>
      <c r="E526" s="8"/>
      <c r="F526" s="12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ht="13.15" x14ac:dyDescent="0.4">
      <c r="A527" s="8"/>
      <c r="B527" s="8"/>
      <c r="C527" s="8"/>
      <c r="D527" s="12"/>
      <c r="E527" s="8"/>
      <c r="F527" s="12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ht="13.15" x14ac:dyDescent="0.4">
      <c r="A528" s="8"/>
      <c r="B528" s="8"/>
      <c r="C528" s="8"/>
      <c r="D528" s="12"/>
      <c r="E528" s="8"/>
      <c r="F528" s="12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ht="13.15" x14ac:dyDescent="0.4">
      <c r="A529" s="8"/>
      <c r="B529" s="8"/>
      <c r="C529" s="8"/>
      <c r="D529" s="12"/>
      <c r="E529" s="8"/>
      <c r="F529" s="12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ht="13.15" x14ac:dyDescent="0.4">
      <c r="A530" s="8"/>
      <c r="B530" s="8"/>
      <c r="C530" s="8"/>
      <c r="D530" s="12"/>
      <c r="E530" s="8"/>
      <c r="F530" s="12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ht="13.15" x14ac:dyDescent="0.4">
      <c r="A531" s="8"/>
      <c r="B531" s="8"/>
      <c r="C531" s="8"/>
      <c r="D531" s="12"/>
      <c r="E531" s="8"/>
      <c r="F531" s="12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ht="13.15" x14ac:dyDescent="0.4">
      <c r="A532" s="8"/>
      <c r="B532" s="8"/>
      <c r="C532" s="8"/>
      <c r="D532" s="12"/>
      <c r="E532" s="8"/>
      <c r="F532" s="12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ht="13.15" x14ac:dyDescent="0.4">
      <c r="A533" s="8"/>
      <c r="B533" s="8"/>
      <c r="C533" s="8"/>
      <c r="D533" s="12"/>
      <c r="E533" s="8"/>
      <c r="F533" s="12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ht="13.15" x14ac:dyDescent="0.4">
      <c r="A534" s="8"/>
      <c r="B534" s="8"/>
      <c r="C534" s="8"/>
      <c r="D534" s="12"/>
      <c r="E534" s="8"/>
      <c r="F534" s="12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ht="13.15" x14ac:dyDescent="0.4">
      <c r="A535" s="8"/>
      <c r="B535" s="8"/>
      <c r="C535" s="8"/>
      <c r="D535" s="12"/>
      <c r="E535" s="8"/>
      <c r="F535" s="12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ht="13.15" x14ac:dyDescent="0.4">
      <c r="A536" s="8"/>
      <c r="B536" s="8"/>
      <c r="C536" s="8"/>
      <c r="D536" s="12"/>
      <c r="E536" s="8"/>
      <c r="F536" s="12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ht="13.15" x14ac:dyDescent="0.4">
      <c r="A537" s="8"/>
      <c r="B537" s="8"/>
      <c r="C537" s="8"/>
      <c r="D537" s="12"/>
      <c r="E537" s="8"/>
      <c r="F537" s="12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ht="13.15" x14ac:dyDescent="0.4">
      <c r="A538" s="8"/>
      <c r="B538" s="8"/>
      <c r="C538" s="8"/>
      <c r="D538" s="12"/>
      <c r="E538" s="8"/>
      <c r="F538" s="12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ht="13.15" x14ac:dyDescent="0.4">
      <c r="A539" s="8"/>
      <c r="B539" s="8"/>
      <c r="C539" s="8"/>
      <c r="D539" s="12"/>
      <c r="E539" s="8"/>
      <c r="F539" s="12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ht="13.15" x14ac:dyDescent="0.4">
      <c r="A540" s="8"/>
      <c r="B540" s="8"/>
      <c r="C540" s="8"/>
      <c r="D540" s="12"/>
      <c r="E540" s="8"/>
      <c r="F540" s="12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ht="13.15" x14ac:dyDescent="0.4">
      <c r="A541" s="8"/>
      <c r="B541" s="8"/>
      <c r="C541" s="8"/>
      <c r="D541" s="12"/>
      <c r="E541" s="8"/>
      <c r="F541" s="12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ht="13.15" x14ac:dyDescent="0.4">
      <c r="A542" s="8"/>
      <c r="B542" s="8"/>
      <c r="C542" s="8"/>
      <c r="D542" s="12"/>
      <c r="E542" s="8"/>
      <c r="F542" s="12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ht="13.15" x14ac:dyDescent="0.4">
      <c r="A543" s="8"/>
      <c r="B543" s="8"/>
      <c r="C543" s="8"/>
      <c r="D543" s="12"/>
      <c r="E543" s="8"/>
      <c r="F543" s="12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ht="13.15" x14ac:dyDescent="0.4">
      <c r="A544" s="8"/>
      <c r="B544" s="8"/>
      <c r="C544" s="8"/>
      <c r="D544" s="12"/>
      <c r="E544" s="8"/>
      <c r="F544" s="12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ht="13.15" x14ac:dyDescent="0.4">
      <c r="A545" s="8"/>
      <c r="B545" s="8"/>
      <c r="C545" s="8"/>
      <c r="D545" s="12"/>
      <c r="E545" s="8"/>
      <c r="F545" s="12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ht="13.15" x14ac:dyDescent="0.4">
      <c r="A546" s="8"/>
      <c r="B546" s="8"/>
      <c r="C546" s="8"/>
      <c r="D546" s="12"/>
      <c r="E546" s="8"/>
      <c r="F546" s="12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ht="13.15" x14ac:dyDescent="0.4">
      <c r="A547" s="8"/>
      <c r="B547" s="8"/>
      <c r="C547" s="8"/>
      <c r="D547" s="12"/>
      <c r="E547" s="8"/>
      <c r="F547" s="12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ht="13.15" x14ac:dyDescent="0.4">
      <c r="A548" s="8"/>
      <c r="B548" s="8"/>
      <c r="C548" s="8"/>
      <c r="D548" s="12"/>
      <c r="E548" s="8"/>
      <c r="F548" s="12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ht="13.15" x14ac:dyDescent="0.4">
      <c r="A549" s="8"/>
      <c r="B549" s="8"/>
      <c r="C549" s="8"/>
      <c r="D549" s="12"/>
      <c r="E549" s="8"/>
      <c r="F549" s="12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ht="13.15" x14ac:dyDescent="0.4">
      <c r="A550" s="8"/>
      <c r="B550" s="8"/>
      <c r="C550" s="8"/>
      <c r="D550" s="12"/>
      <c r="E550" s="8"/>
      <c r="F550" s="12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ht="13.15" x14ac:dyDescent="0.4">
      <c r="A551" s="8"/>
      <c r="B551" s="8"/>
      <c r="C551" s="8"/>
      <c r="D551" s="12"/>
      <c r="E551" s="8"/>
      <c r="F551" s="12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ht="13.15" x14ac:dyDescent="0.4">
      <c r="A552" s="8"/>
      <c r="B552" s="8"/>
      <c r="C552" s="8"/>
      <c r="D552" s="12"/>
      <c r="E552" s="8"/>
      <c r="F552" s="12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ht="13.15" x14ac:dyDescent="0.4">
      <c r="A553" s="8"/>
      <c r="B553" s="8"/>
      <c r="C553" s="8"/>
      <c r="D553" s="12"/>
      <c r="E553" s="8"/>
      <c r="F553" s="12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ht="13.15" x14ac:dyDescent="0.4">
      <c r="A554" s="8"/>
      <c r="B554" s="8"/>
      <c r="C554" s="8"/>
      <c r="D554" s="12"/>
      <c r="E554" s="8"/>
      <c r="F554" s="12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ht="13.15" x14ac:dyDescent="0.4">
      <c r="A555" s="8"/>
      <c r="B555" s="8"/>
      <c r="C555" s="8"/>
      <c r="D555" s="12"/>
      <c r="E555" s="8"/>
      <c r="F555" s="12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ht="13.15" x14ac:dyDescent="0.4">
      <c r="A556" s="8"/>
      <c r="B556" s="8"/>
      <c r="C556" s="8"/>
      <c r="D556" s="12"/>
      <c r="E556" s="8"/>
      <c r="F556" s="12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ht="13.15" x14ac:dyDescent="0.4">
      <c r="A557" s="8"/>
      <c r="B557" s="8"/>
      <c r="C557" s="8"/>
      <c r="D557" s="12"/>
      <c r="E557" s="8"/>
      <c r="F557" s="12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ht="13.15" x14ac:dyDescent="0.4">
      <c r="A558" s="8"/>
      <c r="B558" s="8"/>
      <c r="C558" s="8"/>
      <c r="D558" s="12"/>
      <c r="E558" s="8"/>
      <c r="F558" s="12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ht="13.15" x14ac:dyDescent="0.4">
      <c r="A559" s="8"/>
      <c r="B559" s="8"/>
      <c r="C559" s="8"/>
      <c r="D559" s="12"/>
      <c r="E559" s="8"/>
      <c r="F559" s="12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ht="13.15" x14ac:dyDescent="0.4">
      <c r="A560" s="8"/>
      <c r="B560" s="8"/>
      <c r="C560" s="8"/>
      <c r="D560" s="12"/>
      <c r="E560" s="8"/>
      <c r="F560" s="12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ht="13.15" x14ac:dyDescent="0.4">
      <c r="A561" s="8"/>
      <c r="B561" s="8"/>
      <c r="C561" s="8"/>
      <c r="D561" s="12"/>
      <c r="E561" s="8"/>
      <c r="F561" s="12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ht="13.15" x14ac:dyDescent="0.4">
      <c r="A562" s="8"/>
      <c r="B562" s="8"/>
      <c r="C562" s="8"/>
      <c r="D562" s="12"/>
      <c r="E562" s="8"/>
      <c r="F562" s="12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ht="13.15" x14ac:dyDescent="0.4">
      <c r="A563" s="8"/>
      <c r="B563" s="8"/>
      <c r="C563" s="8"/>
      <c r="D563" s="12"/>
      <c r="E563" s="8"/>
      <c r="F563" s="12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ht="13.15" x14ac:dyDescent="0.4">
      <c r="A564" s="8"/>
      <c r="B564" s="8"/>
      <c r="C564" s="8"/>
      <c r="D564" s="12"/>
      <c r="E564" s="8"/>
      <c r="F564" s="12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ht="13.15" x14ac:dyDescent="0.4">
      <c r="A565" s="8"/>
      <c r="B565" s="8"/>
      <c r="C565" s="8"/>
      <c r="D565" s="12"/>
      <c r="E565" s="8"/>
      <c r="F565" s="12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ht="13.15" x14ac:dyDescent="0.4">
      <c r="A566" s="8"/>
      <c r="B566" s="8"/>
      <c r="C566" s="8"/>
      <c r="D566" s="12"/>
      <c r="E566" s="8"/>
      <c r="F566" s="12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ht="13.15" x14ac:dyDescent="0.4">
      <c r="A567" s="8"/>
      <c r="B567" s="8"/>
      <c r="C567" s="8"/>
      <c r="D567" s="12"/>
      <c r="E567" s="8"/>
      <c r="F567" s="12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ht="13.15" x14ac:dyDescent="0.4">
      <c r="A568" s="8"/>
      <c r="B568" s="8"/>
      <c r="C568" s="8"/>
      <c r="D568" s="12"/>
      <c r="E568" s="8"/>
      <c r="F568" s="12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ht="13.15" x14ac:dyDescent="0.4">
      <c r="A569" s="8"/>
      <c r="B569" s="8"/>
      <c r="C569" s="8"/>
      <c r="D569" s="12"/>
      <c r="E569" s="8"/>
      <c r="F569" s="12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ht="13.15" x14ac:dyDescent="0.4">
      <c r="A570" s="8"/>
      <c r="B570" s="8"/>
      <c r="C570" s="8"/>
      <c r="D570" s="12"/>
      <c r="E570" s="8"/>
      <c r="F570" s="12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ht="13.15" x14ac:dyDescent="0.4">
      <c r="A571" s="8"/>
      <c r="B571" s="8"/>
      <c r="C571" s="8"/>
      <c r="D571" s="12"/>
      <c r="E571" s="8"/>
      <c r="F571" s="12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ht="13.15" x14ac:dyDescent="0.4">
      <c r="A572" s="8"/>
      <c r="B572" s="8"/>
      <c r="C572" s="8"/>
      <c r="D572" s="12"/>
      <c r="E572" s="8"/>
      <c r="F572" s="12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ht="13.15" x14ac:dyDescent="0.4">
      <c r="A573" s="8"/>
      <c r="B573" s="8"/>
      <c r="C573" s="8"/>
      <c r="D573" s="12"/>
      <c r="E573" s="8"/>
      <c r="F573" s="12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ht="13.15" x14ac:dyDescent="0.4">
      <c r="A574" s="8"/>
      <c r="B574" s="8"/>
      <c r="C574" s="8"/>
      <c r="D574" s="12"/>
      <c r="E574" s="8"/>
      <c r="F574" s="12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ht="13.15" x14ac:dyDescent="0.4">
      <c r="A575" s="8"/>
      <c r="B575" s="8"/>
      <c r="C575" s="8"/>
      <c r="D575" s="12"/>
      <c r="E575" s="8"/>
      <c r="F575" s="12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ht="13.15" x14ac:dyDescent="0.4">
      <c r="A576" s="8"/>
      <c r="B576" s="8"/>
      <c r="C576" s="8"/>
      <c r="D576" s="12"/>
      <c r="E576" s="8"/>
      <c r="F576" s="12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ht="13.15" x14ac:dyDescent="0.4">
      <c r="A577" s="8"/>
      <c r="B577" s="8"/>
      <c r="C577" s="8"/>
      <c r="D577" s="12"/>
      <c r="E577" s="8"/>
      <c r="F577" s="12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ht="13.15" x14ac:dyDescent="0.4">
      <c r="A578" s="8"/>
      <c r="B578" s="8"/>
      <c r="C578" s="8"/>
      <c r="D578" s="12"/>
      <c r="E578" s="8"/>
      <c r="F578" s="12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ht="13.15" x14ac:dyDescent="0.4">
      <c r="A579" s="8"/>
      <c r="B579" s="8"/>
      <c r="C579" s="8"/>
      <c r="D579" s="12"/>
      <c r="E579" s="8"/>
      <c r="F579" s="12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ht="13.15" x14ac:dyDescent="0.4">
      <c r="A580" s="8"/>
      <c r="B580" s="8"/>
      <c r="C580" s="8"/>
      <c r="D580" s="12"/>
      <c r="E580" s="8"/>
      <c r="F580" s="12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ht="13.15" x14ac:dyDescent="0.4">
      <c r="A581" s="8"/>
      <c r="B581" s="8"/>
      <c r="C581" s="8"/>
      <c r="D581" s="12"/>
      <c r="E581" s="8"/>
      <c r="F581" s="12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ht="13.15" x14ac:dyDescent="0.4">
      <c r="A582" s="8"/>
      <c r="B582" s="8"/>
      <c r="C582" s="8"/>
      <c r="D582" s="12"/>
      <c r="E582" s="8"/>
      <c r="F582" s="12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ht="13.15" x14ac:dyDescent="0.4">
      <c r="A583" s="8"/>
      <c r="B583" s="8"/>
      <c r="C583" s="8"/>
      <c r="D583" s="12"/>
      <c r="E583" s="8"/>
      <c r="F583" s="12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ht="13.15" x14ac:dyDescent="0.4">
      <c r="A584" s="8"/>
      <c r="B584" s="8"/>
      <c r="C584" s="8"/>
      <c r="D584" s="12"/>
      <c r="E584" s="8"/>
      <c r="F584" s="12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ht="13.15" x14ac:dyDescent="0.4">
      <c r="A585" s="8"/>
      <c r="B585" s="8"/>
      <c r="C585" s="8"/>
      <c r="D585" s="12"/>
      <c r="E585" s="8"/>
      <c r="F585" s="12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ht="13.15" x14ac:dyDescent="0.4">
      <c r="A586" s="8"/>
      <c r="B586" s="8"/>
      <c r="C586" s="8"/>
      <c r="D586" s="12"/>
      <c r="E586" s="8"/>
      <c r="F586" s="12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ht="13.15" x14ac:dyDescent="0.4">
      <c r="A587" s="8"/>
      <c r="B587" s="8"/>
      <c r="C587" s="8"/>
      <c r="D587" s="12"/>
      <c r="E587" s="8"/>
      <c r="F587" s="12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ht="13.15" x14ac:dyDescent="0.4">
      <c r="A588" s="8"/>
      <c r="B588" s="8"/>
      <c r="C588" s="8"/>
      <c r="D588" s="12"/>
      <c r="E588" s="8"/>
      <c r="F588" s="12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ht="13.15" x14ac:dyDescent="0.4">
      <c r="A589" s="8"/>
      <c r="B589" s="8"/>
      <c r="C589" s="8"/>
      <c r="D589" s="12"/>
      <c r="E589" s="8"/>
      <c r="F589" s="12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ht="13.15" x14ac:dyDescent="0.4">
      <c r="A590" s="8"/>
      <c r="B590" s="8"/>
      <c r="C590" s="8"/>
      <c r="D590" s="12"/>
      <c r="E590" s="8"/>
      <c r="F590" s="12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ht="13.15" x14ac:dyDescent="0.4">
      <c r="A591" s="8"/>
      <c r="B591" s="8"/>
      <c r="C591" s="8"/>
      <c r="D591" s="12"/>
      <c r="E591" s="8"/>
      <c r="F591" s="12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ht="13.15" x14ac:dyDescent="0.4">
      <c r="A592" s="8"/>
      <c r="B592" s="8"/>
      <c r="C592" s="8"/>
      <c r="D592" s="12"/>
      <c r="E592" s="8"/>
      <c r="F592" s="12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ht="13.15" x14ac:dyDescent="0.4">
      <c r="A593" s="8"/>
      <c r="B593" s="8"/>
      <c r="C593" s="8"/>
      <c r="D593" s="12"/>
      <c r="E593" s="8"/>
      <c r="F593" s="12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ht="13.15" x14ac:dyDescent="0.4">
      <c r="A594" s="8"/>
      <c r="B594" s="8"/>
      <c r="C594" s="8"/>
      <c r="D594" s="12"/>
      <c r="E594" s="8"/>
      <c r="F594" s="12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ht="13.15" x14ac:dyDescent="0.4">
      <c r="A595" s="8"/>
      <c r="B595" s="8"/>
      <c r="C595" s="8"/>
      <c r="D595" s="12"/>
      <c r="E595" s="8"/>
      <c r="F595" s="12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ht="13.15" x14ac:dyDescent="0.4">
      <c r="A596" s="8"/>
      <c r="B596" s="8"/>
      <c r="C596" s="8"/>
      <c r="D596" s="12"/>
      <c r="E596" s="8"/>
      <c r="F596" s="12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ht="13.15" x14ac:dyDescent="0.4">
      <c r="A597" s="8"/>
      <c r="B597" s="8"/>
      <c r="C597" s="8"/>
      <c r="D597" s="12"/>
      <c r="E597" s="8"/>
      <c r="F597" s="12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ht="13.15" x14ac:dyDescent="0.4">
      <c r="A598" s="8"/>
      <c r="B598" s="8"/>
      <c r="C598" s="8"/>
      <c r="D598" s="12"/>
      <c r="E598" s="8"/>
      <c r="F598" s="12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ht="13.15" x14ac:dyDescent="0.4">
      <c r="A599" s="8"/>
      <c r="B599" s="8"/>
      <c r="C599" s="8"/>
      <c r="D599" s="12"/>
      <c r="E599" s="8"/>
      <c r="F599" s="12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ht="13.15" x14ac:dyDescent="0.4">
      <c r="A600" s="8"/>
      <c r="B600" s="8"/>
      <c r="C600" s="8"/>
      <c r="D600" s="12"/>
      <c r="E600" s="8"/>
      <c r="F600" s="12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ht="13.15" x14ac:dyDescent="0.4">
      <c r="A601" s="8"/>
      <c r="B601" s="8"/>
      <c r="C601" s="8"/>
      <c r="D601" s="12"/>
      <c r="E601" s="8"/>
      <c r="F601" s="12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ht="13.15" x14ac:dyDescent="0.4">
      <c r="A602" s="8"/>
      <c r="B602" s="8"/>
      <c r="C602" s="8"/>
      <c r="D602" s="12"/>
      <c r="E602" s="8"/>
      <c r="F602" s="12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ht="13.15" x14ac:dyDescent="0.4">
      <c r="A603" s="8"/>
      <c r="B603" s="8"/>
      <c r="C603" s="8"/>
      <c r="D603" s="12"/>
      <c r="E603" s="8"/>
      <c r="F603" s="12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ht="13.15" x14ac:dyDescent="0.4">
      <c r="A604" s="8"/>
      <c r="B604" s="8"/>
      <c r="C604" s="8"/>
      <c r="D604" s="12"/>
      <c r="E604" s="8"/>
      <c r="F604" s="12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ht="13.15" x14ac:dyDescent="0.4">
      <c r="A605" s="8"/>
      <c r="B605" s="8"/>
      <c r="C605" s="8"/>
      <c r="D605" s="12"/>
      <c r="E605" s="8"/>
      <c r="F605" s="12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ht="13.15" x14ac:dyDescent="0.4">
      <c r="A606" s="8"/>
      <c r="B606" s="8"/>
      <c r="C606" s="8"/>
      <c r="D606" s="12"/>
      <c r="E606" s="8"/>
      <c r="F606" s="12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ht="13.15" x14ac:dyDescent="0.4">
      <c r="A607" s="8"/>
      <c r="B607" s="8"/>
      <c r="C607" s="8"/>
      <c r="D607" s="12"/>
      <c r="E607" s="8"/>
      <c r="F607" s="12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ht="13.15" x14ac:dyDescent="0.4">
      <c r="A608" s="8"/>
      <c r="B608" s="8"/>
      <c r="C608" s="8"/>
      <c r="D608" s="12"/>
      <c r="E608" s="8"/>
      <c r="F608" s="12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ht="13.15" x14ac:dyDescent="0.4">
      <c r="A609" s="8"/>
      <c r="B609" s="8"/>
      <c r="C609" s="8"/>
      <c r="D609" s="12"/>
      <c r="E609" s="8"/>
      <c r="F609" s="12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ht="13.15" x14ac:dyDescent="0.4">
      <c r="A610" s="8"/>
      <c r="B610" s="8"/>
      <c r="C610" s="8"/>
      <c r="D610" s="12"/>
      <c r="E610" s="8"/>
      <c r="F610" s="12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ht="13.15" x14ac:dyDescent="0.4">
      <c r="A611" s="8"/>
      <c r="B611" s="8"/>
      <c r="C611" s="8"/>
      <c r="D611" s="12"/>
      <c r="E611" s="8"/>
      <c r="F611" s="12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ht="13.15" x14ac:dyDescent="0.4">
      <c r="A612" s="8"/>
      <c r="B612" s="8"/>
      <c r="C612" s="8"/>
      <c r="D612" s="12"/>
      <c r="E612" s="8"/>
      <c r="F612" s="12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ht="13.15" x14ac:dyDescent="0.4">
      <c r="A613" s="8"/>
      <c r="B613" s="8"/>
      <c r="C613" s="8"/>
      <c r="D613" s="12"/>
      <c r="E613" s="8"/>
      <c r="F613" s="12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ht="13.15" x14ac:dyDescent="0.4">
      <c r="A614" s="8"/>
      <c r="B614" s="8"/>
      <c r="C614" s="8"/>
      <c r="D614" s="12"/>
      <c r="E614" s="8"/>
      <c r="F614" s="12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ht="13.15" x14ac:dyDescent="0.4">
      <c r="A615" s="8"/>
      <c r="B615" s="8"/>
      <c r="C615" s="8"/>
      <c r="D615" s="12"/>
      <c r="E615" s="8"/>
      <c r="F615" s="12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ht="13.15" x14ac:dyDescent="0.4">
      <c r="A616" s="8"/>
      <c r="B616" s="8"/>
      <c r="C616" s="8"/>
      <c r="D616" s="12"/>
      <c r="E616" s="8"/>
      <c r="F616" s="12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ht="13.15" x14ac:dyDescent="0.4">
      <c r="A617" s="8"/>
      <c r="B617" s="8"/>
      <c r="C617" s="8"/>
      <c r="D617" s="12"/>
      <c r="E617" s="8"/>
      <c r="F617" s="12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ht="13.15" x14ac:dyDescent="0.4">
      <c r="A618" s="8"/>
      <c r="B618" s="8"/>
      <c r="C618" s="8"/>
      <c r="D618" s="12"/>
      <c r="E618" s="8"/>
      <c r="F618" s="12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ht="13.15" x14ac:dyDescent="0.4">
      <c r="A619" s="8"/>
      <c r="B619" s="8"/>
      <c r="C619" s="8"/>
      <c r="D619" s="12"/>
      <c r="E619" s="8"/>
      <c r="F619" s="12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ht="13.15" x14ac:dyDescent="0.4">
      <c r="A620" s="8"/>
      <c r="B620" s="8"/>
      <c r="C620" s="8"/>
      <c r="D620" s="12"/>
      <c r="E620" s="8"/>
      <c r="F620" s="12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ht="13.15" x14ac:dyDescent="0.4">
      <c r="A621" s="8"/>
      <c r="B621" s="8"/>
      <c r="C621" s="8"/>
      <c r="D621" s="12"/>
      <c r="E621" s="8"/>
      <c r="F621" s="12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ht="13.15" x14ac:dyDescent="0.4">
      <c r="A622" s="8"/>
      <c r="B622" s="8"/>
      <c r="C622" s="8"/>
      <c r="D622" s="12"/>
      <c r="E622" s="8"/>
      <c r="F622" s="12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ht="13.15" x14ac:dyDescent="0.4">
      <c r="A623" s="8"/>
      <c r="B623" s="8"/>
      <c r="C623" s="8"/>
      <c r="D623" s="12"/>
      <c r="E623" s="8"/>
      <c r="F623" s="12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ht="13.15" x14ac:dyDescent="0.4">
      <c r="A624" s="8"/>
      <c r="B624" s="8"/>
      <c r="C624" s="8"/>
      <c r="D624" s="12"/>
      <c r="E624" s="8"/>
      <c r="F624" s="12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ht="13.15" x14ac:dyDescent="0.4">
      <c r="A625" s="8"/>
      <c r="B625" s="8"/>
      <c r="C625" s="8"/>
      <c r="D625" s="12"/>
      <c r="E625" s="8"/>
      <c r="F625" s="12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ht="13.15" x14ac:dyDescent="0.4">
      <c r="A626" s="8"/>
      <c r="B626" s="8"/>
      <c r="C626" s="8"/>
      <c r="D626" s="12"/>
      <c r="E626" s="8"/>
      <c r="F626" s="12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ht="13.15" x14ac:dyDescent="0.4">
      <c r="A627" s="8"/>
      <c r="B627" s="8"/>
      <c r="C627" s="8"/>
      <c r="D627" s="12"/>
      <c r="E627" s="8"/>
      <c r="F627" s="12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ht="13.15" x14ac:dyDescent="0.4">
      <c r="A628" s="8"/>
      <c r="B628" s="8"/>
      <c r="C628" s="8"/>
      <c r="D628" s="12"/>
      <c r="E628" s="8"/>
      <c r="F628" s="12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ht="13.15" x14ac:dyDescent="0.4">
      <c r="A629" s="8"/>
      <c r="B629" s="8"/>
      <c r="C629" s="8"/>
      <c r="D629" s="12"/>
      <c r="E629" s="8"/>
      <c r="F629" s="12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ht="13.15" x14ac:dyDescent="0.4">
      <c r="A630" s="8"/>
      <c r="B630" s="8"/>
      <c r="C630" s="8"/>
      <c r="D630" s="12"/>
      <c r="E630" s="8"/>
      <c r="F630" s="12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ht="13.15" x14ac:dyDescent="0.4">
      <c r="A631" s="8"/>
      <c r="B631" s="8"/>
      <c r="C631" s="8"/>
      <c r="D631" s="12"/>
      <c r="E631" s="8"/>
      <c r="F631" s="12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ht="13.15" x14ac:dyDescent="0.4">
      <c r="A632" s="8"/>
      <c r="B632" s="8"/>
      <c r="C632" s="8"/>
      <c r="D632" s="12"/>
      <c r="E632" s="8"/>
      <c r="F632" s="12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ht="13.15" x14ac:dyDescent="0.4">
      <c r="A633" s="8"/>
      <c r="B633" s="8"/>
      <c r="C633" s="8"/>
      <c r="D633" s="12"/>
      <c r="E633" s="8"/>
      <c r="F633" s="12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ht="13.15" x14ac:dyDescent="0.4">
      <c r="A634" s="8"/>
      <c r="B634" s="8"/>
      <c r="C634" s="8"/>
      <c r="D634" s="12"/>
      <c r="E634" s="8"/>
      <c r="F634" s="12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ht="13.15" x14ac:dyDescent="0.4">
      <c r="A635" s="8"/>
      <c r="B635" s="8"/>
      <c r="C635" s="8"/>
      <c r="D635" s="12"/>
      <c r="E635" s="8"/>
      <c r="F635" s="12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ht="13.15" x14ac:dyDescent="0.4">
      <c r="A636" s="8"/>
      <c r="B636" s="8"/>
      <c r="C636" s="8"/>
      <c r="D636" s="12"/>
      <c r="E636" s="8"/>
      <c r="F636" s="12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ht="13.15" x14ac:dyDescent="0.4">
      <c r="A637" s="8"/>
      <c r="B637" s="8"/>
      <c r="C637" s="8"/>
      <c r="D637" s="12"/>
      <c r="E637" s="8"/>
      <c r="F637" s="12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ht="13.15" x14ac:dyDescent="0.4">
      <c r="A638" s="8"/>
      <c r="B638" s="8"/>
      <c r="C638" s="8"/>
      <c r="D638" s="12"/>
      <c r="E638" s="8"/>
      <c r="F638" s="12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ht="13.15" x14ac:dyDescent="0.4">
      <c r="A639" s="8"/>
      <c r="B639" s="8"/>
      <c r="C639" s="8"/>
      <c r="D639" s="12"/>
      <c r="E639" s="8"/>
      <c r="F639" s="12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ht="13.15" x14ac:dyDescent="0.4">
      <c r="A640" s="8"/>
      <c r="B640" s="8"/>
      <c r="C640" s="8"/>
      <c r="D640" s="12"/>
      <c r="E640" s="8"/>
      <c r="F640" s="12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ht="13.15" x14ac:dyDescent="0.4">
      <c r="A641" s="8"/>
      <c r="B641" s="8"/>
      <c r="C641" s="8"/>
      <c r="D641" s="12"/>
      <c r="E641" s="8"/>
      <c r="F641" s="12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ht="13.15" x14ac:dyDescent="0.4">
      <c r="A642" s="8"/>
      <c r="B642" s="8"/>
      <c r="C642" s="8"/>
      <c r="D642" s="12"/>
      <c r="E642" s="8"/>
      <c r="F642" s="12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ht="13.15" x14ac:dyDescent="0.4">
      <c r="A643" s="8"/>
      <c r="B643" s="8"/>
      <c r="C643" s="8"/>
      <c r="D643" s="12"/>
      <c r="E643" s="8"/>
      <c r="F643" s="12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ht="13.15" x14ac:dyDescent="0.4">
      <c r="A644" s="8"/>
      <c r="B644" s="8"/>
      <c r="C644" s="8"/>
      <c r="D644" s="12"/>
      <c r="E644" s="8"/>
      <c r="F644" s="12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ht="13.15" x14ac:dyDescent="0.4">
      <c r="A645" s="8"/>
      <c r="B645" s="8"/>
      <c r="C645" s="8"/>
      <c r="D645" s="12"/>
      <c r="E645" s="8"/>
      <c r="F645" s="12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ht="13.15" x14ac:dyDescent="0.4">
      <c r="A646" s="8"/>
      <c r="B646" s="8"/>
      <c r="C646" s="8"/>
      <c r="D646" s="12"/>
      <c r="E646" s="8"/>
      <c r="F646" s="12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ht="13.15" x14ac:dyDescent="0.4">
      <c r="A647" s="8"/>
      <c r="B647" s="8"/>
      <c r="C647" s="8"/>
      <c r="D647" s="12"/>
      <c r="E647" s="8"/>
      <c r="F647" s="12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ht="13.15" x14ac:dyDescent="0.4">
      <c r="A648" s="8"/>
      <c r="B648" s="8"/>
      <c r="C648" s="8"/>
      <c r="D648" s="12"/>
      <c r="E648" s="8"/>
      <c r="F648" s="12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ht="13.15" x14ac:dyDescent="0.4">
      <c r="A649" s="8"/>
      <c r="B649" s="8"/>
      <c r="C649" s="8"/>
      <c r="D649" s="12"/>
      <c r="E649" s="8"/>
      <c r="F649" s="12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ht="13.15" x14ac:dyDescent="0.4">
      <c r="A650" s="8"/>
      <c r="B650" s="8"/>
      <c r="C650" s="8"/>
      <c r="D650" s="12"/>
      <c r="E650" s="8"/>
      <c r="F650" s="12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ht="13.15" x14ac:dyDescent="0.4">
      <c r="A651" s="8"/>
      <c r="B651" s="8"/>
      <c r="C651" s="8"/>
      <c r="D651" s="12"/>
      <c r="E651" s="8"/>
      <c r="F651" s="12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ht="13.15" x14ac:dyDescent="0.4">
      <c r="A652" s="8"/>
      <c r="B652" s="8"/>
      <c r="C652" s="8"/>
      <c r="D652" s="12"/>
      <c r="E652" s="8"/>
      <c r="F652" s="12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ht="13.15" x14ac:dyDescent="0.4">
      <c r="A653" s="8"/>
      <c r="B653" s="8"/>
      <c r="C653" s="8"/>
      <c r="D653" s="12"/>
      <c r="E653" s="8"/>
      <c r="F653" s="12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ht="13.15" x14ac:dyDescent="0.4">
      <c r="A654" s="8"/>
      <c r="B654" s="8"/>
      <c r="C654" s="8"/>
      <c r="D654" s="12"/>
      <c r="E654" s="8"/>
      <c r="F654" s="12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ht="13.15" x14ac:dyDescent="0.4">
      <c r="A655" s="8"/>
      <c r="B655" s="8"/>
      <c r="C655" s="8"/>
      <c r="D655" s="12"/>
      <c r="E655" s="8"/>
      <c r="F655" s="12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ht="13.15" x14ac:dyDescent="0.4">
      <c r="A656" s="8"/>
      <c r="B656" s="8"/>
      <c r="C656" s="8"/>
      <c r="D656" s="12"/>
      <c r="E656" s="8"/>
      <c r="F656" s="12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ht="13.15" x14ac:dyDescent="0.4">
      <c r="A657" s="8"/>
      <c r="B657" s="8"/>
      <c r="C657" s="8"/>
      <c r="D657" s="12"/>
      <c r="E657" s="8"/>
      <c r="F657" s="12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ht="13.15" x14ac:dyDescent="0.4">
      <c r="A658" s="8"/>
      <c r="B658" s="8"/>
      <c r="C658" s="8"/>
      <c r="D658" s="12"/>
      <c r="E658" s="8"/>
      <c r="F658" s="12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ht="13.15" x14ac:dyDescent="0.4">
      <c r="A659" s="8"/>
      <c r="B659" s="8"/>
      <c r="C659" s="8"/>
      <c r="D659" s="12"/>
      <c r="E659" s="8"/>
      <c r="F659" s="12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ht="13.15" x14ac:dyDescent="0.4">
      <c r="A660" s="8"/>
      <c r="B660" s="8"/>
      <c r="C660" s="8"/>
      <c r="D660" s="12"/>
      <c r="E660" s="8"/>
      <c r="F660" s="12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ht="13.15" x14ac:dyDescent="0.4">
      <c r="A661" s="8"/>
      <c r="B661" s="8"/>
      <c r="C661" s="8"/>
      <c r="D661" s="12"/>
      <c r="E661" s="8"/>
      <c r="F661" s="12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ht="13.15" x14ac:dyDescent="0.4">
      <c r="A662" s="8"/>
      <c r="B662" s="8"/>
      <c r="C662" s="8"/>
      <c r="D662" s="12"/>
      <c r="E662" s="8"/>
      <c r="F662" s="12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ht="13.15" x14ac:dyDescent="0.4">
      <c r="A663" s="8"/>
      <c r="B663" s="8"/>
      <c r="C663" s="8"/>
      <c r="D663" s="12"/>
      <c r="E663" s="8"/>
      <c r="F663" s="12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ht="13.15" x14ac:dyDescent="0.4">
      <c r="A664" s="8"/>
      <c r="B664" s="8"/>
      <c r="C664" s="8"/>
      <c r="D664" s="12"/>
      <c r="E664" s="8"/>
      <c r="F664" s="12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ht="13.15" x14ac:dyDescent="0.4">
      <c r="A665" s="8"/>
      <c r="B665" s="8"/>
      <c r="C665" s="8"/>
      <c r="D665" s="12"/>
      <c r="E665" s="8"/>
      <c r="F665" s="12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ht="13.15" x14ac:dyDescent="0.4">
      <c r="A666" s="8"/>
      <c r="B666" s="8"/>
      <c r="C666" s="8"/>
      <c r="D666" s="12"/>
      <c r="E666" s="8"/>
      <c r="F666" s="12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ht="13.15" x14ac:dyDescent="0.4">
      <c r="A667" s="8"/>
      <c r="B667" s="8"/>
      <c r="C667" s="8"/>
      <c r="D667" s="12"/>
      <c r="E667" s="8"/>
      <c r="F667" s="12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ht="13.15" x14ac:dyDescent="0.4">
      <c r="A668" s="8"/>
      <c r="B668" s="8"/>
      <c r="C668" s="8"/>
      <c r="D668" s="12"/>
      <c r="E668" s="8"/>
      <c r="F668" s="12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ht="13.15" x14ac:dyDescent="0.4">
      <c r="A669" s="8"/>
      <c r="B669" s="8"/>
      <c r="C669" s="8"/>
      <c r="D669" s="12"/>
      <c r="E669" s="8"/>
      <c r="F669" s="12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ht="13.15" x14ac:dyDescent="0.4">
      <c r="A670" s="8"/>
      <c r="B670" s="8"/>
      <c r="C670" s="8"/>
      <c r="D670" s="12"/>
      <c r="E670" s="8"/>
      <c r="F670" s="12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ht="13.15" x14ac:dyDescent="0.4">
      <c r="A671" s="8"/>
      <c r="B671" s="8"/>
      <c r="C671" s="8"/>
      <c r="D671" s="12"/>
      <c r="E671" s="8"/>
      <c r="F671" s="12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ht="13.15" x14ac:dyDescent="0.4">
      <c r="A672" s="8"/>
      <c r="B672" s="8"/>
      <c r="C672" s="8"/>
      <c r="D672" s="12"/>
      <c r="E672" s="8"/>
      <c r="F672" s="12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ht="13.15" x14ac:dyDescent="0.4">
      <c r="A673" s="8"/>
      <c r="B673" s="8"/>
      <c r="C673" s="8"/>
      <c r="D673" s="12"/>
      <c r="E673" s="8"/>
      <c r="F673" s="12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ht="13.15" x14ac:dyDescent="0.4">
      <c r="A674" s="8"/>
      <c r="B674" s="8"/>
      <c r="C674" s="8"/>
      <c r="D674" s="12"/>
      <c r="E674" s="8"/>
      <c r="F674" s="12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ht="13.15" x14ac:dyDescent="0.4">
      <c r="A675" s="8"/>
      <c r="B675" s="8"/>
      <c r="C675" s="8"/>
      <c r="D675" s="12"/>
      <c r="E675" s="8"/>
      <c r="F675" s="12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ht="13.15" x14ac:dyDescent="0.4">
      <c r="A676" s="8"/>
      <c r="B676" s="8"/>
      <c r="C676" s="8"/>
      <c r="D676" s="12"/>
      <c r="E676" s="8"/>
      <c r="F676" s="12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ht="13.15" x14ac:dyDescent="0.4">
      <c r="A677" s="8"/>
      <c r="B677" s="8"/>
      <c r="C677" s="8"/>
      <c r="D677" s="12"/>
      <c r="E677" s="8"/>
      <c r="F677" s="12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ht="13.15" x14ac:dyDescent="0.4">
      <c r="A678" s="8"/>
      <c r="B678" s="8"/>
      <c r="C678" s="8"/>
      <c r="D678" s="12"/>
      <c r="E678" s="8"/>
      <c r="F678" s="12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ht="13.15" x14ac:dyDescent="0.4">
      <c r="A679" s="8"/>
      <c r="B679" s="8"/>
      <c r="C679" s="8"/>
      <c r="D679" s="12"/>
      <c r="E679" s="8"/>
      <c r="F679" s="12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ht="13.15" x14ac:dyDescent="0.4">
      <c r="A680" s="8"/>
      <c r="B680" s="8"/>
      <c r="C680" s="8"/>
      <c r="D680" s="12"/>
      <c r="E680" s="8"/>
      <c r="F680" s="12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ht="13.15" x14ac:dyDescent="0.4">
      <c r="A681" s="8"/>
      <c r="B681" s="8"/>
      <c r="C681" s="8"/>
      <c r="D681" s="12"/>
      <c r="E681" s="8"/>
      <c r="F681" s="12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ht="13.15" x14ac:dyDescent="0.4">
      <c r="A682" s="8"/>
      <c r="B682" s="8"/>
      <c r="C682" s="8"/>
      <c r="D682" s="12"/>
      <c r="E682" s="8"/>
      <c r="F682" s="12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ht="13.15" x14ac:dyDescent="0.4">
      <c r="A683" s="8"/>
      <c r="B683" s="8"/>
      <c r="C683" s="8"/>
      <c r="D683" s="12"/>
      <c r="E683" s="8"/>
      <c r="F683" s="12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ht="13.15" x14ac:dyDescent="0.4">
      <c r="A684" s="8"/>
      <c r="B684" s="8"/>
      <c r="C684" s="8"/>
      <c r="D684" s="12"/>
      <c r="E684" s="8"/>
      <c r="F684" s="12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ht="13.15" x14ac:dyDescent="0.4">
      <c r="A685" s="8"/>
      <c r="B685" s="8"/>
      <c r="C685" s="8"/>
      <c r="D685" s="12"/>
      <c r="E685" s="8"/>
      <c r="F685" s="12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ht="13.15" x14ac:dyDescent="0.4">
      <c r="A686" s="8"/>
      <c r="B686" s="8"/>
      <c r="C686" s="8"/>
      <c r="D686" s="12"/>
      <c r="E686" s="8"/>
      <c r="F686" s="12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ht="13.15" x14ac:dyDescent="0.4">
      <c r="A687" s="8"/>
      <c r="B687" s="8"/>
      <c r="C687" s="8"/>
      <c r="D687" s="12"/>
      <c r="E687" s="8"/>
      <c r="F687" s="12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ht="13.15" x14ac:dyDescent="0.4">
      <c r="A688" s="8"/>
      <c r="B688" s="8"/>
      <c r="C688" s="8"/>
      <c r="D688" s="12"/>
      <c r="E688" s="8"/>
      <c r="F688" s="12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ht="13.15" x14ac:dyDescent="0.4">
      <c r="A689" s="8"/>
      <c r="B689" s="8"/>
      <c r="C689" s="8"/>
      <c r="D689" s="12"/>
      <c r="E689" s="8"/>
      <c r="F689" s="12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ht="13.15" x14ac:dyDescent="0.4">
      <c r="A690" s="8"/>
      <c r="B690" s="8"/>
      <c r="C690" s="8"/>
      <c r="D690" s="12"/>
      <c r="E690" s="8"/>
      <c r="F690" s="12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ht="13.15" x14ac:dyDescent="0.4">
      <c r="A691" s="8"/>
      <c r="B691" s="8"/>
      <c r="C691" s="8"/>
      <c r="D691" s="12"/>
      <c r="E691" s="8"/>
      <c r="F691" s="12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ht="13.15" x14ac:dyDescent="0.4">
      <c r="A692" s="8"/>
      <c r="B692" s="8"/>
      <c r="C692" s="8"/>
      <c r="D692" s="12"/>
      <c r="E692" s="8"/>
      <c r="F692" s="12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ht="13.15" x14ac:dyDescent="0.4">
      <c r="A693" s="8"/>
      <c r="B693" s="8"/>
      <c r="C693" s="8"/>
      <c r="D693" s="12"/>
      <c r="E693" s="8"/>
      <c r="F693" s="12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ht="13.15" x14ac:dyDescent="0.4">
      <c r="A694" s="8"/>
      <c r="B694" s="8"/>
      <c r="C694" s="8"/>
      <c r="D694" s="12"/>
      <c r="E694" s="8"/>
      <c r="F694" s="12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ht="13.15" x14ac:dyDescent="0.4">
      <c r="A695" s="8"/>
      <c r="B695" s="8"/>
      <c r="C695" s="8"/>
      <c r="D695" s="12"/>
      <c r="E695" s="8"/>
      <c r="F695" s="12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ht="13.15" x14ac:dyDescent="0.4">
      <c r="A696" s="8"/>
      <c r="B696" s="8"/>
      <c r="C696" s="8"/>
      <c r="D696" s="12"/>
      <c r="E696" s="8"/>
      <c r="F696" s="12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ht="13.15" x14ac:dyDescent="0.4">
      <c r="A697" s="8"/>
      <c r="B697" s="8"/>
      <c r="C697" s="8"/>
      <c r="D697" s="12"/>
      <c r="E697" s="8"/>
      <c r="F697" s="12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ht="13.15" x14ac:dyDescent="0.4">
      <c r="A698" s="8"/>
      <c r="B698" s="8"/>
      <c r="C698" s="8"/>
      <c r="D698" s="12"/>
      <c r="E698" s="8"/>
      <c r="F698" s="12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ht="13.15" x14ac:dyDescent="0.4">
      <c r="A699" s="8"/>
      <c r="B699" s="8"/>
      <c r="C699" s="8"/>
      <c r="D699" s="12"/>
      <c r="E699" s="8"/>
      <c r="F699" s="12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ht="13.15" x14ac:dyDescent="0.4">
      <c r="A700" s="8"/>
      <c r="B700" s="8"/>
      <c r="C700" s="8"/>
      <c r="D700" s="12"/>
      <c r="E700" s="8"/>
      <c r="F700" s="12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ht="13.15" x14ac:dyDescent="0.4">
      <c r="A701" s="8"/>
      <c r="B701" s="8"/>
      <c r="C701" s="8"/>
      <c r="D701" s="12"/>
      <c r="E701" s="8"/>
      <c r="F701" s="12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ht="13.15" x14ac:dyDescent="0.4">
      <c r="A702" s="8"/>
      <c r="B702" s="8"/>
      <c r="C702" s="8"/>
      <c r="D702" s="12"/>
      <c r="E702" s="8"/>
      <c r="F702" s="12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ht="13.15" x14ac:dyDescent="0.4">
      <c r="A703" s="8"/>
      <c r="B703" s="8"/>
      <c r="C703" s="8"/>
      <c r="D703" s="12"/>
      <c r="E703" s="8"/>
      <c r="F703" s="12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ht="13.15" x14ac:dyDescent="0.4">
      <c r="A704" s="8"/>
      <c r="B704" s="8"/>
      <c r="C704" s="8"/>
      <c r="D704" s="12"/>
      <c r="E704" s="8"/>
      <c r="F704" s="12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ht="13.15" x14ac:dyDescent="0.4">
      <c r="A705" s="8"/>
      <c r="B705" s="8"/>
      <c r="C705" s="8"/>
      <c r="D705" s="12"/>
      <c r="E705" s="8"/>
      <c r="F705" s="12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ht="13.15" x14ac:dyDescent="0.4">
      <c r="A706" s="8"/>
      <c r="B706" s="8"/>
      <c r="C706" s="8"/>
      <c r="D706" s="12"/>
      <c r="E706" s="8"/>
      <c r="F706" s="12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ht="13.15" x14ac:dyDescent="0.4">
      <c r="A707" s="8"/>
      <c r="B707" s="8"/>
      <c r="C707" s="8"/>
      <c r="D707" s="12"/>
      <c r="E707" s="8"/>
      <c r="F707" s="12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ht="13.15" x14ac:dyDescent="0.4">
      <c r="A708" s="8"/>
      <c r="B708" s="8"/>
      <c r="C708" s="8"/>
      <c r="D708" s="12"/>
      <c r="E708" s="8"/>
      <c r="F708" s="12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ht="13.15" x14ac:dyDescent="0.4">
      <c r="A709" s="8"/>
      <c r="B709" s="8"/>
      <c r="C709" s="8"/>
      <c r="D709" s="12"/>
      <c r="E709" s="8"/>
      <c r="F709" s="12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ht="13.15" x14ac:dyDescent="0.4">
      <c r="A710" s="8"/>
      <c r="B710" s="8"/>
      <c r="C710" s="8"/>
      <c r="D710" s="12"/>
      <c r="E710" s="8"/>
      <c r="F710" s="12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ht="13.15" x14ac:dyDescent="0.4">
      <c r="A711" s="8"/>
      <c r="B711" s="8"/>
      <c r="C711" s="8"/>
      <c r="D711" s="12"/>
      <c r="E711" s="8"/>
      <c r="F711" s="12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ht="13.15" x14ac:dyDescent="0.4">
      <c r="A712" s="8"/>
      <c r="B712" s="8"/>
      <c r="C712" s="8"/>
      <c r="D712" s="12"/>
      <c r="E712" s="8"/>
      <c r="F712" s="12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ht="13.15" x14ac:dyDescent="0.4">
      <c r="A713" s="8"/>
      <c r="B713" s="8"/>
      <c r="C713" s="8"/>
      <c r="D713" s="12"/>
      <c r="E713" s="8"/>
      <c r="F713" s="12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ht="13.15" x14ac:dyDescent="0.4">
      <c r="A714" s="8"/>
      <c r="B714" s="8"/>
      <c r="C714" s="8"/>
      <c r="D714" s="12"/>
      <c r="E714" s="8"/>
      <c r="F714" s="12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ht="13.15" x14ac:dyDescent="0.4">
      <c r="A715" s="8"/>
      <c r="B715" s="8"/>
      <c r="C715" s="8"/>
      <c r="D715" s="12"/>
      <c r="E715" s="8"/>
      <c r="F715" s="12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ht="13.15" x14ac:dyDescent="0.4">
      <c r="A716" s="8"/>
      <c r="B716" s="8"/>
      <c r="C716" s="8"/>
      <c r="D716" s="12"/>
      <c r="E716" s="8"/>
      <c r="F716" s="12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ht="13.15" x14ac:dyDescent="0.4">
      <c r="A717" s="8"/>
      <c r="B717" s="8"/>
      <c r="C717" s="8"/>
      <c r="D717" s="12"/>
      <c r="E717" s="8"/>
      <c r="F717" s="12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ht="13.15" x14ac:dyDescent="0.4">
      <c r="A718" s="8"/>
      <c r="B718" s="8"/>
      <c r="C718" s="8"/>
      <c r="D718" s="12"/>
      <c r="E718" s="8"/>
      <c r="F718" s="12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ht="13.15" x14ac:dyDescent="0.4">
      <c r="A719" s="8"/>
      <c r="B719" s="8"/>
      <c r="C719" s="8"/>
      <c r="D719" s="12"/>
      <c r="E719" s="8"/>
      <c r="F719" s="12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ht="13.15" x14ac:dyDescent="0.4">
      <c r="A720" s="8"/>
      <c r="B720" s="8"/>
      <c r="C720" s="8"/>
      <c r="D720" s="12"/>
      <c r="E720" s="8"/>
      <c r="F720" s="12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ht="13.15" x14ac:dyDescent="0.4">
      <c r="A721" s="8"/>
      <c r="B721" s="8"/>
      <c r="C721" s="8"/>
      <c r="D721" s="12"/>
      <c r="E721" s="8"/>
      <c r="F721" s="12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ht="13.15" x14ac:dyDescent="0.4">
      <c r="A722" s="8"/>
      <c r="B722" s="8"/>
      <c r="C722" s="8"/>
      <c r="D722" s="12"/>
      <c r="E722" s="8"/>
      <c r="F722" s="12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ht="13.15" x14ac:dyDescent="0.4">
      <c r="A723" s="8"/>
      <c r="B723" s="8"/>
      <c r="C723" s="8"/>
      <c r="D723" s="12"/>
      <c r="E723" s="8"/>
      <c r="F723" s="12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ht="13.15" x14ac:dyDescent="0.4">
      <c r="A724" s="8"/>
      <c r="B724" s="8"/>
      <c r="C724" s="8"/>
      <c r="D724" s="12"/>
      <c r="E724" s="8"/>
      <c r="F724" s="12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ht="13.15" x14ac:dyDescent="0.4">
      <c r="A725" s="8"/>
      <c r="B725" s="8"/>
      <c r="C725" s="8"/>
      <c r="D725" s="12"/>
      <c r="E725" s="8"/>
      <c r="F725" s="12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ht="13.15" x14ac:dyDescent="0.4">
      <c r="A726" s="8"/>
      <c r="B726" s="8"/>
      <c r="C726" s="8"/>
      <c r="D726" s="12"/>
      <c r="E726" s="8"/>
      <c r="F726" s="12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ht="13.15" x14ac:dyDescent="0.4">
      <c r="A727" s="8"/>
      <c r="B727" s="8"/>
      <c r="C727" s="8"/>
      <c r="D727" s="12"/>
      <c r="E727" s="8"/>
      <c r="F727" s="12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ht="13.15" x14ac:dyDescent="0.4">
      <c r="A728" s="8"/>
      <c r="B728" s="8"/>
      <c r="C728" s="8"/>
      <c r="D728" s="12"/>
      <c r="E728" s="8"/>
      <c r="F728" s="12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ht="13.15" x14ac:dyDescent="0.4">
      <c r="A729" s="8"/>
      <c r="B729" s="8"/>
      <c r="C729" s="8"/>
      <c r="D729" s="12"/>
      <c r="E729" s="8"/>
      <c r="F729" s="12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ht="13.15" x14ac:dyDescent="0.4">
      <c r="A730" s="8"/>
      <c r="B730" s="8"/>
      <c r="C730" s="8"/>
      <c r="D730" s="12"/>
      <c r="E730" s="8"/>
      <c r="F730" s="12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ht="13.15" x14ac:dyDescent="0.4">
      <c r="A731" s="8"/>
      <c r="B731" s="8"/>
      <c r="C731" s="8"/>
      <c r="D731" s="12"/>
      <c r="E731" s="8"/>
      <c r="F731" s="12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ht="13.15" x14ac:dyDescent="0.4">
      <c r="A732" s="8"/>
      <c r="B732" s="8"/>
      <c r="C732" s="8"/>
      <c r="D732" s="12"/>
      <c r="E732" s="8"/>
      <c r="F732" s="12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ht="13.15" x14ac:dyDescent="0.4">
      <c r="A733" s="8"/>
      <c r="B733" s="8"/>
      <c r="C733" s="8"/>
      <c r="D733" s="12"/>
      <c r="E733" s="8"/>
      <c r="F733" s="12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ht="13.15" x14ac:dyDescent="0.4">
      <c r="A734" s="8"/>
      <c r="B734" s="8"/>
      <c r="C734" s="8"/>
      <c r="D734" s="12"/>
      <c r="E734" s="8"/>
      <c r="F734" s="12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ht="13.15" x14ac:dyDescent="0.4">
      <c r="A735" s="8"/>
      <c r="B735" s="8"/>
      <c r="C735" s="8"/>
      <c r="D735" s="12"/>
      <c r="E735" s="8"/>
      <c r="F735" s="12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ht="13.15" x14ac:dyDescent="0.4">
      <c r="A736" s="8"/>
      <c r="B736" s="8"/>
      <c r="C736" s="8"/>
      <c r="D736" s="12"/>
      <c r="E736" s="8"/>
      <c r="F736" s="12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ht="13.15" x14ac:dyDescent="0.4">
      <c r="A737" s="8"/>
      <c r="B737" s="8"/>
      <c r="C737" s="8"/>
      <c r="D737" s="12"/>
      <c r="E737" s="8"/>
      <c r="F737" s="12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ht="13.15" x14ac:dyDescent="0.4">
      <c r="A738" s="8"/>
      <c r="B738" s="8"/>
      <c r="C738" s="8"/>
      <c r="D738" s="12"/>
      <c r="E738" s="8"/>
      <c r="F738" s="12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ht="13.15" x14ac:dyDescent="0.4">
      <c r="A739" s="8"/>
      <c r="B739" s="8"/>
      <c r="C739" s="8"/>
      <c r="D739" s="12"/>
      <c r="E739" s="8"/>
      <c r="F739" s="12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ht="13.15" x14ac:dyDescent="0.4">
      <c r="A740" s="8"/>
      <c r="B740" s="8"/>
      <c r="C740" s="8"/>
      <c r="D740" s="12"/>
      <c r="E740" s="8"/>
      <c r="F740" s="12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ht="13.15" x14ac:dyDescent="0.4">
      <c r="A741" s="8"/>
      <c r="B741" s="8"/>
      <c r="C741" s="8"/>
      <c r="D741" s="12"/>
      <c r="E741" s="8"/>
      <c r="F741" s="12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ht="13.15" x14ac:dyDescent="0.4">
      <c r="A742" s="8"/>
      <c r="B742" s="8"/>
      <c r="C742" s="8"/>
      <c r="D742" s="12"/>
      <c r="E742" s="8"/>
      <c r="F742" s="12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ht="13.15" x14ac:dyDescent="0.4">
      <c r="A743" s="8"/>
      <c r="B743" s="8"/>
      <c r="C743" s="8"/>
      <c r="D743" s="12"/>
      <c r="E743" s="8"/>
      <c r="F743" s="12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ht="13.15" x14ac:dyDescent="0.4">
      <c r="A744" s="8"/>
      <c r="B744" s="8"/>
      <c r="C744" s="8"/>
      <c r="D744" s="12"/>
      <c r="E744" s="8"/>
      <c r="F744" s="12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ht="13.15" x14ac:dyDescent="0.4">
      <c r="A745" s="8"/>
      <c r="B745" s="8"/>
      <c r="C745" s="8"/>
      <c r="D745" s="12"/>
      <c r="E745" s="8"/>
      <c r="F745" s="12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ht="13.15" x14ac:dyDescent="0.4">
      <c r="A746" s="8"/>
      <c r="B746" s="8"/>
      <c r="C746" s="8"/>
      <c r="D746" s="12"/>
      <c r="E746" s="8"/>
      <c r="F746" s="12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ht="13.15" x14ac:dyDescent="0.4">
      <c r="A747" s="8"/>
      <c r="B747" s="8"/>
      <c r="C747" s="8"/>
      <c r="D747" s="12"/>
      <c r="E747" s="8"/>
      <c r="F747" s="12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ht="13.15" x14ac:dyDescent="0.4">
      <c r="A748" s="8"/>
      <c r="B748" s="8"/>
      <c r="C748" s="8"/>
      <c r="D748" s="12"/>
      <c r="E748" s="8"/>
      <c r="F748" s="12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ht="13.15" x14ac:dyDescent="0.4">
      <c r="A749" s="8"/>
      <c r="B749" s="8"/>
      <c r="C749" s="8"/>
      <c r="D749" s="12"/>
      <c r="E749" s="8"/>
      <c r="F749" s="12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ht="13.15" x14ac:dyDescent="0.4">
      <c r="A750" s="8"/>
      <c r="B750" s="8"/>
      <c r="C750" s="8"/>
      <c r="D750" s="12"/>
      <c r="E750" s="8"/>
      <c r="F750" s="12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ht="13.15" x14ac:dyDescent="0.4">
      <c r="A751" s="8"/>
      <c r="B751" s="8"/>
      <c r="C751" s="8"/>
      <c r="D751" s="12"/>
      <c r="E751" s="8"/>
      <c r="F751" s="12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ht="13.15" x14ac:dyDescent="0.4">
      <c r="A752" s="8"/>
      <c r="B752" s="8"/>
      <c r="C752" s="8"/>
      <c r="D752" s="12"/>
      <c r="E752" s="8"/>
      <c r="F752" s="12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ht="13.15" x14ac:dyDescent="0.4">
      <c r="A753" s="8"/>
      <c r="B753" s="8"/>
      <c r="C753" s="8"/>
      <c r="D753" s="12"/>
      <c r="E753" s="8"/>
      <c r="F753" s="12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ht="13.15" x14ac:dyDescent="0.4">
      <c r="A754" s="8"/>
      <c r="B754" s="8"/>
      <c r="C754" s="8"/>
      <c r="D754" s="12"/>
      <c r="E754" s="8"/>
      <c r="F754" s="12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ht="13.15" x14ac:dyDescent="0.4">
      <c r="A755" s="8"/>
      <c r="B755" s="8"/>
      <c r="C755" s="8"/>
      <c r="D755" s="12"/>
      <c r="E755" s="8"/>
      <c r="F755" s="12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ht="13.15" x14ac:dyDescent="0.4">
      <c r="A756" s="8"/>
      <c r="B756" s="8"/>
      <c r="C756" s="8"/>
      <c r="D756" s="12"/>
      <c r="E756" s="8"/>
      <c r="F756" s="12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ht="13.15" x14ac:dyDescent="0.4">
      <c r="A757" s="8"/>
      <c r="B757" s="8"/>
      <c r="C757" s="8"/>
      <c r="D757" s="12"/>
      <c r="E757" s="8"/>
      <c r="F757" s="12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ht="13.15" x14ac:dyDescent="0.4">
      <c r="A758" s="8"/>
      <c r="B758" s="8"/>
      <c r="C758" s="8"/>
      <c r="D758" s="12"/>
      <c r="E758" s="8"/>
      <c r="F758" s="12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ht="13.15" x14ac:dyDescent="0.4">
      <c r="A759" s="8"/>
      <c r="B759" s="8"/>
      <c r="C759" s="8"/>
      <c r="D759" s="12"/>
      <c r="E759" s="8"/>
      <c r="F759" s="12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ht="13.15" x14ac:dyDescent="0.4">
      <c r="A760" s="8"/>
      <c r="B760" s="8"/>
      <c r="C760" s="8"/>
      <c r="D760" s="12"/>
      <c r="E760" s="8"/>
      <c r="F760" s="12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ht="13.15" x14ac:dyDescent="0.4">
      <c r="A761" s="8"/>
      <c r="B761" s="8"/>
      <c r="C761" s="8"/>
      <c r="D761" s="12"/>
      <c r="E761" s="8"/>
      <c r="F761" s="12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ht="13.15" x14ac:dyDescent="0.4">
      <c r="A762" s="8"/>
      <c r="B762" s="8"/>
      <c r="C762" s="8"/>
      <c r="D762" s="12"/>
      <c r="E762" s="8"/>
      <c r="F762" s="12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ht="13.15" x14ac:dyDescent="0.4">
      <c r="A763" s="8"/>
      <c r="B763" s="8"/>
      <c r="C763" s="8"/>
      <c r="D763" s="12"/>
      <c r="E763" s="8"/>
      <c r="F763" s="12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ht="13.15" x14ac:dyDescent="0.4">
      <c r="A764" s="8"/>
      <c r="B764" s="8"/>
      <c r="C764" s="8"/>
      <c r="D764" s="12"/>
      <c r="E764" s="8"/>
      <c r="F764" s="12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ht="13.15" x14ac:dyDescent="0.4">
      <c r="A765" s="8"/>
      <c r="B765" s="8"/>
      <c r="C765" s="8"/>
      <c r="D765" s="12"/>
      <c r="E765" s="8"/>
      <c r="F765" s="12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ht="13.15" x14ac:dyDescent="0.4">
      <c r="A766" s="8"/>
      <c r="B766" s="8"/>
      <c r="C766" s="8"/>
      <c r="D766" s="12"/>
      <c r="E766" s="8"/>
      <c r="F766" s="12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ht="13.15" x14ac:dyDescent="0.4">
      <c r="A767" s="8"/>
      <c r="B767" s="8"/>
      <c r="C767" s="8"/>
      <c r="D767" s="12"/>
      <c r="E767" s="8"/>
      <c r="F767" s="12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ht="13.15" x14ac:dyDescent="0.4">
      <c r="A768" s="8"/>
      <c r="B768" s="8"/>
      <c r="C768" s="8"/>
      <c r="D768" s="12"/>
      <c r="E768" s="8"/>
      <c r="F768" s="12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ht="13.15" x14ac:dyDescent="0.4">
      <c r="A769" s="8"/>
      <c r="B769" s="8"/>
      <c r="C769" s="8"/>
      <c r="D769" s="12"/>
      <c r="E769" s="8"/>
      <c r="F769" s="12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ht="13.15" x14ac:dyDescent="0.4">
      <c r="A770" s="8"/>
      <c r="B770" s="8"/>
      <c r="C770" s="8"/>
      <c r="D770" s="12"/>
      <c r="E770" s="8"/>
      <c r="F770" s="12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ht="13.15" x14ac:dyDescent="0.4">
      <c r="A771" s="8"/>
      <c r="B771" s="8"/>
      <c r="C771" s="8"/>
      <c r="D771" s="12"/>
      <c r="E771" s="8"/>
      <c r="F771" s="12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ht="13.15" x14ac:dyDescent="0.4">
      <c r="A772" s="8"/>
      <c r="B772" s="8"/>
      <c r="C772" s="8"/>
      <c r="D772" s="12"/>
      <c r="E772" s="8"/>
      <c r="F772" s="12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ht="13.15" x14ac:dyDescent="0.4">
      <c r="A773" s="8"/>
      <c r="B773" s="8"/>
      <c r="C773" s="8"/>
      <c r="D773" s="12"/>
      <c r="E773" s="8"/>
      <c r="F773" s="12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ht="13.15" x14ac:dyDescent="0.4">
      <c r="A774" s="8"/>
      <c r="B774" s="8"/>
      <c r="C774" s="8"/>
      <c r="D774" s="12"/>
      <c r="E774" s="8"/>
      <c r="F774" s="12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ht="13.15" x14ac:dyDescent="0.4">
      <c r="A775" s="8"/>
      <c r="B775" s="8"/>
      <c r="C775" s="8"/>
      <c r="D775" s="12"/>
      <c r="E775" s="8"/>
      <c r="F775" s="12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ht="13.15" x14ac:dyDescent="0.4">
      <c r="A776" s="8"/>
      <c r="B776" s="8"/>
      <c r="C776" s="8"/>
      <c r="D776" s="12"/>
      <c r="E776" s="8"/>
      <c r="F776" s="12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ht="13.15" x14ac:dyDescent="0.4">
      <c r="A777" s="8"/>
      <c r="B777" s="8"/>
      <c r="C777" s="8"/>
      <c r="D777" s="12"/>
      <c r="E777" s="8"/>
      <c r="F777" s="12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ht="13.15" x14ac:dyDescent="0.4">
      <c r="A778" s="8"/>
      <c r="B778" s="8"/>
      <c r="C778" s="8"/>
      <c r="D778" s="12"/>
      <c r="E778" s="8"/>
      <c r="F778" s="12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ht="13.15" x14ac:dyDescent="0.4">
      <c r="A779" s="8"/>
      <c r="B779" s="8"/>
      <c r="C779" s="8"/>
      <c r="D779" s="12"/>
      <c r="E779" s="8"/>
      <c r="F779" s="12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ht="13.15" x14ac:dyDescent="0.4">
      <c r="A780" s="8"/>
      <c r="B780" s="8"/>
      <c r="C780" s="8"/>
      <c r="D780" s="12"/>
      <c r="E780" s="8"/>
      <c r="F780" s="12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ht="13.15" x14ac:dyDescent="0.4">
      <c r="A781" s="8"/>
      <c r="B781" s="8"/>
      <c r="C781" s="8"/>
      <c r="D781" s="12"/>
      <c r="E781" s="8"/>
      <c r="F781" s="12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ht="13.15" x14ac:dyDescent="0.4">
      <c r="A782" s="8"/>
      <c r="B782" s="8"/>
      <c r="C782" s="8"/>
      <c r="D782" s="12"/>
      <c r="E782" s="8"/>
      <c r="F782" s="12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ht="13.15" x14ac:dyDescent="0.4">
      <c r="A783" s="8"/>
      <c r="B783" s="8"/>
      <c r="C783" s="8"/>
      <c r="D783" s="12"/>
      <c r="E783" s="8"/>
      <c r="F783" s="12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ht="13.15" x14ac:dyDescent="0.4">
      <c r="A784" s="8"/>
      <c r="B784" s="8"/>
      <c r="C784" s="8"/>
      <c r="D784" s="12"/>
      <c r="E784" s="8"/>
      <c r="F784" s="12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ht="13.15" x14ac:dyDescent="0.4">
      <c r="A785" s="8"/>
      <c r="B785" s="8"/>
      <c r="C785" s="8"/>
      <c r="D785" s="12"/>
      <c r="E785" s="8"/>
      <c r="F785" s="12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ht="13.15" x14ac:dyDescent="0.4">
      <c r="A786" s="8"/>
      <c r="B786" s="8"/>
      <c r="C786" s="8"/>
      <c r="D786" s="12"/>
      <c r="E786" s="8"/>
      <c r="F786" s="12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ht="13.15" x14ac:dyDescent="0.4">
      <c r="A787" s="8"/>
      <c r="B787" s="8"/>
      <c r="C787" s="8"/>
      <c r="D787" s="12"/>
      <c r="E787" s="8"/>
      <c r="F787" s="12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ht="13.15" x14ac:dyDescent="0.4">
      <c r="A788" s="8"/>
      <c r="B788" s="8"/>
      <c r="C788" s="8"/>
      <c r="D788" s="12"/>
      <c r="E788" s="8"/>
      <c r="F788" s="12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ht="13.15" x14ac:dyDescent="0.4">
      <c r="A789" s="8"/>
      <c r="B789" s="8"/>
      <c r="C789" s="8"/>
      <c r="D789" s="12"/>
      <c r="E789" s="8"/>
      <c r="F789" s="12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ht="13.15" x14ac:dyDescent="0.4">
      <c r="A790" s="8"/>
      <c r="B790" s="8"/>
      <c r="C790" s="8"/>
      <c r="D790" s="12"/>
      <c r="E790" s="8"/>
      <c r="F790" s="12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ht="13.15" x14ac:dyDescent="0.4">
      <c r="A791" s="8"/>
      <c r="B791" s="8"/>
      <c r="C791" s="8"/>
      <c r="D791" s="12"/>
      <c r="E791" s="8"/>
      <c r="F791" s="12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ht="13.15" x14ac:dyDescent="0.4">
      <c r="A792" s="8"/>
      <c r="B792" s="8"/>
      <c r="C792" s="8"/>
      <c r="D792" s="12"/>
      <c r="E792" s="8"/>
      <c r="F792" s="12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ht="13.15" x14ac:dyDescent="0.4">
      <c r="A793" s="8"/>
      <c r="B793" s="8"/>
      <c r="C793" s="8"/>
      <c r="D793" s="12"/>
      <c r="E793" s="8"/>
      <c r="F793" s="12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ht="13.15" x14ac:dyDescent="0.4">
      <c r="A794" s="8"/>
      <c r="B794" s="8"/>
      <c r="C794" s="8"/>
      <c r="D794" s="12"/>
      <c r="E794" s="8"/>
      <c r="F794" s="12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ht="13.15" x14ac:dyDescent="0.4">
      <c r="A795" s="8"/>
      <c r="B795" s="8"/>
      <c r="C795" s="8"/>
      <c r="D795" s="12"/>
      <c r="E795" s="8"/>
      <c r="F795" s="12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ht="13.15" x14ac:dyDescent="0.4">
      <c r="A796" s="8"/>
      <c r="B796" s="8"/>
      <c r="C796" s="8"/>
      <c r="D796" s="12"/>
      <c r="E796" s="8"/>
      <c r="F796" s="12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ht="13.15" x14ac:dyDescent="0.4">
      <c r="A797" s="8"/>
      <c r="B797" s="8"/>
      <c r="C797" s="8"/>
      <c r="D797" s="12"/>
      <c r="E797" s="8"/>
      <c r="F797" s="12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ht="13.15" x14ac:dyDescent="0.4">
      <c r="A798" s="8"/>
      <c r="B798" s="8"/>
      <c r="C798" s="8"/>
      <c r="D798" s="12"/>
      <c r="E798" s="8"/>
      <c r="F798" s="12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ht="13.15" x14ac:dyDescent="0.4">
      <c r="A799" s="8"/>
      <c r="B799" s="8"/>
      <c r="C799" s="8"/>
      <c r="D799" s="12"/>
      <c r="E799" s="8"/>
      <c r="F799" s="12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ht="13.15" x14ac:dyDescent="0.4">
      <c r="A800" s="8"/>
      <c r="B800" s="8"/>
      <c r="C800" s="8"/>
      <c r="D800" s="12"/>
      <c r="E800" s="8"/>
      <c r="F800" s="12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ht="13.15" x14ac:dyDescent="0.4">
      <c r="A801" s="8"/>
      <c r="B801" s="8"/>
      <c r="C801" s="8"/>
      <c r="D801" s="12"/>
      <c r="E801" s="8"/>
      <c r="F801" s="12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ht="13.15" x14ac:dyDescent="0.4">
      <c r="A802" s="8"/>
      <c r="B802" s="8"/>
      <c r="C802" s="8"/>
      <c r="D802" s="12"/>
      <c r="E802" s="8"/>
      <c r="F802" s="12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ht="13.15" x14ac:dyDescent="0.4">
      <c r="A803" s="8"/>
      <c r="B803" s="8"/>
      <c r="C803" s="8"/>
      <c r="D803" s="12"/>
      <c r="E803" s="8"/>
      <c r="F803" s="12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ht="13.15" x14ac:dyDescent="0.4">
      <c r="A804" s="8"/>
      <c r="B804" s="8"/>
      <c r="C804" s="8"/>
      <c r="D804" s="12"/>
      <c r="E804" s="8"/>
      <c r="F804" s="12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ht="13.15" x14ac:dyDescent="0.4">
      <c r="A805" s="8"/>
      <c r="B805" s="8"/>
      <c r="C805" s="8"/>
      <c r="D805" s="12"/>
      <c r="E805" s="8"/>
      <c r="F805" s="12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ht="13.15" x14ac:dyDescent="0.4">
      <c r="A806" s="8"/>
      <c r="B806" s="8"/>
      <c r="C806" s="8"/>
      <c r="D806" s="12"/>
      <c r="E806" s="8"/>
      <c r="F806" s="12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ht="13.15" x14ac:dyDescent="0.4">
      <c r="A807" s="8"/>
      <c r="B807" s="8"/>
      <c r="C807" s="8"/>
      <c r="D807" s="12"/>
      <c r="E807" s="8"/>
      <c r="F807" s="12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ht="13.15" x14ac:dyDescent="0.4">
      <c r="A808" s="8"/>
      <c r="B808" s="8"/>
      <c r="C808" s="8"/>
      <c r="D808" s="12"/>
      <c r="E808" s="8"/>
      <c r="F808" s="12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ht="13.15" x14ac:dyDescent="0.4">
      <c r="A809" s="8"/>
      <c r="B809" s="8"/>
      <c r="C809" s="8"/>
      <c r="D809" s="12"/>
      <c r="E809" s="8"/>
      <c r="F809" s="12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ht="13.15" x14ac:dyDescent="0.4">
      <c r="A810" s="8"/>
      <c r="B810" s="8"/>
      <c r="C810" s="8"/>
      <c r="D810" s="12"/>
      <c r="E810" s="8"/>
      <c r="F810" s="12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ht="13.15" x14ac:dyDescent="0.4">
      <c r="A811" s="8"/>
      <c r="B811" s="8"/>
      <c r="C811" s="8"/>
      <c r="D811" s="12"/>
      <c r="E811" s="8"/>
      <c r="F811" s="12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ht="13.15" x14ac:dyDescent="0.4">
      <c r="A812" s="8"/>
      <c r="B812" s="8"/>
      <c r="C812" s="8"/>
      <c r="D812" s="12"/>
      <c r="E812" s="8"/>
      <c r="F812" s="12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ht="13.15" x14ac:dyDescent="0.4">
      <c r="A813" s="8"/>
      <c r="B813" s="8"/>
      <c r="C813" s="8"/>
      <c r="D813" s="12"/>
      <c r="E813" s="8"/>
      <c r="F813" s="12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ht="13.15" x14ac:dyDescent="0.4">
      <c r="A814" s="8"/>
      <c r="B814" s="8"/>
      <c r="C814" s="8"/>
      <c r="D814" s="12"/>
      <c r="E814" s="8"/>
      <c r="F814" s="12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ht="13.15" x14ac:dyDescent="0.4">
      <c r="A815" s="8"/>
      <c r="B815" s="8"/>
      <c r="C815" s="8"/>
      <c r="D815" s="12"/>
      <c r="E815" s="8"/>
      <c r="F815" s="12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ht="13.15" x14ac:dyDescent="0.4">
      <c r="A816" s="8"/>
      <c r="B816" s="8"/>
      <c r="C816" s="8"/>
      <c r="D816" s="12"/>
      <c r="E816" s="8"/>
      <c r="F816" s="12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ht="13.15" x14ac:dyDescent="0.4">
      <c r="A817" s="8"/>
      <c r="B817" s="8"/>
      <c r="C817" s="8"/>
      <c r="D817" s="12"/>
      <c r="E817" s="8"/>
      <c r="F817" s="12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ht="13.15" x14ac:dyDescent="0.4">
      <c r="A818" s="8"/>
      <c r="B818" s="8"/>
      <c r="C818" s="8"/>
      <c r="D818" s="12"/>
      <c r="E818" s="8"/>
      <c r="F818" s="12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ht="13.15" x14ac:dyDescent="0.4">
      <c r="A819" s="8"/>
      <c r="B819" s="8"/>
      <c r="C819" s="8"/>
      <c r="D819" s="12"/>
      <c r="E819" s="8"/>
      <c r="F819" s="12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ht="13.15" x14ac:dyDescent="0.4">
      <c r="A820" s="8"/>
      <c r="B820" s="8"/>
      <c r="C820" s="8"/>
      <c r="D820" s="12"/>
      <c r="E820" s="8"/>
      <c r="F820" s="12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ht="13.15" x14ac:dyDescent="0.4">
      <c r="A821" s="8"/>
      <c r="B821" s="8"/>
      <c r="C821" s="8"/>
      <c r="D821" s="12"/>
      <c r="E821" s="8"/>
      <c r="F821" s="12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ht="13.15" x14ac:dyDescent="0.4">
      <c r="A822" s="8"/>
      <c r="B822" s="8"/>
      <c r="C822" s="8"/>
      <c r="D822" s="12"/>
      <c r="E822" s="8"/>
      <c r="F822" s="12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ht="13.15" x14ac:dyDescent="0.4">
      <c r="A823" s="8"/>
      <c r="B823" s="8"/>
      <c r="C823" s="8"/>
      <c r="D823" s="12"/>
      <c r="E823" s="8"/>
      <c r="F823" s="12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ht="13.15" x14ac:dyDescent="0.4">
      <c r="A824" s="8"/>
      <c r="B824" s="8"/>
      <c r="C824" s="8"/>
      <c r="D824" s="12"/>
      <c r="E824" s="8"/>
      <c r="F824" s="12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ht="13.15" x14ac:dyDescent="0.4">
      <c r="A825" s="8"/>
      <c r="B825" s="8"/>
      <c r="C825" s="8"/>
      <c r="D825" s="12"/>
      <c r="E825" s="8"/>
      <c r="F825" s="12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ht="13.15" x14ac:dyDescent="0.4">
      <c r="A826" s="8"/>
      <c r="B826" s="8"/>
      <c r="C826" s="8"/>
      <c r="D826" s="12"/>
      <c r="E826" s="8"/>
      <c r="F826" s="12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ht="13.15" x14ac:dyDescent="0.4">
      <c r="A827" s="8"/>
      <c r="B827" s="8"/>
      <c r="C827" s="8"/>
      <c r="D827" s="12"/>
      <c r="E827" s="8"/>
      <c r="F827" s="12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ht="13.15" x14ac:dyDescent="0.4">
      <c r="A828" s="8"/>
      <c r="B828" s="8"/>
      <c r="C828" s="8"/>
      <c r="D828" s="12"/>
      <c r="E828" s="8"/>
      <c r="F828" s="12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ht="13.15" x14ac:dyDescent="0.4">
      <c r="A829" s="8"/>
      <c r="B829" s="8"/>
      <c r="C829" s="8"/>
      <c r="D829" s="12"/>
      <c r="E829" s="8"/>
      <c r="F829" s="12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ht="13.15" x14ac:dyDescent="0.4">
      <c r="A830" s="8"/>
      <c r="B830" s="8"/>
      <c r="C830" s="8"/>
      <c r="D830" s="12"/>
      <c r="E830" s="8"/>
      <c r="F830" s="12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ht="13.15" x14ac:dyDescent="0.4">
      <c r="A831" s="8"/>
      <c r="B831" s="8"/>
      <c r="C831" s="8"/>
      <c r="D831" s="12"/>
      <c r="E831" s="8"/>
      <c r="F831" s="12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ht="13.15" x14ac:dyDescent="0.4">
      <c r="A832" s="8"/>
      <c r="B832" s="8"/>
      <c r="C832" s="8"/>
      <c r="D832" s="12"/>
      <c r="E832" s="8"/>
      <c r="F832" s="12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ht="13.15" x14ac:dyDescent="0.4">
      <c r="A833" s="8"/>
      <c r="B833" s="8"/>
      <c r="C833" s="8"/>
      <c r="D833" s="12"/>
      <c r="E833" s="8"/>
      <c r="F833" s="12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ht="13.15" x14ac:dyDescent="0.4">
      <c r="A834" s="8"/>
      <c r="B834" s="8"/>
      <c r="C834" s="8"/>
      <c r="D834" s="12"/>
      <c r="E834" s="8"/>
      <c r="F834" s="12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ht="13.15" x14ac:dyDescent="0.4">
      <c r="A835" s="8"/>
      <c r="B835" s="8"/>
      <c r="C835" s="8"/>
      <c r="D835" s="12"/>
      <c r="E835" s="8"/>
      <c r="F835" s="12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ht="13.15" x14ac:dyDescent="0.4">
      <c r="A836" s="8"/>
      <c r="B836" s="8"/>
      <c r="C836" s="8"/>
      <c r="D836" s="12"/>
      <c r="E836" s="8"/>
      <c r="F836" s="12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ht="13.15" x14ac:dyDescent="0.4">
      <c r="A837" s="8"/>
      <c r="B837" s="8"/>
      <c r="C837" s="8"/>
      <c r="D837" s="12"/>
      <c r="E837" s="8"/>
      <c r="F837" s="12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ht="13.15" x14ac:dyDescent="0.4">
      <c r="A838" s="8"/>
      <c r="B838" s="8"/>
      <c r="C838" s="8"/>
      <c r="D838" s="12"/>
      <c r="E838" s="8"/>
      <c r="F838" s="12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ht="13.15" x14ac:dyDescent="0.4">
      <c r="A839" s="8"/>
      <c r="B839" s="8"/>
      <c r="C839" s="8"/>
      <c r="D839" s="12"/>
      <c r="E839" s="8"/>
      <c r="F839" s="12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ht="13.15" x14ac:dyDescent="0.4">
      <c r="A840" s="8"/>
      <c r="B840" s="8"/>
      <c r="C840" s="8"/>
      <c r="D840" s="12"/>
      <c r="E840" s="8"/>
      <c r="F840" s="12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ht="13.15" x14ac:dyDescent="0.4">
      <c r="A841" s="8"/>
      <c r="B841" s="8"/>
      <c r="C841" s="8"/>
      <c r="D841" s="12"/>
      <c r="E841" s="8"/>
      <c r="F841" s="12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ht="13.15" x14ac:dyDescent="0.4">
      <c r="A842" s="8"/>
      <c r="B842" s="8"/>
      <c r="C842" s="8"/>
      <c r="D842" s="12"/>
      <c r="E842" s="8"/>
      <c r="F842" s="12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ht="13.15" x14ac:dyDescent="0.4">
      <c r="A843" s="8"/>
      <c r="B843" s="8"/>
      <c r="C843" s="8"/>
      <c r="D843" s="12"/>
      <c r="E843" s="8"/>
      <c r="F843" s="12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ht="13.15" x14ac:dyDescent="0.4">
      <c r="A844" s="8"/>
      <c r="B844" s="8"/>
      <c r="C844" s="8"/>
      <c r="D844" s="12"/>
      <c r="E844" s="8"/>
      <c r="F844" s="12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ht="13.15" x14ac:dyDescent="0.4">
      <c r="A845" s="8"/>
      <c r="B845" s="8"/>
      <c r="C845" s="8"/>
      <c r="D845" s="12"/>
      <c r="E845" s="8"/>
      <c r="F845" s="12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ht="13.15" x14ac:dyDescent="0.4">
      <c r="A846" s="8"/>
      <c r="B846" s="8"/>
      <c r="C846" s="8"/>
      <c r="D846" s="12"/>
      <c r="E846" s="8"/>
      <c r="F846" s="12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ht="13.15" x14ac:dyDescent="0.4">
      <c r="A847" s="8"/>
      <c r="B847" s="8"/>
      <c r="C847" s="8"/>
      <c r="D847" s="12"/>
      <c r="E847" s="8"/>
      <c r="F847" s="12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ht="13.15" x14ac:dyDescent="0.4">
      <c r="A848" s="8"/>
      <c r="B848" s="8"/>
      <c r="C848" s="8"/>
      <c r="D848" s="12"/>
      <c r="E848" s="8"/>
      <c r="F848" s="12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ht="13.15" x14ac:dyDescent="0.4">
      <c r="A849" s="8"/>
      <c r="B849" s="8"/>
      <c r="C849" s="8"/>
      <c r="D849" s="12"/>
      <c r="E849" s="8"/>
      <c r="F849" s="12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ht="13.15" x14ac:dyDescent="0.4">
      <c r="A850" s="8"/>
      <c r="B850" s="8"/>
      <c r="C850" s="8"/>
      <c r="D850" s="12"/>
      <c r="E850" s="8"/>
      <c r="F850" s="12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ht="13.15" x14ac:dyDescent="0.4">
      <c r="A851" s="8"/>
      <c r="B851" s="8"/>
      <c r="C851" s="8"/>
      <c r="D851" s="12"/>
      <c r="E851" s="8"/>
      <c r="F851" s="12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ht="13.15" x14ac:dyDescent="0.4">
      <c r="A852" s="8"/>
      <c r="B852" s="8"/>
      <c r="C852" s="8"/>
      <c r="D852" s="12"/>
      <c r="E852" s="8"/>
      <c r="F852" s="12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ht="13.15" x14ac:dyDescent="0.4">
      <c r="A853" s="8"/>
      <c r="B853" s="8"/>
      <c r="C853" s="8"/>
      <c r="D853" s="12"/>
      <c r="E853" s="8"/>
      <c r="F853" s="12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ht="13.15" x14ac:dyDescent="0.4">
      <c r="A854" s="8"/>
      <c r="B854" s="8"/>
      <c r="C854" s="8"/>
      <c r="D854" s="12"/>
      <c r="E854" s="8"/>
      <c r="F854" s="12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ht="13.15" x14ac:dyDescent="0.4">
      <c r="A855" s="8"/>
      <c r="B855" s="8"/>
      <c r="C855" s="8"/>
      <c r="D855" s="12"/>
      <c r="E855" s="8"/>
      <c r="F855" s="12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ht="13.15" x14ac:dyDescent="0.4">
      <c r="A856" s="8"/>
      <c r="B856" s="8"/>
      <c r="C856" s="8"/>
      <c r="D856" s="12"/>
      <c r="E856" s="8"/>
      <c r="F856" s="12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ht="13.15" x14ac:dyDescent="0.4">
      <c r="A857" s="8"/>
      <c r="B857" s="8"/>
      <c r="C857" s="8"/>
      <c r="D857" s="12"/>
      <c r="E857" s="8"/>
      <c r="F857" s="12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ht="13.15" x14ac:dyDescent="0.4">
      <c r="A858" s="8"/>
      <c r="B858" s="8"/>
      <c r="C858" s="8"/>
      <c r="D858" s="12"/>
      <c r="E858" s="8"/>
      <c r="F858" s="12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ht="13.15" x14ac:dyDescent="0.4">
      <c r="A859" s="8"/>
      <c r="B859" s="8"/>
      <c r="C859" s="8"/>
      <c r="D859" s="12"/>
      <c r="E859" s="8"/>
      <c r="F859" s="12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ht="13.15" x14ac:dyDescent="0.4">
      <c r="A860" s="8"/>
      <c r="B860" s="8"/>
      <c r="C860" s="8"/>
      <c r="D860" s="12"/>
      <c r="E860" s="8"/>
      <c r="F860" s="12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ht="13.15" x14ac:dyDescent="0.4">
      <c r="A861" s="8"/>
      <c r="B861" s="8"/>
      <c r="C861" s="8"/>
      <c r="D861" s="12"/>
      <c r="E861" s="8"/>
      <c r="F861" s="12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ht="13.15" x14ac:dyDescent="0.4">
      <c r="A862" s="8"/>
      <c r="B862" s="8"/>
      <c r="C862" s="8"/>
      <c r="D862" s="12"/>
      <c r="E862" s="8"/>
      <c r="F862" s="12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ht="13.15" x14ac:dyDescent="0.4">
      <c r="A863" s="8"/>
      <c r="B863" s="8"/>
      <c r="C863" s="8"/>
      <c r="D863" s="12"/>
      <c r="E863" s="8"/>
      <c r="F863" s="12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ht="13.15" x14ac:dyDescent="0.4">
      <c r="A864" s="8"/>
      <c r="B864" s="8"/>
      <c r="C864" s="8"/>
      <c r="D864" s="12"/>
      <c r="E864" s="8"/>
      <c r="F864" s="12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ht="13.15" x14ac:dyDescent="0.4">
      <c r="A865" s="8"/>
      <c r="B865" s="8"/>
      <c r="C865" s="8"/>
      <c r="D865" s="12"/>
      <c r="E865" s="8"/>
      <c r="F865" s="12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ht="13.15" x14ac:dyDescent="0.4">
      <c r="A866" s="8"/>
      <c r="B866" s="8"/>
      <c r="C866" s="8"/>
      <c r="D866" s="12"/>
      <c r="E866" s="8"/>
      <c r="F866" s="12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ht="13.15" x14ac:dyDescent="0.4">
      <c r="A867" s="8"/>
      <c r="B867" s="8"/>
      <c r="C867" s="8"/>
      <c r="D867" s="12"/>
      <c r="E867" s="8"/>
      <c r="F867" s="12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ht="13.15" x14ac:dyDescent="0.4">
      <c r="A868" s="8"/>
      <c r="B868" s="8"/>
      <c r="C868" s="8"/>
      <c r="D868" s="12"/>
      <c r="E868" s="8"/>
      <c r="F868" s="12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ht="13.15" x14ac:dyDescent="0.4">
      <c r="A869" s="8"/>
      <c r="B869" s="8"/>
      <c r="C869" s="8"/>
      <c r="D869" s="12"/>
      <c r="E869" s="8"/>
      <c r="F869" s="12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ht="13.15" x14ac:dyDescent="0.4">
      <c r="A870" s="8"/>
      <c r="B870" s="8"/>
      <c r="C870" s="8"/>
      <c r="D870" s="12"/>
      <c r="E870" s="8"/>
      <c r="F870" s="12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ht="13.15" x14ac:dyDescent="0.4">
      <c r="A871" s="8"/>
      <c r="B871" s="8"/>
      <c r="C871" s="8"/>
      <c r="D871" s="12"/>
      <c r="E871" s="8"/>
      <c r="F871" s="12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ht="13.15" x14ac:dyDescent="0.4">
      <c r="A872" s="8"/>
      <c r="B872" s="8"/>
      <c r="C872" s="8"/>
      <c r="D872" s="12"/>
      <c r="E872" s="8"/>
      <c r="F872" s="12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ht="13.15" x14ac:dyDescent="0.4">
      <c r="A873" s="8"/>
      <c r="B873" s="8"/>
      <c r="C873" s="8"/>
      <c r="D873" s="12"/>
      <c r="E873" s="8"/>
      <c r="F873" s="12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ht="13.15" x14ac:dyDescent="0.4">
      <c r="A874" s="8"/>
      <c r="B874" s="8"/>
      <c r="C874" s="8"/>
      <c r="D874" s="12"/>
      <c r="E874" s="8"/>
      <c r="F874" s="12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ht="13.15" x14ac:dyDescent="0.4">
      <c r="A875" s="8"/>
      <c r="B875" s="8"/>
      <c r="C875" s="8"/>
      <c r="D875" s="12"/>
      <c r="E875" s="8"/>
      <c r="F875" s="12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ht="13.15" x14ac:dyDescent="0.4">
      <c r="A876" s="8"/>
      <c r="B876" s="8"/>
      <c r="C876" s="8"/>
      <c r="D876" s="12"/>
      <c r="E876" s="8"/>
      <c r="F876" s="12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ht="13.15" x14ac:dyDescent="0.4">
      <c r="A877" s="8"/>
      <c r="B877" s="8"/>
      <c r="C877" s="8"/>
      <c r="D877" s="12"/>
      <c r="E877" s="8"/>
      <c r="F877" s="12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ht="13.15" x14ac:dyDescent="0.4">
      <c r="A878" s="8"/>
      <c r="B878" s="8"/>
      <c r="C878" s="8"/>
      <c r="D878" s="12"/>
      <c r="E878" s="8"/>
      <c r="F878" s="12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ht="13.15" x14ac:dyDescent="0.4">
      <c r="A879" s="8"/>
      <c r="B879" s="8"/>
      <c r="C879" s="8"/>
      <c r="D879" s="12"/>
      <c r="E879" s="8"/>
      <c r="F879" s="12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ht="13.15" x14ac:dyDescent="0.4">
      <c r="A880" s="8"/>
      <c r="B880" s="8"/>
      <c r="C880" s="8"/>
      <c r="D880" s="12"/>
      <c r="E880" s="8"/>
      <c r="F880" s="12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ht="13.15" x14ac:dyDescent="0.4">
      <c r="A881" s="8"/>
      <c r="B881" s="8"/>
      <c r="C881" s="8"/>
      <c r="D881" s="12"/>
      <c r="E881" s="8"/>
      <c r="F881" s="12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ht="13.15" x14ac:dyDescent="0.4">
      <c r="A882" s="8"/>
      <c r="B882" s="8"/>
      <c r="C882" s="8"/>
      <c r="D882" s="12"/>
      <c r="E882" s="8"/>
      <c r="F882" s="12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ht="13.15" x14ac:dyDescent="0.4">
      <c r="A883" s="8"/>
      <c r="B883" s="8"/>
      <c r="C883" s="8"/>
      <c r="D883" s="12"/>
      <c r="E883" s="8"/>
      <c r="F883" s="12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ht="13.15" x14ac:dyDescent="0.4">
      <c r="A884" s="8"/>
      <c r="B884" s="8"/>
      <c r="C884" s="8"/>
      <c r="D884" s="12"/>
      <c r="E884" s="8"/>
      <c r="F884" s="12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ht="13.15" x14ac:dyDescent="0.4">
      <c r="A885" s="8"/>
      <c r="B885" s="8"/>
      <c r="C885" s="8"/>
      <c r="D885" s="12"/>
      <c r="E885" s="8"/>
      <c r="F885" s="12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ht="13.15" x14ac:dyDescent="0.4">
      <c r="A886" s="8"/>
      <c r="B886" s="8"/>
      <c r="C886" s="8"/>
      <c r="D886" s="12"/>
      <c r="E886" s="8"/>
      <c r="F886" s="12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ht="13.15" x14ac:dyDescent="0.4">
      <c r="A887" s="8"/>
      <c r="B887" s="8"/>
      <c r="C887" s="8"/>
      <c r="D887" s="12"/>
      <c r="E887" s="8"/>
      <c r="F887" s="12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ht="13.15" x14ac:dyDescent="0.4">
      <c r="A888" s="8"/>
      <c r="B888" s="8"/>
      <c r="C888" s="8"/>
      <c r="D888" s="12"/>
      <c r="E888" s="8"/>
      <c r="F888" s="12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ht="13.15" x14ac:dyDescent="0.4">
      <c r="A889" s="8"/>
      <c r="B889" s="8"/>
      <c r="C889" s="8"/>
      <c r="D889" s="12"/>
      <c r="E889" s="8"/>
      <c r="F889" s="12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ht="13.15" x14ac:dyDescent="0.4">
      <c r="A890" s="8"/>
      <c r="B890" s="8"/>
      <c r="C890" s="8"/>
      <c r="D890" s="12"/>
      <c r="E890" s="8"/>
      <c r="F890" s="12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ht="13.15" x14ac:dyDescent="0.4">
      <c r="A891" s="8"/>
      <c r="B891" s="8"/>
      <c r="C891" s="8"/>
      <c r="D891" s="12"/>
      <c r="E891" s="8"/>
      <c r="F891" s="12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ht="13.15" x14ac:dyDescent="0.4">
      <c r="A892" s="8"/>
      <c r="B892" s="8"/>
      <c r="C892" s="8"/>
      <c r="D892" s="12"/>
      <c r="E892" s="8"/>
      <c r="F892" s="12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ht="13.15" x14ac:dyDescent="0.4">
      <c r="A893" s="8"/>
      <c r="B893" s="8"/>
      <c r="C893" s="8"/>
      <c r="D893" s="12"/>
      <c r="E893" s="8"/>
      <c r="F893" s="12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ht="13.15" x14ac:dyDescent="0.4">
      <c r="A894" s="8"/>
      <c r="B894" s="8"/>
      <c r="C894" s="8"/>
      <c r="D894" s="12"/>
      <c r="E894" s="8"/>
      <c r="F894" s="12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ht="13.15" x14ac:dyDescent="0.4">
      <c r="A895" s="8"/>
      <c r="B895" s="8"/>
      <c r="C895" s="8"/>
      <c r="D895" s="12"/>
      <c r="E895" s="8"/>
      <c r="F895" s="12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ht="13.15" x14ac:dyDescent="0.4">
      <c r="A896" s="8"/>
      <c r="B896" s="8"/>
      <c r="C896" s="8"/>
      <c r="D896" s="12"/>
      <c r="E896" s="8"/>
      <c r="F896" s="12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ht="13.15" x14ac:dyDescent="0.4">
      <c r="A897" s="8"/>
      <c r="B897" s="8"/>
      <c r="C897" s="8"/>
      <c r="D897" s="12"/>
      <c r="E897" s="8"/>
      <c r="F897" s="12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ht="13.15" x14ac:dyDescent="0.4">
      <c r="A898" s="8"/>
      <c r="B898" s="8"/>
      <c r="C898" s="8"/>
      <c r="D898" s="12"/>
      <c r="E898" s="8"/>
      <c r="F898" s="12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ht="13.15" x14ac:dyDescent="0.4">
      <c r="A899" s="8"/>
      <c r="B899" s="8"/>
      <c r="C899" s="8"/>
      <c r="D899" s="12"/>
      <c r="E899" s="8"/>
      <c r="F899" s="12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ht="13.15" x14ac:dyDescent="0.4">
      <c r="A900" s="8"/>
      <c r="B900" s="8"/>
      <c r="C900" s="8"/>
      <c r="D900" s="12"/>
      <c r="E900" s="8"/>
      <c r="F900" s="12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ht="13.15" x14ac:dyDescent="0.4">
      <c r="A901" s="8"/>
      <c r="B901" s="8"/>
      <c r="C901" s="8"/>
      <c r="D901" s="12"/>
      <c r="E901" s="8"/>
      <c r="F901" s="12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ht="13.15" x14ac:dyDescent="0.4">
      <c r="A902" s="8"/>
      <c r="B902" s="8"/>
      <c r="C902" s="8"/>
      <c r="D902" s="12"/>
      <c r="E902" s="8"/>
      <c r="F902" s="12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ht="13.15" x14ac:dyDescent="0.4">
      <c r="A903" s="8"/>
      <c r="B903" s="8"/>
      <c r="C903" s="8"/>
      <c r="D903" s="12"/>
      <c r="E903" s="8"/>
      <c r="F903" s="12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ht="13.15" x14ac:dyDescent="0.4">
      <c r="A904" s="8"/>
      <c r="B904" s="8"/>
      <c r="C904" s="8"/>
      <c r="D904" s="12"/>
      <c r="E904" s="8"/>
      <c r="F904" s="12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ht="13.15" x14ac:dyDescent="0.4">
      <c r="A905" s="8"/>
      <c r="B905" s="8"/>
      <c r="C905" s="8"/>
      <c r="D905" s="12"/>
      <c r="E905" s="8"/>
      <c r="F905" s="12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ht="13.15" x14ac:dyDescent="0.4">
      <c r="A906" s="8"/>
      <c r="B906" s="8"/>
      <c r="C906" s="8"/>
      <c r="D906" s="12"/>
      <c r="E906" s="8"/>
      <c r="F906" s="12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ht="13.15" x14ac:dyDescent="0.4">
      <c r="A907" s="8"/>
      <c r="B907" s="8"/>
      <c r="C907" s="8"/>
      <c r="D907" s="12"/>
      <c r="E907" s="8"/>
      <c r="F907" s="12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ht="13.15" x14ac:dyDescent="0.4">
      <c r="A908" s="8"/>
      <c r="B908" s="8"/>
      <c r="C908" s="8"/>
      <c r="D908" s="12"/>
      <c r="E908" s="8"/>
      <c r="F908" s="12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ht="13.15" x14ac:dyDescent="0.4">
      <c r="A909" s="8"/>
      <c r="B909" s="8"/>
      <c r="C909" s="8"/>
      <c r="D909" s="12"/>
      <c r="E909" s="8"/>
      <c r="F909" s="12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ht="13.15" x14ac:dyDescent="0.4">
      <c r="A910" s="8"/>
      <c r="B910" s="8"/>
      <c r="C910" s="8"/>
      <c r="D910" s="12"/>
      <c r="E910" s="8"/>
      <c r="F910" s="12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ht="13.15" x14ac:dyDescent="0.4">
      <c r="A911" s="8"/>
      <c r="B911" s="8"/>
      <c r="C911" s="8"/>
      <c r="D911" s="12"/>
      <c r="E911" s="8"/>
      <c r="F911" s="12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ht="13.15" x14ac:dyDescent="0.4">
      <c r="A912" s="8"/>
      <c r="B912" s="8"/>
      <c r="C912" s="8"/>
      <c r="D912" s="12"/>
      <c r="E912" s="8"/>
      <c r="F912" s="12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ht="13.15" x14ac:dyDescent="0.4">
      <c r="A913" s="8"/>
      <c r="B913" s="8"/>
      <c r="C913" s="8"/>
      <c r="D913" s="12"/>
      <c r="E913" s="8"/>
      <c r="F913" s="12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ht="13.15" x14ac:dyDescent="0.4">
      <c r="A914" s="8"/>
      <c r="B914" s="8"/>
      <c r="C914" s="8"/>
      <c r="D914" s="12"/>
      <c r="E914" s="8"/>
      <c r="F914" s="12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ht="13.15" x14ac:dyDescent="0.4">
      <c r="A915" s="8"/>
      <c r="B915" s="8"/>
      <c r="C915" s="8"/>
      <c r="D915" s="12"/>
      <c r="E915" s="8"/>
      <c r="F915" s="12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ht="13.15" x14ac:dyDescent="0.4">
      <c r="A916" s="8"/>
      <c r="B916" s="8"/>
      <c r="C916" s="8"/>
      <c r="D916" s="12"/>
      <c r="E916" s="8"/>
      <c r="F916" s="12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ht="13.15" x14ac:dyDescent="0.4">
      <c r="A917" s="8"/>
      <c r="B917" s="8"/>
      <c r="C917" s="8"/>
      <c r="D917" s="12"/>
      <c r="E917" s="8"/>
      <c r="F917" s="12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ht="13.15" x14ac:dyDescent="0.4">
      <c r="A918" s="8"/>
      <c r="B918" s="8"/>
      <c r="C918" s="8"/>
      <c r="D918" s="12"/>
      <c r="E918" s="8"/>
      <c r="F918" s="12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ht="13.15" x14ac:dyDescent="0.4">
      <c r="A919" s="8"/>
      <c r="B919" s="8"/>
      <c r="C919" s="8"/>
      <c r="D919" s="12"/>
      <c r="E919" s="8"/>
      <c r="F919" s="12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ht="13.15" x14ac:dyDescent="0.4">
      <c r="A920" s="8"/>
      <c r="B920" s="8"/>
      <c r="C920" s="8"/>
      <c r="D920" s="12"/>
      <c r="E920" s="8"/>
      <c r="F920" s="12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ht="13.15" x14ac:dyDescent="0.4">
      <c r="A921" s="8"/>
      <c r="B921" s="8"/>
      <c r="C921" s="8"/>
      <c r="D921" s="12"/>
      <c r="E921" s="8"/>
      <c r="F921" s="12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ht="13.15" x14ac:dyDescent="0.4">
      <c r="A922" s="8"/>
      <c r="B922" s="8"/>
      <c r="C922" s="8"/>
      <c r="D922" s="12"/>
      <c r="E922" s="8"/>
      <c r="F922" s="12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ht="13.15" x14ac:dyDescent="0.4">
      <c r="A923" s="8"/>
      <c r="B923" s="8"/>
      <c r="C923" s="8"/>
      <c r="D923" s="12"/>
      <c r="E923" s="8"/>
      <c r="F923" s="12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ht="13.15" x14ac:dyDescent="0.4">
      <c r="A924" s="8"/>
      <c r="B924" s="8"/>
      <c r="C924" s="8"/>
      <c r="D924" s="12"/>
      <c r="E924" s="8"/>
      <c r="F924" s="12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ht="13.15" x14ac:dyDescent="0.4">
      <c r="A925" s="8"/>
      <c r="B925" s="8"/>
      <c r="C925" s="8"/>
      <c r="D925" s="12"/>
      <c r="E925" s="8"/>
      <c r="F925" s="12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ht="13.15" x14ac:dyDescent="0.4">
      <c r="A926" s="8"/>
      <c r="B926" s="8"/>
      <c r="C926" s="8"/>
      <c r="D926" s="12"/>
      <c r="E926" s="8"/>
      <c r="F926" s="12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ht="13.15" x14ac:dyDescent="0.4">
      <c r="A927" s="8"/>
      <c r="B927" s="8"/>
      <c r="C927" s="8"/>
      <c r="D927" s="12"/>
      <c r="E927" s="8"/>
      <c r="F927" s="12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ht="13.15" x14ac:dyDescent="0.4">
      <c r="A928" s="8"/>
      <c r="B928" s="8"/>
      <c r="C928" s="8"/>
      <c r="D928" s="12"/>
      <c r="E928" s="8"/>
      <c r="F928" s="12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ht="13.15" x14ac:dyDescent="0.4">
      <c r="A929" s="8"/>
      <c r="B929" s="8"/>
      <c r="C929" s="8"/>
      <c r="D929" s="12"/>
      <c r="E929" s="8"/>
      <c r="F929" s="12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ht="13.15" x14ac:dyDescent="0.4">
      <c r="A930" s="8"/>
      <c r="B930" s="8"/>
      <c r="C930" s="8"/>
      <c r="D930" s="12"/>
      <c r="E930" s="8"/>
      <c r="F930" s="12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ht="13.15" x14ac:dyDescent="0.4">
      <c r="A931" s="8"/>
      <c r="B931" s="8"/>
      <c r="C931" s="8"/>
      <c r="D931" s="12"/>
      <c r="E931" s="8"/>
      <c r="F931" s="12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ht="13.15" x14ac:dyDescent="0.4">
      <c r="A932" s="8"/>
      <c r="B932" s="8"/>
      <c r="C932" s="8"/>
      <c r="D932" s="12"/>
      <c r="E932" s="8"/>
      <c r="F932" s="12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ht="13.15" x14ac:dyDescent="0.4">
      <c r="A933" s="8"/>
      <c r="B933" s="8"/>
      <c r="C933" s="8"/>
      <c r="D933" s="12"/>
      <c r="E933" s="8"/>
      <c r="F933" s="12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ht="13.15" x14ac:dyDescent="0.4">
      <c r="A934" s="8"/>
      <c r="B934" s="8"/>
      <c r="C934" s="8"/>
      <c r="D934" s="12"/>
      <c r="E934" s="8"/>
      <c r="F934" s="12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ht="13.15" x14ac:dyDescent="0.4">
      <c r="A935" s="8"/>
      <c r="B935" s="8"/>
      <c r="C935" s="8"/>
      <c r="D935" s="12"/>
      <c r="E935" s="8"/>
      <c r="F935" s="12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ht="13.15" x14ac:dyDescent="0.4">
      <c r="A936" s="8"/>
      <c r="B936" s="8"/>
      <c r="C936" s="8"/>
      <c r="D936" s="12"/>
      <c r="E936" s="8"/>
      <c r="F936" s="12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ht="13.15" x14ac:dyDescent="0.4">
      <c r="A937" s="8"/>
      <c r="B937" s="8"/>
      <c r="C937" s="8"/>
      <c r="D937" s="12"/>
      <c r="E937" s="8"/>
      <c r="F937" s="12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ht="13.15" x14ac:dyDescent="0.4">
      <c r="A938" s="8"/>
      <c r="B938" s="8"/>
      <c r="C938" s="8"/>
      <c r="D938" s="12"/>
      <c r="E938" s="8"/>
      <c r="F938" s="12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ht="13.15" x14ac:dyDescent="0.4">
      <c r="A939" s="8"/>
      <c r="B939" s="8"/>
      <c r="C939" s="8"/>
      <c r="D939" s="12"/>
      <c r="E939" s="8"/>
      <c r="F939" s="12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ht="13.15" x14ac:dyDescent="0.4">
      <c r="A940" s="8"/>
      <c r="B940" s="8"/>
      <c r="C940" s="8"/>
      <c r="D940" s="12"/>
      <c r="E940" s="8"/>
      <c r="F940" s="12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ht="13.15" x14ac:dyDescent="0.4">
      <c r="A941" s="8"/>
      <c r="B941" s="8"/>
      <c r="C941" s="8"/>
      <c r="D941" s="12"/>
      <c r="E941" s="8"/>
      <c r="F941" s="12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ht="13.15" x14ac:dyDescent="0.4">
      <c r="A942" s="8"/>
      <c r="B942" s="8"/>
      <c r="C942" s="8"/>
      <c r="D942" s="12"/>
      <c r="E942" s="8"/>
      <c r="F942" s="12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ht="13.15" x14ac:dyDescent="0.4">
      <c r="A943" s="8"/>
      <c r="B943" s="8"/>
      <c r="C943" s="8"/>
      <c r="D943" s="12"/>
      <c r="E943" s="8"/>
      <c r="F943" s="12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ht="13.15" x14ac:dyDescent="0.4">
      <c r="A944" s="8"/>
      <c r="B944" s="8"/>
      <c r="C944" s="8"/>
      <c r="D944" s="12"/>
      <c r="E944" s="8"/>
      <c r="F944" s="12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ht="13.15" x14ac:dyDescent="0.4">
      <c r="A945" s="8"/>
      <c r="B945" s="8"/>
      <c r="C945" s="8"/>
      <c r="D945" s="12"/>
      <c r="E945" s="8"/>
      <c r="F945" s="12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ht="13.15" x14ac:dyDescent="0.4">
      <c r="A946" s="8"/>
      <c r="B946" s="8"/>
      <c r="C946" s="8"/>
      <c r="D946" s="12"/>
      <c r="E946" s="8"/>
      <c r="F946" s="12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ht="13.15" x14ac:dyDescent="0.4">
      <c r="A947" s="8"/>
      <c r="B947" s="8"/>
      <c r="C947" s="8"/>
      <c r="D947" s="12"/>
      <c r="E947" s="8"/>
      <c r="F947" s="12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ht="13.15" x14ac:dyDescent="0.4">
      <c r="A948" s="8"/>
      <c r="B948" s="8"/>
      <c r="C948" s="8"/>
      <c r="D948" s="12"/>
      <c r="E948" s="8"/>
      <c r="F948" s="12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ht="13.15" x14ac:dyDescent="0.4">
      <c r="A949" s="8"/>
      <c r="B949" s="8"/>
      <c r="C949" s="8"/>
      <c r="D949" s="12"/>
      <c r="E949" s="8"/>
      <c r="F949" s="12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ht="13.15" x14ac:dyDescent="0.4">
      <c r="A950" s="8"/>
      <c r="B950" s="8"/>
      <c r="C950" s="8"/>
      <c r="D950" s="12"/>
      <c r="E950" s="8"/>
      <c r="F950" s="12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ht="13.15" x14ac:dyDescent="0.4">
      <c r="A951" s="8"/>
      <c r="B951" s="8"/>
      <c r="C951" s="8"/>
      <c r="D951" s="12"/>
      <c r="E951" s="8"/>
      <c r="F951" s="12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ht="13.15" x14ac:dyDescent="0.4">
      <c r="A952" s="8"/>
      <c r="B952" s="8"/>
      <c r="C952" s="8"/>
      <c r="D952" s="12"/>
      <c r="E952" s="8"/>
      <c r="F952" s="12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ht="13.15" x14ac:dyDescent="0.4">
      <c r="A953" s="8"/>
      <c r="B953" s="8"/>
      <c r="C953" s="8"/>
      <c r="D953" s="12"/>
      <c r="E953" s="8"/>
      <c r="F953" s="12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ht="13.15" x14ac:dyDescent="0.4">
      <c r="A954" s="8"/>
      <c r="B954" s="8"/>
      <c r="C954" s="8"/>
      <c r="D954" s="12"/>
      <c r="E954" s="8"/>
      <c r="F954" s="12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ht="13.15" x14ac:dyDescent="0.4">
      <c r="A955" s="8"/>
      <c r="B955" s="8"/>
      <c r="C955" s="8"/>
      <c r="D955" s="12"/>
      <c r="E955" s="8"/>
      <c r="F955" s="12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ht="13.15" x14ac:dyDescent="0.4">
      <c r="A956" s="8"/>
      <c r="B956" s="8"/>
      <c r="C956" s="8"/>
      <c r="D956" s="12"/>
      <c r="E956" s="8"/>
      <c r="F956" s="12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ht="13.15" x14ac:dyDescent="0.4">
      <c r="A957" s="8"/>
      <c r="B957" s="8"/>
      <c r="C957" s="8"/>
      <c r="D957" s="12"/>
      <c r="E957" s="8"/>
      <c r="F957" s="12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 spans="1:28" ht="13.15" x14ac:dyDescent="0.4">
      <c r="A958" s="8"/>
      <c r="B958" s="8"/>
      <c r="C958" s="8"/>
      <c r="D958" s="12"/>
      <c r="E958" s="8"/>
      <c r="F958" s="12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 spans="1:28" ht="13.15" x14ac:dyDescent="0.4">
      <c r="A959" s="8"/>
      <c r="B959" s="8"/>
      <c r="C959" s="8"/>
      <c r="D959" s="12"/>
      <c r="E959" s="8"/>
      <c r="F959" s="12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 spans="1:28" ht="13.15" x14ac:dyDescent="0.4">
      <c r="A960" s="8"/>
      <c r="B960" s="8"/>
      <c r="C960" s="8"/>
      <c r="D960" s="12"/>
      <c r="E960" s="8"/>
      <c r="F960" s="12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 spans="1:28" ht="13.15" x14ac:dyDescent="0.4">
      <c r="A961" s="8"/>
      <c r="B961" s="8"/>
      <c r="C961" s="8"/>
      <c r="D961" s="12"/>
      <c r="E961" s="8"/>
      <c r="F961" s="12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 spans="1:28" ht="13.15" x14ac:dyDescent="0.4">
      <c r="A962" s="8"/>
      <c r="B962" s="8"/>
      <c r="C962" s="8"/>
      <c r="D962" s="12"/>
      <c r="E962" s="8"/>
      <c r="F962" s="12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 spans="1:28" ht="13.15" x14ac:dyDescent="0.4">
      <c r="A963" s="8"/>
      <c r="B963" s="8"/>
      <c r="C963" s="8"/>
      <c r="D963" s="12"/>
      <c r="E963" s="8"/>
      <c r="F963" s="12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 spans="1:28" ht="13.15" x14ac:dyDescent="0.4">
      <c r="A964" s="8"/>
      <c r="B964" s="8"/>
      <c r="C964" s="8"/>
      <c r="D964" s="12"/>
      <c r="E964" s="8"/>
      <c r="F964" s="12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 spans="1:28" ht="13.15" x14ac:dyDescent="0.4">
      <c r="A965" s="8"/>
      <c r="B965" s="8"/>
      <c r="C965" s="8"/>
      <c r="D965" s="12"/>
      <c r="E965" s="8"/>
      <c r="F965" s="12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 spans="1:28" ht="13.15" x14ac:dyDescent="0.4">
      <c r="A966" s="8"/>
      <c r="B966" s="8"/>
      <c r="C966" s="8"/>
      <c r="D966" s="12"/>
      <c r="E966" s="8"/>
      <c r="F966" s="12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 spans="1:28" ht="13.15" x14ac:dyDescent="0.4">
      <c r="A967" s="8"/>
      <c r="B967" s="8"/>
      <c r="C967" s="8"/>
      <c r="D967" s="12"/>
      <c r="E967" s="8"/>
      <c r="F967" s="12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 spans="1:28" ht="13.15" x14ac:dyDescent="0.4">
      <c r="A968" s="8"/>
      <c r="B968" s="8"/>
      <c r="C968" s="8"/>
      <c r="D968" s="12"/>
      <c r="E968" s="8"/>
      <c r="F968" s="12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 spans="1:28" ht="13.15" x14ac:dyDescent="0.4">
      <c r="A969" s="8"/>
      <c r="B969" s="8"/>
      <c r="C969" s="8"/>
      <c r="D969" s="12"/>
      <c r="E969" s="8"/>
      <c r="F969" s="12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 spans="1:28" ht="13.15" x14ac:dyDescent="0.4">
      <c r="A970" s="8"/>
      <c r="B970" s="8"/>
      <c r="C970" s="8"/>
      <c r="D970" s="12"/>
      <c r="E970" s="8"/>
      <c r="F970" s="12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 spans="1:28" ht="13.15" x14ac:dyDescent="0.4">
      <c r="A971" s="8"/>
      <c r="B971" s="8"/>
      <c r="C971" s="8"/>
      <c r="D971" s="12"/>
      <c r="E971" s="8"/>
      <c r="F971" s="12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 spans="1:28" ht="13.15" x14ac:dyDescent="0.4">
      <c r="A972" s="8"/>
      <c r="B972" s="8"/>
      <c r="C972" s="8"/>
      <c r="D972" s="12"/>
      <c r="E972" s="8"/>
      <c r="F972" s="12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 spans="1:28" ht="13.15" x14ac:dyDescent="0.4">
      <c r="A973" s="8"/>
      <c r="B973" s="8"/>
      <c r="C973" s="8"/>
      <c r="D973" s="12"/>
      <c r="E973" s="8"/>
      <c r="F973" s="12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 spans="1:28" ht="13.15" x14ac:dyDescent="0.4">
      <c r="A974" s="8"/>
      <c r="B974" s="8"/>
      <c r="C974" s="8"/>
      <c r="D974" s="12"/>
      <c r="E974" s="8"/>
      <c r="F974" s="12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 spans="1:28" ht="13.15" x14ac:dyDescent="0.4">
      <c r="A975" s="8"/>
      <c r="B975" s="8"/>
      <c r="C975" s="8"/>
      <c r="D975" s="12"/>
      <c r="E975" s="8"/>
      <c r="F975" s="12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 spans="1:28" ht="13.15" x14ac:dyDescent="0.4">
      <c r="A976" s="8"/>
      <c r="B976" s="8"/>
      <c r="C976" s="8"/>
      <c r="D976" s="12"/>
      <c r="E976" s="8"/>
      <c r="F976" s="12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 spans="1:28" ht="13.15" x14ac:dyDescent="0.4">
      <c r="A977" s="8"/>
      <c r="B977" s="8"/>
      <c r="C977" s="8"/>
      <c r="D977" s="12"/>
      <c r="E977" s="8"/>
      <c r="F977" s="12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 spans="1:28" ht="13.15" x14ac:dyDescent="0.4">
      <c r="A978" s="8"/>
      <c r="B978" s="8"/>
      <c r="C978" s="8"/>
      <c r="D978" s="12"/>
      <c r="E978" s="8"/>
      <c r="F978" s="12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 spans="1:28" ht="13.15" x14ac:dyDescent="0.4">
      <c r="A979" s="8"/>
      <c r="B979" s="8"/>
      <c r="C979" s="8"/>
      <c r="D979" s="12"/>
      <c r="E979" s="8"/>
      <c r="F979" s="12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 spans="1:28" ht="13.15" x14ac:dyDescent="0.4">
      <c r="A980" s="8"/>
      <c r="B980" s="8"/>
      <c r="C980" s="8"/>
      <c r="D980" s="12"/>
      <c r="E980" s="8"/>
      <c r="F980" s="12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 spans="1:28" ht="13.15" x14ac:dyDescent="0.4">
      <c r="A981" s="8"/>
      <c r="B981" s="8"/>
      <c r="C981" s="8"/>
      <c r="D981" s="12"/>
      <c r="E981" s="8"/>
      <c r="F981" s="12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 spans="1:28" ht="13.15" x14ac:dyDescent="0.4">
      <c r="A982" s="8"/>
      <c r="B982" s="8"/>
      <c r="C982" s="8"/>
      <c r="D982" s="12"/>
      <c r="E982" s="8"/>
      <c r="F982" s="12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 spans="1:28" ht="13.15" x14ac:dyDescent="0.4">
      <c r="A983" s="8"/>
      <c r="B983" s="8"/>
      <c r="C983" s="8"/>
      <c r="D983" s="12"/>
      <c r="E983" s="8"/>
      <c r="F983" s="12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 spans="1:28" ht="13.15" x14ac:dyDescent="0.4">
      <c r="A984" s="8"/>
      <c r="B984" s="8"/>
      <c r="C984" s="8"/>
      <c r="D984" s="12"/>
      <c r="E984" s="8"/>
      <c r="F984" s="12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 spans="1:28" ht="13.15" x14ac:dyDescent="0.4">
      <c r="A985" s="8"/>
      <c r="B985" s="8"/>
      <c r="C985" s="8"/>
      <c r="D985" s="12"/>
      <c r="E985" s="8"/>
      <c r="F985" s="12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 spans="1:28" ht="13.15" x14ac:dyDescent="0.4">
      <c r="A986" s="8"/>
      <c r="B986" s="8"/>
      <c r="C986" s="8"/>
      <c r="D986" s="12"/>
      <c r="E986" s="8"/>
      <c r="F986" s="12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 spans="1:28" ht="13.15" x14ac:dyDescent="0.4">
      <c r="A987" s="8"/>
      <c r="B987" s="8"/>
      <c r="C987" s="8"/>
      <c r="D987" s="12"/>
      <c r="E987" s="8"/>
      <c r="F987" s="12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 spans="1:28" ht="13.15" x14ac:dyDescent="0.4">
      <c r="A988" s="8"/>
      <c r="B988" s="8"/>
      <c r="C988" s="8"/>
      <c r="D988" s="12"/>
      <c r="E988" s="8"/>
      <c r="F988" s="12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 spans="1:28" ht="13.15" x14ac:dyDescent="0.4">
      <c r="A989" s="8"/>
      <c r="B989" s="8"/>
      <c r="C989" s="8"/>
      <c r="D989" s="12"/>
      <c r="E989" s="8"/>
      <c r="F989" s="12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 spans="1:28" ht="13.15" x14ac:dyDescent="0.4">
      <c r="A990" s="8"/>
      <c r="B990" s="8"/>
      <c r="C990" s="8"/>
      <c r="D990" s="12"/>
      <c r="E990" s="8"/>
      <c r="F990" s="12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 spans="1:28" ht="13.15" x14ac:dyDescent="0.4">
      <c r="A991" s="8"/>
      <c r="B991" s="8"/>
      <c r="C991" s="8"/>
      <c r="D991" s="12"/>
      <c r="E991" s="8"/>
      <c r="F991" s="12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 spans="1:28" ht="13.15" x14ac:dyDescent="0.4">
      <c r="A992" s="8"/>
      <c r="B992" s="8"/>
      <c r="C992" s="8"/>
      <c r="D992" s="12"/>
      <c r="E992" s="8"/>
      <c r="F992" s="12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 spans="1:28" ht="13.15" x14ac:dyDescent="0.4">
      <c r="A993" s="8"/>
      <c r="B993" s="8"/>
      <c r="C993" s="8"/>
      <c r="D993" s="12"/>
      <c r="E993" s="8"/>
      <c r="F993" s="12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 spans="1:28" ht="13.15" x14ac:dyDescent="0.4">
      <c r="A994" s="8"/>
      <c r="B994" s="8"/>
      <c r="C994" s="8"/>
      <c r="D994" s="12"/>
      <c r="E994" s="8"/>
      <c r="F994" s="12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 spans="1:28" ht="13.15" x14ac:dyDescent="0.4">
      <c r="A995" s="8"/>
      <c r="B995" s="8"/>
      <c r="C995" s="8"/>
      <c r="D995" s="12"/>
      <c r="E995" s="8"/>
      <c r="F995" s="12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 spans="1:28" ht="13.15" x14ac:dyDescent="0.4">
      <c r="A996" s="8"/>
      <c r="B996" s="8"/>
      <c r="C996" s="8"/>
      <c r="D996" s="12"/>
      <c r="E996" s="8"/>
      <c r="F996" s="12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 spans="1:28" ht="13.15" x14ac:dyDescent="0.4">
      <c r="A997" s="8"/>
      <c r="B997" s="8"/>
      <c r="C997" s="8"/>
      <c r="D997" s="12"/>
      <c r="E997" s="8"/>
      <c r="F997" s="12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 spans="1:28" ht="13.15" x14ac:dyDescent="0.4">
      <c r="A998" s="8"/>
      <c r="B998" s="8"/>
      <c r="C998" s="8"/>
      <c r="D998" s="12"/>
      <c r="E998" s="8"/>
      <c r="F998" s="12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 spans="1:28" ht="13.15" x14ac:dyDescent="0.4">
      <c r="A999" s="8"/>
      <c r="B999" s="8"/>
      <c r="C999" s="8"/>
      <c r="D999" s="12"/>
      <c r="E999" s="8"/>
      <c r="F999" s="12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 spans="1:28" ht="13.15" x14ac:dyDescent="0.4">
      <c r="A1000" s="8"/>
      <c r="B1000" s="8"/>
      <c r="C1000" s="8"/>
      <c r="D1000" s="12"/>
      <c r="E1000" s="8"/>
      <c r="F1000" s="12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  <row r="1001" spans="1:28" ht="13.15" x14ac:dyDescent="0.4">
      <c r="A1001" s="8"/>
      <c r="B1001" s="8"/>
      <c r="C1001" s="8"/>
      <c r="D1001" s="12"/>
      <c r="E1001" s="8"/>
      <c r="F1001" s="12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</row>
  </sheetData>
  <mergeCells count="1">
    <mergeCell ref="F1:G1"/>
  </mergeCells>
  <dataValidations count="1">
    <dataValidation type="custom" allowBlank="1" showDropDown="1" showErrorMessage="1" sqref="C19" xr:uid="{00000000-0002-0000-0600-000000000000}">
      <formula1>OR(C18&lt;&gt;"None",C19=0)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/>
  </sheetViews>
  <sheetFormatPr defaultColWidth="12.59765625" defaultRowHeight="15.75" customHeight="1" x14ac:dyDescent="0.35"/>
  <cols>
    <col min="3" max="3" width="98.46484375" customWidth="1"/>
  </cols>
  <sheetData>
    <row r="1" spans="1:26" ht="15.75" customHeight="1" x14ac:dyDescent="0.4">
      <c r="A1" s="195" t="s">
        <v>227</v>
      </c>
      <c r="B1" s="195" t="s">
        <v>274</v>
      </c>
      <c r="C1" s="195" t="s">
        <v>275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 x14ac:dyDescent="0.4">
      <c r="A2" s="218">
        <v>46118</v>
      </c>
      <c r="B2" s="8" t="s">
        <v>279</v>
      </c>
      <c r="C2" s="12" t="s">
        <v>280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5.75" customHeight="1" x14ac:dyDescent="0.4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5.75" customHeight="1" x14ac:dyDescent="0.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5.75" customHeight="1" x14ac:dyDescent="0.4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5.75" customHeight="1" x14ac:dyDescent="0.4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5.75" customHeight="1" x14ac:dyDescent="0.4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5.75" customHeight="1" x14ac:dyDescent="0.4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5.75" customHeight="1" x14ac:dyDescent="0.4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5.75" customHeight="1" x14ac:dyDescent="0.4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5.75" customHeight="1" x14ac:dyDescent="0.4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5.75" customHeight="1" x14ac:dyDescent="0.4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5.75" customHeight="1" x14ac:dyDescent="0.4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5.75" customHeight="1" x14ac:dyDescent="0.4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5.75" customHeight="1" x14ac:dyDescent="0.4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5.75" customHeight="1" x14ac:dyDescent="0.4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5.75" customHeight="1" x14ac:dyDescent="0.4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5.75" customHeight="1" x14ac:dyDescent="0.4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5.75" customHeight="1" x14ac:dyDescent="0.4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5.75" customHeight="1" x14ac:dyDescent="0.4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5.75" customHeight="1" x14ac:dyDescent="0.4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5.75" customHeight="1" x14ac:dyDescent="0.4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5.75" customHeight="1" x14ac:dyDescent="0.4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5.75" customHeight="1" x14ac:dyDescent="0.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5.75" customHeight="1" x14ac:dyDescent="0.4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5.75" customHeight="1" x14ac:dyDescent="0.4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5.75" customHeight="1" x14ac:dyDescent="0.4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3.15" x14ac:dyDescent="0.4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3.15" x14ac:dyDescent="0.4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3.15" x14ac:dyDescent="0.4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3.15" x14ac:dyDescent="0.4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3.15" x14ac:dyDescent="0.4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3.15" x14ac:dyDescent="0.4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3.15" x14ac:dyDescent="0.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3.15" x14ac:dyDescent="0.4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3.15" x14ac:dyDescent="0.4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3.15" x14ac:dyDescent="0.4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3.15" x14ac:dyDescent="0.4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3.15" x14ac:dyDescent="0.4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3.15" x14ac:dyDescent="0.4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3.15" x14ac:dyDescent="0.4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3.15" x14ac:dyDescent="0.4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3.15" x14ac:dyDescent="0.4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3.15" x14ac:dyDescent="0.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3.15" x14ac:dyDescent="0.4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3.15" x14ac:dyDescent="0.4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3.15" x14ac:dyDescent="0.4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3.15" x14ac:dyDescent="0.4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3.15" x14ac:dyDescent="0.4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3.15" x14ac:dyDescent="0.4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3.15" x14ac:dyDescent="0.4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3.15" x14ac:dyDescent="0.4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3.15" x14ac:dyDescent="0.4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3.15" x14ac:dyDescent="0.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3.15" x14ac:dyDescent="0.4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3.15" x14ac:dyDescent="0.4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3.15" x14ac:dyDescent="0.4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3.15" x14ac:dyDescent="0.4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3.15" x14ac:dyDescent="0.4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3.15" x14ac:dyDescent="0.4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3.15" x14ac:dyDescent="0.4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3.15" x14ac:dyDescent="0.4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3.15" x14ac:dyDescent="0.4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3.15" x14ac:dyDescent="0.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3.15" x14ac:dyDescent="0.4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3.15" x14ac:dyDescent="0.4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3.15" x14ac:dyDescent="0.4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3.15" x14ac:dyDescent="0.4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3.15" x14ac:dyDescent="0.4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3.15" x14ac:dyDescent="0.4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3.15" x14ac:dyDescent="0.4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3.15" x14ac:dyDescent="0.4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3.15" x14ac:dyDescent="0.4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3.15" x14ac:dyDescent="0.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3.15" x14ac:dyDescent="0.4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3.15" x14ac:dyDescent="0.4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3.15" x14ac:dyDescent="0.4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3.15" x14ac:dyDescent="0.4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3.15" x14ac:dyDescent="0.4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3.15" x14ac:dyDescent="0.4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3.15" x14ac:dyDescent="0.4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3.15" x14ac:dyDescent="0.4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3.15" x14ac:dyDescent="0.4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3.15" x14ac:dyDescent="0.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3.15" x14ac:dyDescent="0.4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3.15" x14ac:dyDescent="0.4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3.15" x14ac:dyDescent="0.4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3.15" x14ac:dyDescent="0.4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3.15" x14ac:dyDescent="0.4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3.15" x14ac:dyDescent="0.4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3.15" x14ac:dyDescent="0.4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3.15" x14ac:dyDescent="0.4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3.15" x14ac:dyDescent="0.4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3.15" x14ac:dyDescent="0.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3.15" x14ac:dyDescent="0.4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3.15" x14ac:dyDescent="0.4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3.15" x14ac:dyDescent="0.4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3.15" x14ac:dyDescent="0.4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3.15" x14ac:dyDescent="0.4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3.15" x14ac:dyDescent="0.4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3.15" x14ac:dyDescent="0.4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3.15" x14ac:dyDescent="0.4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3.15" x14ac:dyDescent="0.4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3.15" x14ac:dyDescent="0.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3.15" x14ac:dyDescent="0.4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3.15" x14ac:dyDescent="0.4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3.15" x14ac:dyDescent="0.4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3.15" x14ac:dyDescent="0.4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3.15" x14ac:dyDescent="0.4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3.15" x14ac:dyDescent="0.4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3.15" x14ac:dyDescent="0.4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3.15" x14ac:dyDescent="0.4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3.15" x14ac:dyDescent="0.4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3.15" x14ac:dyDescent="0.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3.15" x14ac:dyDescent="0.4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3.15" x14ac:dyDescent="0.4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3.15" x14ac:dyDescent="0.4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3.15" x14ac:dyDescent="0.4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3.15" x14ac:dyDescent="0.4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3.15" x14ac:dyDescent="0.4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3.15" x14ac:dyDescent="0.4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3.15" x14ac:dyDescent="0.4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3.15" x14ac:dyDescent="0.4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3.15" x14ac:dyDescent="0.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3.15" x14ac:dyDescent="0.4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3.15" x14ac:dyDescent="0.4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3.15" x14ac:dyDescent="0.4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3.15" x14ac:dyDescent="0.4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3.15" x14ac:dyDescent="0.4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3.15" x14ac:dyDescent="0.4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3.15" x14ac:dyDescent="0.4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3.15" x14ac:dyDescent="0.4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3.15" x14ac:dyDescent="0.4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3.15" x14ac:dyDescent="0.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3.15" x14ac:dyDescent="0.4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3.15" x14ac:dyDescent="0.4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3.15" x14ac:dyDescent="0.4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3.15" x14ac:dyDescent="0.4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3.15" x14ac:dyDescent="0.4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3.15" x14ac:dyDescent="0.4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3.15" x14ac:dyDescent="0.4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3.15" x14ac:dyDescent="0.4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3.15" x14ac:dyDescent="0.4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3.15" x14ac:dyDescent="0.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3.15" x14ac:dyDescent="0.4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3.15" x14ac:dyDescent="0.4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3.15" x14ac:dyDescent="0.4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3.15" x14ac:dyDescent="0.4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3.15" x14ac:dyDescent="0.4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3.15" x14ac:dyDescent="0.4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3.15" x14ac:dyDescent="0.4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3.15" x14ac:dyDescent="0.4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3.15" x14ac:dyDescent="0.4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3.15" x14ac:dyDescent="0.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3.15" x14ac:dyDescent="0.4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3.15" x14ac:dyDescent="0.4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3.15" x14ac:dyDescent="0.4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3.15" x14ac:dyDescent="0.4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3.15" x14ac:dyDescent="0.4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3.15" x14ac:dyDescent="0.4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3.15" x14ac:dyDescent="0.4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3.15" x14ac:dyDescent="0.4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3.15" x14ac:dyDescent="0.4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3.15" x14ac:dyDescent="0.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3.15" x14ac:dyDescent="0.4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3.15" x14ac:dyDescent="0.4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3.15" x14ac:dyDescent="0.4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3.15" x14ac:dyDescent="0.4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3.15" x14ac:dyDescent="0.4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3.15" x14ac:dyDescent="0.4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3.15" x14ac:dyDescent="0.4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3.15" x14ac:dyDescent="0.4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3.15" x14ac:dyDescent="0.4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3.15" x14ac:dyDescent="0.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3.15" x14ac:dyDescent="0.4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3.15" x14ac:dyDescent="0.4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3.15" x14ac:dyDescent="0.4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3.15" x14ac:dyDescent="0.4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3.15" x14ac:dyDescent="0.4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3.15" x14ac:dyDescent="0.4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3.15" x14ac:dyDescent="0.4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3.15" x14ac:dyDescent="0.4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3.15" x14ac:dyDescent="0.4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3.15" x14ac:dyDescent="0.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3.15" x14ac:dyDescent="0.4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3.15" x14ac:dyDescent="0.4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3.15" x14ac:dyDescent="0.4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3.15" x14ac:dyDescent="0.4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3.15" x14ac:dyDescent="0.4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3.15" x14ac:dyDescent="0.4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3.15" x14ac:dyDescent="0.4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3.15" x14ac:dyDescent="0.4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3.15" x14ac:dyDescent="0.4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3.15" x14ac:dyDescent="0.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3.15" x14ac:dyDescent="0.4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3.15" x14ac:dyDescent="0.4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3.15" x14ac:dyDescent="0.4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3.15" x14ac:dyDescent="0.4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3.15" x14ac:dyDescent="0.4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3.15" x14ac:dyDescent="0.4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3.15" x14ac:dyDescent="0.4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3.15" x14ac:dyDescent="0.4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3.15" x14ac:dyDescent="0.4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3.15" x14ac:dyDescent="0.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3.15" x14ac:dyDescent="0.4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3.15" x14ac:dyDescent="0.4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3.15" x14ac:dyDescent="0.4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3.15" x14ac:dyDescent="0.4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3.15" x14ac:dyDescent="0.4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3.15" x14ac:dyDescent="0.4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3.15" x14ac:dyDescent="0.4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3.15" x14ac:dyDescent="0.4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3.15" x14ac:dyDescent="0.4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3.15" x14ac:dyDescent="0.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3.15" x14ac:dyDescent="0.4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3.15" x14ac:dyDescent="0.4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3.15" x14ac:dyDescent="0.4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3.15" x14ac:dyDescent="0.4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3.15" x14ac:dyDescent="0.4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3.15" x14ac:dyDescent="0.4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3.15" x14ac:dyDescent="0.4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3.15" x14ac:dyDescent="0.4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3.15" x14ac:dyDescent="0.4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3.15" x14ac:dyDescent="0.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3.15" x14ac:dyDescent="0.4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3.15" x14ac:dyDescent="0.4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3.15" x14ac:dyDescent="0.4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3.15" x14ac:dyDescent="0.4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3.15" x14ac:dyDescent="0.4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3.15" x14ac:dyDescent="0.4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3.15" x14ac:dyDescent="0.4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3.15" x14ac:dyDescent="0.4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3.15" x14ac:dyDescent="0.4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3.15" x14ac:dyDescent="0.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3.15" x14ac:dyDescent="0.4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3.15" x14ac:dyDescent="0.4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3.15" x14ac:dyDescent="0.4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3.15" x14ac:dyDescent="0.4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3.15" x14ac:dyDescent="0.4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3.15" x14ac:dyDescent="0.4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3.15" x14ac:dyDescent="0.4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3.15" x14ac:dyDescent="0.4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3.15" x14ac:dyDescent="0.4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3.15" x14ac:dyDescent="0.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3.15" x14ac:dyDescent="0.4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3.15" x14ac:dyDescent="0.4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3.15" x14ac:dyDescent="0.4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3.15" x14ac:dyDescent="0.4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3.15" x14ac:dyDescent="0.4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3.15" x14ac:dyDescent="0.4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3.15" x14ac:dyDescent="0.4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3.15" x14ac:dyDescent="0.4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3.15" x14ac:dyDescent="0.4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3.15" x14ac:dyDescent="0.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3.15" x14ac:dyDescent="0.4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3.15" x14ac:dyDescent="0.4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3.15" x14ac:dyDescent="0.4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3.15" x14ac:dyDescent="0.4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3.15" x14ac:dyDescent="0.4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3.15" x14ac:dyDescent="0.4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3.15" x14ac:dyDescent="0.4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3.15" x14ac:dyDescent="0.4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3.15" x14ac:dyDescent="0.4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3.15" x14ac:dyDescent="0.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3.15" x14ac:dyDescent="0.4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3.15" x14ac:dyDescent="0.4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3.15" x14ac:dyDescent="0.4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3.15" x14ac:dyDescent="0.4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3.15" x14ac:dyDescent="0.4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3.15" x14ac:dyDescent="0.4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3.15" x14ac:dyDescent="0.4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3.15" x14ac:dyDescent="0.4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3.15" x14ac:dyDescent="0.4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3.15" x14ac:dyDescent="0.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3.15" x14ac:dyDescent="0.4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3.15" x14ac:dyDescent="0.4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3.15" x14ac:dyDescent="0.4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3.15" x14ac:dyDescent="0.4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3.15" x14ac:dyDescent="0.4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3.15" x14ac:dyDescent="0.4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3.15" x14ac:dyDescent="0.4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3.15" x14ac:dyDescent="0.4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3.15" x14ac:dyDescent="0.4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3.15" x14ac:dyDescent="0.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3.15" x14ac:dyDescent="0.4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3.15" x14ac:dyDescent="0.4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3.15" x14ac:dyDescent="0.4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3.15" x14ac:dyDescent="0.4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3.15" x14ac:dyDescent="0.4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3.15" x14ac:dyDescent="0.4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3.15" x14ac:dyDescent="0.4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3.15" x14ac:dyDescent="0.4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3.15" x14ac:dyDescent="0.4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3.15" x14ac:dyDescent="0.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3.15" x14ac:dyDescent="0.4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3.15" x14ac:dyDescent="0.4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3.15" x14ac:dyDescent="0.4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3.15" x14ac:dyDescent="0.4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3.15" x14ac:dyDescent="0.4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3.15" x14ac:dyDescent="0.4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3.15" x14ac:dyDescent="0.4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3.15" x14ac:dyDescent="0.4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3.15" x14ac:dyDescent="0.4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3.15" x14ac:dyDescent="0.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3.15" x14ac:dyDescent="0.4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3.15" x14ac:dyDescent="0.4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3.15" x14ac:dyDescent="0.4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3.15" x14ac:dyDescent="0.4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3.15" x14ac:dyDescent="0.4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3.15" x14ac:dyDescent="0.4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3.15" x14ac:dyDescent="0.4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3.15" x14ac:dyDescent="0.4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3.15" x14ac:dyDescent="0.4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3.15" x14ac:dyDescent="0.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3.15" x14ac:dyDescent="0.4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3.15" x14ac:dyDescent="0.4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3.15" x14ac:dyDescent="0.4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3.15" x14ac:dyDescent="0.4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3.15" x14ac:dyDescent="0.4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3.15" x14ac:dyDescent="0.4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3.15" x14ac:dyDescent="0.4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3.15" x14ac:dyDescent="0.4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3.15" x14ac:dyDescent="0.4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3.15" x14ac:dyDescent="0.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3.15" x14ac:dyDescent="0.4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3.15" x14ac:dyDescent="0.4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3.15" x14ac:dyDescent="0.4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3.15" x14ac:dyDescent="0.4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3.15" x14ac:dyDescent="0.4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3.15" x14ac:dyDescent="0.4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3.15" x14ac:dyDescent="0.4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3.15" x14ac:dyDescent="0.4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3.15" x14ac:dyDescent="0.4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3.15" x14ac:dyDescent="0.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3.15" x14ac:dyDescent="0.4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3.15" x14ac:dyDescent="0.4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3.15" x14ac:dyDescent="0.4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3.15" x14ac:dyDescent="0.4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3.15" x14ac:dyDescent="0.4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3.15" x14ac:dyDescent="0.4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3.15" x14ac:dyDescent="0.4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3.15" x14ac:dyDescent="0.4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3.15" x14ac:dyDescent="0.4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3.15" x14ac:dyDescent="0.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3.15" x14ac:dyDescent="0.4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3.15" x14ac:dyDescent="0.4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3.15" x14ac:dyDescent="0.4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3.15" x14ac:dyDescent="0.4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3.15" x14ac:dyDescent="0.4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3.15" x14ac:dyDescent="0.4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3.15" x14ac:dyDescent="0.4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3.15" x14ac:dyDescent="0.4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3.15" x14ac:dyDescent="0.4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3.15" x14ac:dyDescent="0.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3.15" x14ac:dyDescent="0.4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3.15" x14ac:dyDescent="0.4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3.15" x14ac:dyDescent="0.4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3.15" x14ac:dyDescent="0.4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3.15" x14ac:dyDescent="0.4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3.15" x14ac:dyDescent="0.4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3.15" x14ac:dyDescent="0.4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3.15" x14ac:dyDescent="0.4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3.15" x14ac:dyDescent="0.4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3.15" x14ac:dyDescent="0.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3.15" x14ac:dyDescent="0.4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3.15" x14ac:dyDescent="0.4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3.15" x14ac:dyDescent="0.4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3.15" x14ac:dyDescent="0.4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3.15" x14ac:dyDescent="0.4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3.15" x14ac:dyDescent="0.4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3.15" x14ac:dyDescent="0.4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3.15" x14ac:dyDescent="0.4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3.15" x14ac:dyDescent="0.4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3.15" x14ac:dyDescent="0.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3.15" x14ac:dyDescent="0.4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3.15" x14ac:dyDescent="0.4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3.15" x14ac:dyDescent="0.4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3.15" x14ac:dyDescent="0.4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3.15" x14ac:dyDescent="0.4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3.15" x14ac:dyDescent="0.4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3.15" x14ac:dyDescent="0.4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3.15" x14ac:dyDescent="0.4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3.15" x14ac:dyDescent="0.4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3.15" x14ac:dyDescent="0.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3.15" x14ac:dyDescent="0.4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3.15" x14ac:dyDescent="0.4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3.15" x14ac:dyDescent="0.4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3.15" x14ac:dyDescent="0.4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3.15" x14ac:dyDescent="0.4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3.15" x14ac:dyDescent="0.4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3.15" x14ac:dyDescent="0.4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3.15" x14ac:dyDescent="0.4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3.15" x14ac:dyDescent="0.4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3.15" x14ac:dyDescent="0.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3.15" x14ac:dyDescent="0.4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3.15" x14ac:dyDescent="0.4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3.15" x14ac:dyDescent="0.4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3.15" x14ac:dyDescent="0.4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3.15" x14ac:dyDescent="0.4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3.15" x14ac:dyDescent="0.4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3.15" x14ac:dyDescent="0.4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3.15" x14ac:dyDescent="0.4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3.15" x14ac:dyDescent="0.4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3.15" x14ac:dyDescent="0.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3.15" x14ac:dyDescent="0.4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3.15" x14ac:dyDescent="0.4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3.15" x14ac:dyDescent="0.4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3.15" x14ac:dyDescent="0.4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3.15" x14ac:dyDescent="0.4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3.15" x14ac:dyDescent="0.4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3.15" x14ac:dyDescent="0.4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3.15" x14ac:dyDescent="0.4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3.15" x14ac:dyDescent="0.4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3.15" x14ac:dyDescent="0.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3.15" x14ac:dyDescent="0.4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3.15" x14ac:dyDescent="0.4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3.15" x14ac:dyDescent="0.4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3.15" x14ac:dyDescent="0.4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3.15" x14ac:dyDescent="0.4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3.15" x14ac:dyDescent="0.4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3.15" x14ac:dyDescent="0.4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3.15" x14ac:dyDescent="0.4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3.15" x14ac:dyDescent="0.4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3.15" x14ac:dyDescent="0.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3.15" x14ac:dyDescent="0.4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3.15" x14ac:dyDescent="0.4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3.15" x14ac:dyDescent="0.4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3.15" x14ac:dyDescent="0.4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3.15" x14ac:dyDescent="0.4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3.15" x14ac:dyDescent="0.4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3.15" x14ac:dyDescent="0.4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3.15" x14ac:dyDescent="0.4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3.15" x14ac:dyDescent="0.4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3.15" x14ac:dyDescent="0.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3.15" x14ac:dyDescent="0.4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3.15" x14ac:dyDescent="0.4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3.15" x14ac:dyDescent="0.4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3.15" x14ac:dyDescent="0.4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3.15" x14ac:dyDescent="0.4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3.15" x14ac:dyDescent="0.4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3.15" x14ac:dyDescent="0.4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3.15" x14ac:dyDescent="0.4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3.15" x14ac:dyDescent="0.4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3.15" x14ac:dyDescent="0.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3.15" x14ac:dyDescent="0.4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3.15" x14ac:dyDescent="0.4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3.15" x14ac:dyDescent="0.4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3.15" x14ac:dyDescent="0.4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3.15" x14ac:dyDescent="0.4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3.15" x14ac:dyDescent="0.4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3.15" x14ac:dyDescent="0.4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3.15" x14ac:dyDescent="0.4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3.15" x14ac:dyDescent="0.4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3.15" x14ac:dyDescent="0.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3.15" x14ac:dyDescent="0.4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3.15" x14ac:dyDescent="0.4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3.15" x14ac:dyDescent="0.4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3.15" x14ac:dyDescent="0.4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3.15" x14ac:dyDescent="0.4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3.15" x14ac:dyDescent="0.4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3.15" x14ac:dyDescent="0.4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3.15" x14ac:dyDescent="0.4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3.15" x14ac:dyDescent="0.4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3.15" x14ac:dyDescent="0.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3.15" x14ac:dyDescent="0.4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3.15" x14ac:dyDescent="0.4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3.15" x14ac:dyDescent="0.4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3.15" x14ac:dyDescent="0.4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3.15" x14ac:dyDescent="0.4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3.15" x14ac:dyDescent="0.4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3.15" x14ac:dyDescent="0.4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3.15" x14ac:dyDescent="0.4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3.15" x14ac:dyDescent="0.4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3.15" x14ac:dyDescent="0.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3.15" x14ac:dyDescent="0.4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3.15" x14ac:dyDescent="0.4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3.15" x14ac:dyDescent="0.4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3.15" x14ac:dyDescent="0.4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3.15" x14ac:dyDescent="0.4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3.15" x14ac:dyDescent="0.4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3.15" x14ac:dyDescent="0.4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3.15" x14ac:dyDescent="0.4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3.15" x14ac:dyDescent="0.4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3.15" x14ac:dyDescent="0.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3.15" x14ac:dyDescent="0.4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3.15" x14ac:dyDescent="0.4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3.15" x14ac:dyDescent="0.4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3.15" x14ac:dyDescent="0.4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3.15" x14ac:dyDescent="0.4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3.15" x14ac:dyDescent="0.4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3.15" x14ac:dyDescent="0.4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3.15" x14ac:dyDescent="0.4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3.15" x14ac:dyDescent="0.4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3.15" x14ac:dyDescent="0.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3.15" x14ac:dyDescent="0.4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3.15" x14ac:dyDescent="0.4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3.15" x14ac:dyDescent="0.4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3.15" x14ac:dyDescent="0.4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3.15" x14ac:dyDescent="0.4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3.15" x14ac:dyDescent="0.4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3.15" x14ac:dyDescent="0.4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3.15" x14ac:dyDescent="0.4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3.15" x14ac:dyDescent="0.4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3.15" x14ac:dyDescent="0.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3.15" x14ac:dyDescent="0.4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3.15" x14ac:dyDescent="0.4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3.15" x14ac:dyDescent="0.4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3.15" x14ac:dyDescent="0.4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3.15" x14ac:dyDescent="0.4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3.15" x14ac:dyDescent="0.4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3.15" x14ac:dyDescent="0.4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3.15" x14ac:dyDescent="0.4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3.15" x14ac:dyDescent="0.4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3.15" x14ac:dyDescent="0.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3.15" x14ac:dyDescent="0.4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3.15" x14ac:dyDescent="0.4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3.15" x14ac:dyDescent="0.4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3.15" x14ac:dyDescent="0.4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3.15" x14ac:dyDescent="0.4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3.15" x14ac:dyDescent="0.4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3.15" x14ac:dyDescent="0.4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3.15" x14ac:dyDescent="0.4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3.15" x14ac:dyDescent="0.4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3.15" x14ac:dyDescent="0.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3.15" x14ac:dyDescent="0.4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3.15" x14ac:dyDescent="0.4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3.15" x14ac:dyDescent="0.4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3.15" x14ac:dyDescent="0.4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3.15" x14ac:dyDescent="0.4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3.15" x14ac:dyDescent="0.4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3.15" x14ac:dyDescent="0.4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3.15" x14ac:dyDescent="0.4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3.15" x14ac:dyDescent="0.4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3.15" x14ac:dyDescent="0.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3.15" x14ac:dyDescent="0.4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3.15" x14ac:dyDescent="0.4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3.15" x14ac:dyDescent="0.4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3.15" x14ac:dyDescent="0.4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3.15" x14ac:dyDescent="0.4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3.15" x14ac:dyDescent="0.4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3.15" x14ac:dyDescent="0.4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3.15" x14ac:dyDescent="0.4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3.15" x14ac:dyDescent="0.4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3.15" x14ac:dyDescent="0.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3.15" x14ac:dyDescent="0.4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3.15" x14ac:dyDescent="0.4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3.15" x14ac:dyDescent="0.4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3.15" x14ac:dyDescent="0.4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3.15" x14ac:dyDescent="0.4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3.15" x14ac:dyDescent="0.4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3.15" x14ac:dyDescent="0.4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3.15" x14ac:dyDescent="0.4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3.15" x14ac:dyDescent="0.4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3.15" x14ac:dyDescent="0.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3.15" x14ac:dyDescent="0.4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3.15" x14ac:dyDescent="0.4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3.15" x14ac:dyDescent="0.4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3.15" x14ac:dyDescent="0.4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3.15" x14ac:dyDescent="0.4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3.15" x14ac:dyDescent="0.4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3.15" x14ac:dyDescent="0.4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3.15" x14ac:dyDescent="0.4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3.15" x14ac:dyDescent="0.4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3.15" x14ac:dyDescent="0.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3.15" x14ac:dyDescent="0.4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3.15" x14ac:dyDescent="0.4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3.15" x14ac:dyDescent="0.4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3.15" x14ac:dyDescent="0.4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3.15" x14ac:dyDescent="0.4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3.15" x14ac:dyDescent="0.4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3.15" x14ac:dyDescent="0.4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3.15" x14ac:dyDescent="0.4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3.15" x14ac:dyDescent="0.4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3.15" x14ac:dyDescent="0.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3.15" x14ac:dyDescent="0.4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3.15" x14ac:dyDescent="0.4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3.15" x14ac:dyDescent="0.4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3.15" x14ac:dyDescent="0.4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3.15" x14ac:dyDescent="0.4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3.15" x14ac:dyDescent="0.4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3.15" x14ac:dyDescent="0.4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3.15" x14ac:dyDescent="0.4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3.15" x14ac:dyDescent="0.4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3.15" x14ac:dyDescent="0.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3.15" x14ac:dyDescent="0.4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3.15" x14ac:dyDescent="0.4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3.15" x14ac:dyDescent="0.4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3.15" x14ac:dyDescent="0.4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3.15" x14ac:dyDescent="0.4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3.15" x14ac:dyDescent="0.4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3.15" x14ac:dyDescent="0.4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3.15" x14ac:dyDescent="0.4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3.15" x14ac:dyDescent="0.4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3.15" x14ac:dyDescent="0.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3.15" x14ac:dyDescent="0.4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3.15" x14ac:dyDescent="0.4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3.15" x14ac:dyDescent="0.4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3.15" x14ac:dyDescent="0.4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3.15" x14ac:dyDescent="0.4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3.15" x14ac:dyDescent="0.4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3.15" x14ac:dyDescent="0.4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3.15" x14ac:dyDescent="0.4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3.15" x14ac:dyDescent="0.4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3.15" x14ac:dyDescent="0.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3.15" x14ac:dyDescent="0.4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3.15" x14ac:dyDescent="0.4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3.15" x14ac:dyDescent="0.4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3.15" x14ac:dyDescent="0.4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3.15" x14ac:dyDescent="0.4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3.15" x14ac:dyDescent="0.4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3.15" x14ac:dyDescent="0.4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3.15" x14ac:dyDescent="0.4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3.15" x14ac:dyDescent="0.4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3.15" x14ac:dyDescent="0.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3.15" x14ac:dyDescent="0.4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3.15" x14ac:dyDescent="0.4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3.15" x14ac:dyDescent="0.4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3.15" x14ac:dyDescent="0.4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3.15" x14ac:dyDescent="0.4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3.15" x14ac:dyDescent="0.4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3.15" x14ac:dyDescent="0.4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3.15" x14ac:dyDescent="0.4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3.15" x14ac:dyDescent="0.4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3.15" x14ac:dyDescent="0.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3.15" x14ac:dyDescent="0.4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3.15" x14ac:dyDescent="0.4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3.15" x14ac:dyDescent="0.4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3.15" x14ac:dyDescent="0.4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3.15" x14ac:dyDescent="0.4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3.15" x14ac:dyDescent="0.4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3.15" x14ac:dyDescent="0.4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3.15" x14ac:dyDescent="0.4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3.15" x14ac:dyDescent="0.4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3.15" x14ac:dyDescent="0.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3.15" x14ac:dyDescent="0.4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3.15" x14ac:dyDescent="0.4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3.15" x14ac:dyDescent="0.4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3.15" x14ac:dyDescent="0.4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3.15" x14ac:dyDescent="0.4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3.15" x14ac:dyDescent="0.4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3.15" x14ac:dyDescent="0.4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3.15" x14ac:dyDescent="0.4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3.15" x14ac:dyDescent="0.4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3.15" x14ac:dyDescent="0.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3.15" x14ac:dyDescent="0.4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3.15" x14ac:dyDescent="0.4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3.15" x14ac:dyDescent="0.4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3.15" x14ac:dyDescent="0.4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3.15" x14ac:dyDescent="0.4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3.15" x14ac:dyDescent="0.4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3.15" x14ac:dyDescent="0.4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3.15" x14ac:dyDescent="0.4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3.15" x14ac:dyDescent="0.4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3.15" x14ac:dyDescent="0.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3.15" x14ac:dyDescent="0.4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3.15" x14ac:dyDescent="0.4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3.15" x14ac:dyDescent="0.4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3.15" x14ac:dyDescent="0.4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3.15" x14ac:dyDescent="0.4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3.15" x14ac:dyDescent="0.4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3.15" x14ac:dyDescent="0.4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3.15" x14ac:dyDescent="0.4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3.15" x14ac:dyDescent="0.4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3.15" x14ac:dyDescent="0.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3.15" x14ac:dyDescent="0.4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3.15" x14ac:dyDescent="0.4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3.15" x14ac:dyDescent="0.4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3.15" x14ac:dyDescent="0.4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3.15" x14ac:dyDescent="0.4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3.15" x14ac:dyDescent="0.4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3.15" x14ac:dyDescent="0.4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3.15" x14ac:dyDescent="0.4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3.15" x14ac:dyDescent="0.4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3.15" x14ac:dyDescent="0.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3.15" x14ac:dyDescent="0.4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3.15" x14ac:dyDescent="0.4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3.15" x14ac:dyDescent="0.4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3.15" x14ac:dyDescent="0.4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3.15" x14ac:dyDescent="0.4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3.15" x14ac:dyDescent="0.4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3.15" x14ac:dyDescent="0.4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3.15" x14ac:dyDescent="0.4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3.15" x14ac:dyDescent="0.4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3.15" x14ac:dyDescent="0.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3.15" x14ac:dyDescent="0.4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3.15" x14ac:dyDescent="0.4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3.15" x14ac:dyDescent="0.4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3.15" x14ac:dyDescent="0.4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3.15" x14ac:dyDescent="0.4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3.15" x14ac:dyDescent="0.4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3.15" x14ac:dyDescent="0.4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3.15" x14ac:dyDescent="0.4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3.15" x14ac:dyDescent="0.4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3.15" x14ac:dyDescent="0.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3.15" x14ac:dyDescent="0.4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3.15" x14ac:dyDescent="0.4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3.15" x14ac:dyDescent="0.4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3.15" x14ac:dyDescent="0.4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3.15" x14ac:dyDescent="0.4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3.15" x14ac:dyDescent="0.4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3.15" x14ac:dyDescent="0.4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3.15" x14ac:dyDescent="0.4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3.15" x14ac:dyDescent="0.4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3.15" x14ac:dyDescent="0.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3.15" x14ac:dyDescent="0.4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3.15" x14ac:dyDescent="0.4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3.15" x14ac:dyDescent="0.4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3.15" x14ac:dyDescent="0.4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3.15" x14ac:dyDescent="0.4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3.15" x14ac:dyDescent="0.4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3.15" x14ac:dyDescent="0.4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3.15" x14ac:dyDescent="0.4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3.15" x14ac:dyDescent="0.4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3.15" x14ac:dyDescent="0.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3.15" x14ac:dyDescent="0.4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3.15" x14ac:dyDescent="0.4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3.15" x14ac:dyDescent="0.4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3.15" x14ac:dyDescent="0.4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3.15" x14ac:dyDescent="0.4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3.15" x14ac:dyDescent="0.4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3.15" x14ac:dyDescent="0.4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3.15" x14ac:dyDescent="0.4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3.15" x14ac:dyDescent="0.4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3.15" x14ac:dyDescent="0.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3.15" x14ac:dyDescent="0.4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3.15" x14ac:dyDescent="0.4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3.15" x14ac:dyDescent="0.4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3.15" x14ac:dyDescent="0.4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3.15" x14ac:dyDescent="0.4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3.15" x14ac:dyDescent="0.4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3.15" x14ac:dyDescent="0.4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3.15" x14ac:dyDescent="0.4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3.15" x14ac:dyDescent="0.4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3.15" x14ac:dyDescent="0.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3.15" x14ac:dyDescent="0.4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3.15" x14ac:dyDescent="0.4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3.15" x14ac:dyDescent="0.4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3.15" x14ac:dyDescent="0.4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3.15" x14ac:dyDescent="0.4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3.15" x14ac:dyDescent="0.4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3.15" x14ac:dyDescent="0.4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3.15" x14ac:dyDescent="0.4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3.15" x14ac:dyDescent="0.4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3.15" x14ac:dyDescent="0.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3.15" x14ac:dyDescent="0.4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3.15" x14ac:dyDescent="0.4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3.15" x14ac:dyDescent="0.4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3.15" x14ac:dyDescent="0.4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3.15" x14ac:dyDescent="0.4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3.15" x14ac:dyDescent="0.4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3.15" x14ac:dyDescent="0.4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3.15" x14ac:dyDescent="0.4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3.15" x14ac:dyDescent="0.4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3.15" x14ac:dyDescent="0.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3.15" x14ac:dyDescent="0.4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3.15" x14ac:dyDescent="0.4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3.15" x14ac:dyDescent="0.4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3.15" x14ac:dyDescent="0.4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3.15" x14ac:dyDescent="0.4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3.15" x14ac:dyDescent="0.4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3.15" x14ac:dyDescent="0.4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3.15" x14ac:dyDescent="0.4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3.15" x14ac:dyDescent="0.4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3.15" x14ac:dyDescent="0.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3.15" x14ac:dyDescent="0.4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3.15" x14ac:dyDescent="0.4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3.15" x14ac:dyDescent="0.4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3.15" x14ac:dyDescent="0.4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3.15" x14ac:dyDescent="0.4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3.15" x14ac:dyDescent="0.4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3.15" x14ac:dyDescent="0.4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3.15" x14ac:dyDescent="0.4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3.15" x14ac:dyDescent="0.4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3.15" x14ac:dyDescent="0.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3.15" x14ac:dyDescent="0.4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3.15" x14ac:dyDescent="0.4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3.15" x14ac:dyDescent="0.4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3.15" x14ac:dyDescent="0.4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3.15" x14ac:dyDescent="0.4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3.15" x14ac:dyDescent="0.4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3.15" x14ac:dyDescent="0.4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3.15" x14ac:dyDescent="0.4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3.15" x14ac:dyDescent="0.4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3.15" x14ac:dyDescent="0.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3.15" x14ac:dyDescent="0.4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3.15" x14ac:dyDescent="0.4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3.15" x14ac:dyDescent="0.4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3.15" x14ac:dyDescent="0.4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3.15" x14ac:dyDescent="0.4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3.15" x14ac:dyDescent="0.4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3.15" x14ac:dyDescent="0.4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3.15" x14ac:dyDescent="0.4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3.15" x14ac:dyDescent="0.4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3.15" x14ac:dyDescent="0.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3.15" x14ac:dyDescent="0.4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3.15" x14ac:dyDescent="0.4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3.15" x14ac:dyDescent="0.4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3.15" x14ac:dyDescent="0.4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3.15" x14ac:dyDescent="0.4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3.15" x14ac:dyDescent="0.4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3.15" x14ac:dyDescent="0.4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3.15" x14ac:dyDescent="0.4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3.15" x14ac:dyDescent="0.4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3.15" x14ac:dyDescent="0.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3.15" x14ac:dyDescent="0.4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3.15" x14ac:dyDescent="0.4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3.15" x14ac:dyDescent="0.4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3.15" x14ac:dyDescent="0.4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3.15" x14ac:dyDescent="0.4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3.15" x14ac:dyDescent="0.4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3.15" x14ac:dyDescent="0.4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3.15" x14ac:dyDescent="0.4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3.15" x14ac:dyDescent="0.4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3.15" x14ac:dyDescent="0.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3.15" x14ac:dyDescent="0.4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3.15" x14ac:dyDescent="0.4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3.15" x14ac:dyDescent="0.4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3.15" x14ac:dyDescent="0.4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3.15" x14ac:dyDescent="0.4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3.15" x14ac:dyDescent="0.4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3.15" x14ac:dyDescent="0.4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3.15" x14ac:dyDescent="0.4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3.15" x14ac:dyDescent="0.4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3.15" x14ac:dyDescent="0.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3.15" x14ac:dyDescent="0.4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3.15" x14ac:dyDescent="0.4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3.15" x14ac:dyDescent="0.4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3.15" x14ac:dyDescent="0.4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3.15" x14ac:dyDescent="0.4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3.15" x14ac:dyDescent="0.4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3.15" x14ac:dyDescent="0.4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3.15" x14ac:dyDescent="0.4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3.15" x14ac:dyDescent="0.4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3.15" x14ac:dyDescent="0.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3.15" x14ac:dyDescent="0.4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3.15" x14ac:dyDescent="0.4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3.15" x14ac:dyDescent="0.4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3.15" x14ac:dyDescent="0.4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3.15" x14ac:dyDescent="0.4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3.15" x14ac:dyDescent="0.4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3.15" x14ac:dyDescent="0.4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3.15" x14ac:dyDescent="0.4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3.15" x14ac:dyDescent="0.4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3.15" x14ac:dyDescent="0.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3.15" x14ac:dyDescent="0.4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3.15" x14ac:dyDescent="0.4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3.15" x14ac:dyDescent="0.4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3.15" x14ac:dyDescent="0.4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3.15" x14ac:dyDescent="0.4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3.15" x14ac:dyDescent="0.4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3.15" x14ac:dyDescent="0.4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3.15" x14ac:dyDescent="0.4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3.15" x14ac:dyDescent="0.4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3.15" x14ac:dyDescent="0.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3.15" x14ac:dyDescent="0.4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3.15" x14ac:dyDescent="0.4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3.15" x14ac:dyDescent="0.4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3.15" x14ac:dyDescent="0.4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3.15" x14ac:dyDescent="0.4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3.15" x14ac:dyDescent="0.4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3.15" x14ac:dyDescent="0.4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3.15" x14ac:dyDescent="0.4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3.15" x14ac:dyDescent="0.4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3.15" x14ac:dyDescent="0.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3.15" x14ac:dyDescent="0.4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3.15" x14ac:dyDescent="0.4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3.15" x14ac:dyDescent="0.4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3.15" x14ac:dyDescent="0.4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3.15" x14ac:dyDescent="0.4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3.15" x14ac:dyDescent="0.4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3.15" x14ac:dyDescent="0.4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3.15" x14ac:dyDescent="0.4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3.15" x14ac:dyDescent="0.4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3.15" x14ac:dyDescent="0.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3.15" x14ac:dyDescent="0.4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3.15" x14ac:dyDescent="0.4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3.15" x14ac:dyDescent="0.4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3.15" x14ac:dyDescent="0.4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3.15" x14ac:dyDescent="0.4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3.15" x14ac:dyDescent="0.4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3.15" x14ac:dyDescent="0.4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3.15" x14ac:dyDescent="0.4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3.15" x14ac:dyDescent="0.4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3.15" x14ac:dyDescent="0.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3.15" x14ac:dyDescent="0.4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3.15" x14ac:dyDescent="0.4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3.15" x14ac:dyDescent="0.4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3.15" x14ac:dyDescent="0.4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3.15" x14ac:dyDescent="0.4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3.15" x14ac:dyDescent="0.4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3.15" x14ac:dyDescent="0.4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3.15" x14ac:dyDescent="0.4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3.15" x14ac:dyDescent="0.4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3.15" x14ac:dyDescent="0.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3.15" x14ac:dyDescent="0.4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3.15" x14ac:dyDescent="0.4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3.15" x14ac:dyDescent="0.4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3.15" x14ac:dyDescent="0.4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3.15" x14ac:dyDescent="0.4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3.15" x14ac:dyDescent="0.4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3.15" x14ac:dyDescent="0.4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3.15" x14ac:dyDescent="0.4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3.15" x14ac:dyDescent="0.4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3.15" x14ac:dyDescent="0.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3.15" x14ac:dyDescent="0.4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3.15" x14ac:dyDescent="0.4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3.15" x14ac:dyDescent="0.4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3.15" x14ac:dyDescent="0.4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3.15" x14ac:dyDescent="0.4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3.15" x14ac:dyDescent="0.4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3.15" x14ac:dyDescent="0.4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3.15" x14ac:dyDescent="0.4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3.15" x14ac:dyDescent="0.4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3.15" x14ac:dyDescent="0.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3.15" x14ac:dyDescent="0.4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3.15" x14ac:dyDescent="0.4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3.15" x14ac:dyDescent="0.4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3.15" x14ac:dyDescent="0.4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3.15" x14ac:dyDescent="0.4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3.15" x14ac:dyDescent="0.4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3.15" x14ac:dyDescent="0.4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3.15" x14ac:dyDescent="0.4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3.15" x14ac:dyDescent="0.4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3.15" x14ac:dyDescent="0.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3.15" x14ac:dyDescent="0.4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3.15" x14ac:dyDescent="0.4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3.15" x14ac:dyDescent="0.4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3.15" x14ac:dyDescent="0.4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3.15" x14ac:dyDescent="0.4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3.15" x14ac:dyDescent="0.4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3.15" x14ac:dyDescent="0.4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3.15" x14ac:dyDescent="0.4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3.15" x14ac:dyDescent="0.4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3.15" x14ac:dyDescent="0.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3.15" x14ac:dyDescent="0.4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3.15" x14ac:dyDescent="0.4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3.15" x14ac:dyDescent="0.4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3.15" x14ac:dyDescent="0.4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3.15" x14ac:dyDescent="0.4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3.15" x14ac:dyDescent="0.4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3.15" x14ac:dyDescent="0.4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3.15" x14ac:dyDescent="0.4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3.15" x14ac:dyDescent="0.4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3.15" x14ac:dyDescent="0.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3.15" x14ac:dyDescent="0.4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3.15" x14ac:dyDescent="0.4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3.15" x14ac:dyDescent="0.4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3.15" x14ac:dyDescent="0.4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3.15" x14ac:dyDescent="0.4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3.15" x14ac:dyDescent="0.4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3.15" x14ac:dyDescent="0.4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3.15" x14ac:dyDescent="0.4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3.15" x14ac:dyDescent="0.4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3.15" x14ac:dyDescent="0.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3.15" x14ac:dyDescent="0.4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3.15" x14ac:dyDescent="0.4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3.15" x14ac:dyDescent="0.4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3.15" x14ac:dyDescent="0.4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3.15" x14ac:dyDescent="0.4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3.15" x14ac:dyDescent="0.4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3.15" x14ac:dyDescent="0.4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3.15" x14ac:dyDescent="0.4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3.15" x14ac:dyDescent="0.4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3.15" x14ac:dyDescent="0.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3.15" x14ac:dyDescent="0.4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3.15" x14ac:dyDescent="0.4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3.15" x14ac:dyDescent="0.4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3.15" x14ac:dyDescent="0.4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3.15" x14ac:dyDescent="0.4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3.15" x14ac:dyDescent="0.4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3.15" x14ac:dyDescent="0.4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3.15" x14ac:dyDescent="0.4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3.15" x14ac:dyDescent="0.4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3.15" x14ac:dyDescent="0.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3.15" x14ac:dyDescent="0.4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3.15" x14ac:dyDescent="0.4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3.15" x14ac:dyDescent="0.4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3.15" x14ac:dyDescent="0.4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3.15" x14ac:dyDescent="0.4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3.15" x14ac:dyDescent="0.4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3.15" x14ac:dyDescent="0.4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3.15" x14ac:dyDescent="0.4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3.15" x14ac:dyDescent="0.4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3.15" x14ac:dyDescent="0.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3.15" x14ac:dyDescent="0.4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3.15" x14ac:dyDescent="0.4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3.15" x14ac:dyDescent="0.4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3.15" x14ac:dyDescent="0.4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3.15" x14ac:dyDescent="0.4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3.15" x14ac:dyDescent="0.4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3.15" x14ac:dyDescent="0.4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3.15" x14ac:dyDescent="0.4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3.15" x14ac:dyDescent="0.4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3.15" x14ac:dyDescent="0.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3.15" x14ac:dyDescent="0.4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3.15" x14ac:dyDescent="0.4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3.15" x14ac:dyDescent="0.4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3.15" x14ac:dyDescent="0.4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3.15" x14ac:dyDescent="0.4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3.15" x14ac:dyDescent="0.4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Parameters</vt:lpstr>
      <vt:lpstr>Energy Usage</vt:lpstr>
      <vt:lpstr>Solar Energy</vt:lpstr>
      <vt:lpstr>Pump Data</vt:lpstr>
      <vt:lpstr>GHG</vt:lpstr>
      <vt:lpstr>Land Model</vt:lpstr>
      <vt:lpstr>Cost</vt:lpstr>
      <vt:lpstr>GenAI Disclosure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medgell@student.ubc.ca</cp:lastModifiedBy>
  <dcterms:created xsi:type="dcterms:W3CDTF">2026-09-11T19:53:46Z</dcterms:created>
  <dcterms:modified xsi:type="dcterms:W3CDTF">2026-09-12T22:07:53Z</dcterms:modified>
</cp:coreProperties>
</file>